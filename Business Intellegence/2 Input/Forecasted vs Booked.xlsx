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pivotTables/pivotTable39.xml" ContentType="application/vnd.openxmlformats-officedocument.spreadsheetml.pivot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pivotTables/pivotTable44.xml" ContentType="application/vnd.openxmlformats-officedocument.spreadsheetml.pivot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kip/Library/CloudStorage/GoogleDrive-kenneth.herdrick@kbm-hogue.com/Shared drives/Executive Leadership Team/Reports/Reports from Kip/Forecasted vs Booked/2025/"/>
    </mc:Choice>
  </mc:AlternateContent>
  <xr:revisionPtr revIDLastSave="0" documentId="13_ncr:1_{7A87DBFE-E867-CC47-B735-8C426C8CF186}" xr6:coauthVersionLast="47" xr6:coauthVersionMax="47" xr10:uidLastSave="{00000000-0000-0000-0000-000000000000}"/>
  <bookViews>
    <workbookView xWindow="160" yWindow="820" windowWidth="29600" windowHeight="18500" xr2:uid="{00000000-000D-0000-FFFF-FFFF00000000}"/>
  </bookViews>
  <sheets>
    <sheet name="Summary" sheetId="11" r:id="rId1"/>
    <sheet name="Forecast" sheetId="1" state="hidden" r:id="rId2"/>
    <sheet name="Bookings" sheetId="3" state="hidden" r:id="rId3"/>
    <sheet name="Anthony" sheetId="13" r:id="rId4"/>
    <sheet name="Carina" sheetId="12" r:id="rId5"/>
    <sheet name="Chris" sheetId="2" r:id="rId6"/>
    <sheet name="Farrah" sheetId="14" r:id="rId7"/>
    <sheet name="Genesis" sheetId="15" r:id="rId8"/>
    <sheet name="Jenni" sheetId="16" r:id="rId9"/>
    <sheet name="Jesse" sheetId="17" state="hidden" r:id="rId10"/>
    <sheet name="Kimi" sheetId="18" r:id="rId11"/>
    <sheet name="Lela" sheetId="4" r:id="rId12"/>
    <sheet name="Lindsay" sheetId="19" r:id="rId13"/>
    <sheet name="Mary" sheetId="23" r:id="rId14"/>
    <sheet name="Nick" sheetId="10" r:id="rId15"/>
    <sheet name="Norma" sheetId="20" r:id="rId16"/>
    <sheet name="Olivia" sheetId="5" r:id="rId17"/>
    <sheet name="Owen" sheetId="6" r:id="rId18"/>
    <sheet name="Paul" sheetId="21" r:id="rId19"/>
    <sheet name="Rayna" sheetId="22" r:id="rId20"/>
    <sheet name="Shayle" sheetId="7" r:id="rId21"/>
    <sheet name="Simon" sheetId="8" r:id="rId22"/>
    <sheet name="Steph" sheetId="9" state="hidden" r:id="rId23"/>
    <sheet name="Torrey" sheetId="24" r:id="rId24"/>
    <sheet name="Troy" sheetId="25" r:id="rId25"/>
  </sheets>
  <calcPr calcId="191029"/>
  <pivotCaches>
    <pivotCache cacheId="418" r:id="rId26"/>
    <pivotCache cacheId="423" r:id="rId2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1" l="1"/>
  <c r="D1" i="11"/>
  <c r="E3" i="11"/>
  <c r="B3" i="11"/>
  <c r="C3" i="11" l="1"/>
</calcChain>
</file>

<file path=xl/sharedStrings.xml><?xml version="1.0" encoding="utf-8"?>
<sst xmlns="http://schemas.openxmlformats.org/spreadsheetml/2006/main" count="8075" uniqueCount="1065">
  <si>
    <t>Deal Name</t>
  </si>
  <si>
    <t>Deal ID</t>
  </si>
  <si>
    <t>Company</t>
  </si>
  <si>
    <t>Company ID</t>
  </si>
  <si>
    <t>Ownership</t>
  </si>
  <si>
    <t>Value</t>
  </si>
  <si>
    <t>Currency</t>
  </si>
  <si>
    <t>Estimated Close Date</t>
  </si>
  <si>
    <t>Stage</t>
  </si>
  <si>
    <t>Chris Cicisly</t>
  </si>
  <si>
    <t>USD</t>
  </si>
  <si>
    <t>Programming</t>
  </si>
  <si>
    <t>Proposal Presented</t>
  </si>
  <si>
    <t>Awarded</t>
  </si>
  <si>
    <t>County of Santa Clara</t>
  </si>
  <si>
    <t>Lela Huenergardt</t>
  </si>
  <si>
    <t>Lindsay Hanief</t>
  </si>
  <si>
    <t>Stanford University</t>
  </si>
  <si>
    <t>Norma Lopez</t>
  </si>
  <si>
    <t>Owen Cunningham</t>
  </si>
  <si>
    <t>Troy Ocariza</t>
  </si>
  <si>
    <t>Grand Total</t>
  </si>
  <si>
    <t>Director</t>
  </si>
  <si>
    <t>Order #</t>
  </si>
  <si>
    <t>Customer Order Date</t>
  </si>
  <si>
    <t>Customer</t>
  </si>
  <si>
    <t>Salesperson</t>
  </si>
  <si>
    <t>New Sell</t>
  </si>
  <si>
    <t>Adj Sell</t>
  </si>
  <si>
    <t>Total Sell</t>
  </si>
  <si>
    <t>Total Cost</t>
  </si>
  <si>
    <t>GP</t>
  </si>
  <si>
    <t>GP %</t>
  </si>
  <si>
    <t>Account Manager</t>
  </si>
  <si>
    <t>AM</t>
  </si>
  <si>
    <t>Transaction</t>
  </si>
  <si>
    <t>Stanford School of Medicine</t>
  </si>
  <si>
    <t>Client</t>
  </si>
  <si>
    <t>Zendesk Forecast</t>
  </si>
  <si>
    <t>Orders Booked</t>
  </si>
  <si>
    <t>(Multiple Items)</t>
  </si>
  <si>
    <t>(All)</t>
  </si>
  <si>
    <t>Total</t>
  </si>
  <si>
    <t>Erika Duarte</t>
  </si>
  <si>
    <t>Intuit</t>
  </si>
  <si>
    <t>Win Likelihood</t>
  </si>
  <si>
    <t>Olivia Gorfain</t>
  </si>
  <si>
    <t>Nick Christianson</t>
  </si>
  <si>
    <t>Jill Marsh</t>
  </si>
  <si>
    <t>East Side Union High School District</t>
  </si>
  <si>
    <t>Expected Install Date</t>
  </si>
  <si>
    <t>Wilson Sonsini Goodrich &amp; Rosati</t>
  </si>
  <si>
    <t>Jenni Lombardi</t>
  </si>
  <si>
    <t>Stanford Alumni</t>
  </si>
  <si>
    <t>San Jose State University</t>
  </si>
  <si>
    <t>Added On</t>
  </si>
  <si>
    <t>Last Activity Date</t>
  </si>
  <si>
    <t>City of Newark, Newark Resource Center</t>
  </si>
  <si>
    <t>City of Newark</t>
  </si>
  <si>
    <t>City of Salinas</t>
  </si>
  <si>
    <t>Judicial Council of California</t>
  </si>
  <si>
    <t>Austin</t>
  </si>
  <si>
    <t>Jones Lang Lasalle</t>
  </si>
  <si>
    <t>CBRE on behalf of Google</t>
  </si>
  <si>
    <t>Meritech Capital</t>
  </si>
  <si>
    <t>Kate Ingelstrom</t>
  </si>
  <si>
    <t>J&amp;J 5490 GAP Outdoor Furniture</t>
  </si>
  <si>
    <t>Charities Housing</t>
  </si>
  <si>
    <t>Simpson Thacher &amp; Bartlett LLP</t>
  </si>
  <si>
    <t>Krissa Collins</t>
  </si>
  <si>
    <t>Charities Housing 585 Keyes Street</t>
  </si>
  <si>
    <t>Volz Company</t>
  </si>
  <si>
    <t>Stanford Braun Music Center - LL 01 &amp; 11</t>
  </si>
  <si>
    <t>Melissa Avalos</t>
  </si>
  <si>
    <t>Kleiner Perkins</t>
  </si>
  <si>
    <t>Meritech 735 - Outdoor Retrofit</t>
  </si>
  <si>
    <t>Rayna Mitchell</t>
  </si>
  <si>
    <t>Rural County Representatives of CA</t>
  </si>
  <si>
    <t>RCRC</t>
  </si>
  <si>
    <t>Apollo Wellness Center</t>
  </si>
  <si>
    <t>Hinge Biosciences</t>
  </si>
  <si>
    <t>Gavilan CC SS203</t>
  </si>
  <si>
    <t>Stanford CAM 350F - Pullout Sofa</t>
  </si>
  <si>
    <t>Kleiner Perkins/SF Ancillary</t>
  </si>
  <si>
    <t xml:space="preserve"> 47709 Stanford, Deep Lab HEPL South Building RFP</t>
  </si>
  <si>
    <t>Patty Medina</t>
  </si>
  <si>
    <t>CoSC Diversion &amp; Reentry Multipurpose Auditorium</t>
  </si>
  <si>
    <t>IDEC Carlsbad</t>
  </si>
  <si>
    <t>IDEC</t>
  </si>
  <si>
    <t>Phase 1 - Common Spaces</t>
  </si>
  <si>
    <t>Webster House</t>
  </si>
  <si>
    <t>SF - Phone Booths</t>
  </si>
  <si>
    <t>Simpson Thatcher - Palo Alto Ancillary</t>
  </si>
  <si>
    <t>Simpson Thatcher - Palo Alto Casegoods</t>
  </si>
  <si>
    <t>SJSU 1st FL Offices Clark Hall</t>
  </si>
  <si>
    <t>Xaira Therapeutics</t>
  </si>
  <si>
    <t>Stanford Beckman B062A Conference Room</t>
  </si>
  <si>
    <t>Stanford Edwards R304 Storage Adds</t>
  </si>
  <si>
    <t>Stanford Hoover Institute - Dallas Office</t>
  </si>
  <si>
    <t>Stanford Hoover Institution</t>
  </si>
  <si>
    <t>Stanford Miller Library - Maker Space Refresh</t>
  </si>
  <si>
    <t>Stanislaus County Sheriff Dept</t>
  </si>
  <si>
    <t>Xaira - Seattle</t>
  </si>
  <si>
    <t>Sidley Austin</t>
  </si>
  <si>
    <t>Activity</t>
  </si>
  <si>
    <t>Closed/Lost</t>
  </si>
  <si>
    <t>Alex Blangeres</t>
  </si>
  <si>
    <t>19th Floor Move</t>
  </si>
  <si>
    <t>California Hospital Association</t>
  </si>
  <si>
    <t>Andrea Greever</t>
  </si>
  <si>
    <t>AAA Northern California, Utah &amp; Nevada</t>
  </si>
  <si>
    <t>Farrah Race</t>
  </si>
  <si>
    <t>Raxium, Inc</t>
  </si>
  <si>
    <t>Fremont Expansion Phase 2</t>
  </si>
  <si>
    <t>Garden Highway Office</t>
  </si>
  <si>
    <t>Formation Environmental</t>
  </si>
  <si>
    <t>Livermore Training Center</t>
  </si>
  <si>
    <t>Cement Mason</t>
  </si>
  <si>
    <t>Sacramento Office</t>
  </si>
  <si>
    <t>Schuering, Zimmerman &amp; Doyle</t>
  </si>
  <si>
    <t>Anthony Pantaleoni</t>
  </si>
  <si>
    <t>Google, Inc.</t>
  </si>
  <si>
    <t>Mary Sparacino</t>
  </si>
  <si>
    <t>900 Island Drive - Ancillary Furniture</t>
  </si>
  <si>
    <t>900 Island Drive - Workstation and PO</t>
  </si>
  <si>
    <t>Genesis Rita</t>
  </si>
  <si>
    <t>Maria Estrada</t>
  </si>
  <si>
    <t>Cellares- New HQ Ancillary</t>
  </si>
  <si>
    <t>Cellares</t>
  </si>
  <si>
    <t>Vertex Companies</t>
  </si>
  <si>
    <t>Frances Kim</t>
  </si>
  <si>
    <t>Chryslyn Perkins</t>
  </si>
  <si>
    <t>Abridge AI Pittsburgh</t>
  </si>
  <si>
    <t>Abridge AI</t>
  </si>
  <si>
    <t>Delta College - Empowerment Resource Center</t>
  </si>
  <si>
    <t>San Joaquin Delta College</t>
  </si>
  <si>
    <t>Delta College Veterans Resource Center</t>
  </si>
  <si>
    <t>Legend Construction &amp; Painting Inc. (GC)</t>
  </si>
  <si>
    <t xml:space="preserve">Legend: DCMA TI </t>
  </si>
  <si>
    <t>Vertex - Braintree, Mass PHASE 2</t>
  </si>
  <si>
    <t>Jennifer Lombardi</t>
  </si>
  <si>
    <t>49480 Stanford SIEPR, HAT Desks + Task Chairs</t>
  </si>
  <si>
    <t>Stanford Institute of Economic Policy and Research</t>
  </si>
  <si>
    <t>Lindsay Purdom</t>
  </si>
  <si>
    <t>Kimi Katsuyoshi</t>
  </si>
  <si>
    <t>Torrey Crell</t>
  </si>
  <si>
    <t>Stanford Alumni Refresh, Phase 3, Order 4, Storage</t>
  </si>
  <si>
    <t>Tencent</t>
  </si>
  <si>
    <t>County of Santa Cruz</t>
  </si>
  <si>
    <t>County of Alameda Sheriff's Office</t>
  </si>
  <si>
    <t>Yuba Library</t>
  </si>
  <si>
    <t>Yuba County Library</t>
  </si>
  <si>
    <t>Megan Ewers</t>
  </si>
  <si>
    <t>Marena Brown</t>
  </si>
  <si>
    <t>COA Office of Emergency Services</t>
  </si>
  <si>
    <t>CoSC Main Jail North</t>
  </si>
  <si>
    <t>CoSCz BOS Chambers Chairs</t>
  </si>
  <si>
    <t>El Gabilan - Office 120 Desk</t>
  </si>
  <si>
    <t>Gina Ortis</t>
  </si>
  <si>
    <t xml:space="preserve">Mitchell Park Place </t>
  </si>
  <si>
    <t>Eden Housing</t>
  </si>
  <si>
    <t>SJSU 140 Clark Hall Workstations</t>
  </si>
  <si>
    <t>SJSU 517 Clark Hall Office</t>
  </si>
  <si>
    <t>SJSU MLK AI Lab</t>
  </si>
  <si>
    <t>VHC East Valley Workstations</t>
  </si>
  <si>
    <t>Stanford 3145 Porter - Wing D Conf Ctr Acoustic Tiles</t>
  </si>
  <si>
    <t>Stanford HHMB Reading Room Reference Desk</t>
  </si>
  <si>
    <t>Irvine We Work Space</t>
  </si>
  <si>
    <t>Casey Fleming</t>
  </si>
  <si>
    <t>Matter Venture Partners</t>
  </si>
  <si>
    <t>Matter Venture</t>
  </si>
  <si>
    <t>Trousdale Ventures Day 1</t>
  </si>
  <si>
    <t>Trousdale Ventures</t>
  </si>
  <si>
    <t>MTV4 Services</t>
  </si>
  <si>
    <t>Allen Matkins (The Collective)</t>
  </si>
  <si>
    <t>The Collective</t>
  </si>
  <si>
    <t xml:space="preserve">Google - MTRL Change Order 3 </t>
  </si>
  <si>
    <t>Google - MTRL Events Change Order 2</t>
  </si>
  <si>
    <t>Sidley Austin - SF Ancillary</t>
  </si>
  <si>
    <t>Lunch, Michelle Hatton-Olivia Gorfain</t>
  </si>
  <si>
    <t>Sidley Austin - SF Private Offices</t>
  </si>
  <si>
    <t>Sidley Austin - SF Sec Stations + Conf</t>
  </si>
  <si>
    <t>Sidley Austin -Misc + Labor</t>
  </si>
  <si>
    <t>Abridge PGH Refresh</t>
  </si>
  <si>
    <t>Palmetto</t>
  </si>
  <si>
    <t>Confirm close date and amount please, -Kimi Katsuyoshi</t>
  </si>
  <si>
    <t>Palmetto - Charlotte NC Suite 350</t>
  </si>
  <si>
    <t>AAA - Menlo Park Branch</t>
  </si>
  <si>
    <t>Oak Grove Food Manager Station</t>
  </si>
  <si>
    <t>August</t>
  </si>
  <si>
    <t>92356</t>
  </si>
  <si>
    <t>201 Spear Property, LLC</t>
  </si>
  <si>
    <t>San Francisco</t>
  </si>
  <si>
    <t>94139</t>
  </si>
  <si>
    <t>91013</t>
  </si>
  <si>
    <t>93868</t>
  </si>
  <si>
    <t>345 California L.P.</t>
  </si>
  <si>
    <t>93863</t>
  </si>
  <si>
    <t>Mark Dailey</t>
  </si>
  <si>
    <t>Sacramento</t>
  </si>
  <si>
    <t>90396</t>
  </si>
  <si>
    <t>93768</t>
  </si>
  <si>
    <t>93952</t>
  </si>
  <si>
    <t>93600</t>
  </si>
  <si>
    <t>89421</t>
  </si>
  <si>
    <t>93044</t>
  </si>
  <si>
    <t>92663</t>
  </si>
  <si>
    <t>94153</t>
  </si>
  <si>
    <t>87642</t>
  </si>
  <si>
    <t>94232</t>
  </si>
  <si>
    <t>94218</t>
  </si>
  <si>
    <t>94233</t>
  </si>
  <si>
    <t>94269</t>
  </si>
  <si>
    <t>93056</t>
  </si>
  <si>
    <t>93821</t>
  </si>
  <si>
    <t>Accel Management Co</t>
  </si>
  <si>
    <t>94060</t>
  </si>
  <si>
    <t>93266</t>
  </si>
  <si>
    <t>93991</t>
  </si>
  <si>
    <t>Alta California Regional Center</t>
  </si>
  <si>
    <t>85649</t>
  </si>
  <si>
    <t>Altos Labs, Inc.</t>
  </si>
  <si>
    <t>Carina Collison</t>
  </si>
  <si>
    <t>93440</t>
  </si>
  <si>
    <t>91206</t>
  </si>
  <si>
    <t>92956</t>
  </si>
  <si>
    <t>93881</t>
  </si>
  <si>
    <t>San Jose</t>
  </si>
  <si>
    <t>91202</t>
  </si>
  <si>
    <t>91346</t>
  </si>
  <si>
    <t>89703</t>
  </si>
  <si>
    <t>AME Cloud Services, LLC</t>
  </si>
  <si>
    <t>93070</t>
  </si>
  <si>
    <t>Apercen Partners</t>
  </si>
  <si>
    <t>Shayle Wallis</t>
  </si>
  <si>
    <t>93764</t>
  </si>
  <si>
    <t>Arcadia Development Company</t>
  </si>
  <si>
    <t>Chryslyn Perkins,Lovina Vasudeva</t>
  </si>
  <si>
    <t>94041</t>
  </si>
  <si>
    <t>92994</t>
  </si>
  <si>
    <t>Arcellx</t>
  </si>
  <si>
    <t>92436</t>
  </si>
  <si>
    <t>Arcline Investment Management</t>
  </si>
  <si>
    <t>Hana Estrada</t>
  </si>
  <si>
    <t>94063</t>
  </si>
  <si>
    <t>Ascendis Pharma Inc.</t>
  </si>
  <si>
    <t>92656</t>
  </si>
  <si>
    <t>94160</t>
  </si>
  <si>
    <t>90669</t>
  </si>
  <si>
    <t>Astera Institute</t>
  </si>
  <si>
    <t>Nathasha Cherubin</t>
  </si>
  <si>
    <t>Other</t>
  </si>
  <si>
    <t>93621</t>
  </si>
  <si>
    <t>AVA Total Solutions LLC</t>
  </si>
  <si>
    <t>91951</t>
  </si>
  <si>
    <t>Aveva</t>
  </si>
  <si>
    <t>Paul Razo,Saoirse O'Connor</t>
  </si>
  <si>
    <t>Paul Razo</t>
  </si>
  <si>
    <t>93138</t>
  </si>
  <si>
    <t>Bay Area Air Quality Management District</t>
  </si>
  <si>
    <t>Hana Estrada,Paul Razo</t>
  </si>
  <si>
    <t>94100</t>
  </si>
  <si>
    <t>Bay Area Headquarters Authority</t>
  </si>
  <si>
    <t>93624</t>
  </si>
  <si>
    <t>92563</t>
  </si>
  <si>
    <t>90447</t>
  </si>
  <si>
    <t>93823</t>
  </si>
  <si>
    <t>Be Workplace Design</t>
  </si>
  <si>
    <t>Simon Sheppard</t>
  </si>
  <si>
    <t>89105</t>
  </si>
  <si>
    <t>Berkeley Research Group, LLC</t>
  </si>
  <si>
    <t>Chryslyn Perkins,Frances Kim</t>
  </si>
  <si>
    <t>92504</t>
  </si>
  <si>
    <t>Best, Best &amp; Krieger LLP</t>
  </si>
  <si>
    <t>93759</t>
  </si>
  <si>
    <t>Boston Properties Limited Partnership</t>
  </si>
  <si>
    <t>Josie Maitlen</t>
  </si>
  <si>
    <t>93911</t>
  </si>
  <si>
    <t>89645</t>
  </si>
  <si>
    <t>93776</t>
  </si>
  <si>
    <t>BridgeBio Pharma, Inc</t>
  </si>
  <si>
    <t>93406</t>
  </si>
  <si>
    <t>Business Interiors Inc</t>
  </si>
  <si>
    <t>90129</t>
  </si>
  <si>
    <t>California Association of Hospital and Health Systems</t>
  </si>
  <si>
    <t>93928</t>
  </si>
  <si>
    <t>California Pacific Orthopaedic</t>
  </si>
  <si>
    <t>93234</t>
  </si>
  <si>
    <t>California State University, Sacramento</t>
  </si>
  <si>
    <t>93226</t>
  </si>
  <si>
    <t>93477</t>
  </si>
  <si>
    <t>91517</t>
  </si>
  <si>
    <t>California State University, Stanislaus</t>
  </si>
  <si>
    <t>93655</t>
  </si>
  <si>
    <t>Calpers</t>
  </si>
  <si>
    <t>93933</t>
  </si>
  <si>
    <t>Canum Wealth Partners</t>
  </si>
  <si>
    <t>Jillian Galla</t>
  </si>
  <si>
    <t>92506</t>
  </si>
  <si>
    <t>CAW Architects</t>
  </si>
  <si>
    <t>91870</t>
  </si>
  <si>
    <t>93887</t>
  </si>
  <si>
    <t>90381</t>
  </si>
  <si>
    <t>90382</t>
  </si>
  <si>
    <t>90577</t>
  </si>
  <si>
    <t>93342</t>
  </si>
  <si>
    <t>89560</t>
  </si>
  <si>
    <t>CBRE- San Francisco</t>
  </si>
  <si>
    <t>93597</t>
  </si>
  <si>
    <t>Cement Masons Apprenticeship &amp; Training Trust Fund For Northern CA</t>
  </si>
  <si>
    <t>93537</t>
  </si>
  <si>
    <t>Chan Zuckerberg Initiative</t>
  </si>
  <si>
    <t>Frances Kim,Kimi Katsuyoshi</t>
  </si>
  <si>
    <t>94117</t>
  </si>
  <si>
    <t>94240</t>
  </si>
  <si>
    <t>Chapa-De Indian Health</t>
  </si>
  <si>
    <t>Farrah Race,Shayle Wallis</t>
  </si>
  <si>
    <t>89637</t>
  </si>
  <si>
    <t>93133</t>
  </si>
  <si>
    <t>94125</t>
  </si>
  <si>
    <t>88837</t>
  </si>
  <si>
    <t>Charles Schwab</t>
  </si>
  <si>
    <t>90488</t>
  </si>
  <si>
    <t>90486</t>
  </si>
  <si>
    <t>89827</t>
  </si>
  <si>
    <t>Circle Pharma, Inc</t>
  </si>
  <si>
    <t>93229</t>
  </si>
  <si>
    <t>City of Moreno Valley</t>
  </si>
  <si>
    <t>94305</t>
  </si>
  <si>
    <t>90318</t>
  </si>
  <si>
    <t>City of San Jose</t>
  </si>
  <si>
    <t>93824</t>
  </si>
  <si>
    <t>Cooley LLP- Palo Alto</t>
  </si>
  <si>
    <t>Lovina Vasudeva</t>
  </si>
  <si>
    <t>93859</t>
  </si>
  <si>
    <t>93860</t>
  </si>
  <si>
    <t>93460</t>
  </si>
  <si>
    <t>Core Business Interiors</t>
  </si>
  <si>
    <t>92992</t>
  </si>
  <si>
    <t>County of Alameda General Services</t>
  </si>
  <si>
    <t>92216</t>
  </si>
  <si>
    <t>County of Alameda Public Works Agency</t>
  </si>
  <si>
    <t>94227</t>
  </si>
  <si>
    <t>County of Sacramento</t>
  </si>
  <si>
    <t>93938</t>
  </si>
  <si>
    <t>93557</t>
  </si>
  <si>
    <t>92722</t>
  </si>
  <si>
    <t>93736</t>
  </si>
  <si>
    <t>92140</t>
  </si>
  <si>
    <t>Gina Ortis,Megan Ewers</t>
  </si>
  <si>
    <t>93888</t>
  </si>
  <si>
    <t>93204</t>
  </si>
  <si>
    <t>91995</t>
  </si>
  <si>
    <t>91749</t>
  </si>
  <si>
    <t>93851</t>
  </si>
  <si>
    <t>93843</t>
  </si>
  <si>
    <t>90472</t>
  </si>
  <si>
    <t>93923</t>
  </si>
  <si>
    <t>89374</t>
  </si>
  <si>
    <t>93141</t>
  </si>
  <si>
    <t>92135</t>
  </si>
  <si>
    <t>90569</t>
  </si>
  <si>
    <t>93451</t>
  </si>
  <si>
    <t>87807</t>
  </si>
  <si>
    <t>93760</t>
  </si>
  <si>
    <t>94163</t>
  </si>
  <si>
    <t>94254</t>
  </si>
  <si>
    <t>85671</t>
  </si>
  <si>
    <t>89684</t>
  </si>
  <si>
    <t>92909</t>
  </si>
  <si>
    <t>89997</t>
  </si>
  <si>
    <t>92805</t>
  </si>
  <si>
    <t>91742</t>
  </si>
  <si>
    <t>Cytokinetics</t>
  </si>
  <si>
    <t>90995</t>
  </si>
  <si>
    <t>94081</t>
  </si>
  <si>
    <t>93954</t>
  </si>
  <si>
    <t>92816</t>
  </si>
  <si>
    <t>Davis Polk &amp; Wardwell LLP</t>
  </si>
  <si>
    <t>Melissa Rokes,Torrey Carroll</t>
  </si>
  <si>
    <t>Torrey Carroll</t>
  </si>
  <si>
    <t>91373</t>
  </si>
  <si>
    <t>91882</t>
  </si>
  <si>
    <t>Debner, Inc</t>
  </si>
  <si>
    <t>Matt Denning</t>
  </si>
  <si>
    <t>91630</t>
  </si>
  <si>
    <t>Delfino Madden O'Malley Coyle Koewler LLP</t>
  </si>
  <si>
    <t>93775</t>
  </si>
  <si>
    <t>Department of Veteran Affairs</t>
  </si>
  <si>
    <t>93975</t>
  </si>
  <si>
    <t>94228</t>
  </si>
  <si>
    <t>93650</t>
  </si>
  <si>
    <t>Digital Realty Trust</t>
  </si>
  <si>
    <t>91420</t>
  </si>
  <si>
    <t>90819</t>
  </si>
  <si>
    <t>Dodge and Cox</t>
  </si>
  <si>
    <t>90822</t>
  </si>
  <si>
    <t>93820</t>
  </si>
  <si>
    <t>E&amp;J Gallo Winery</t>
  </si>
  <si>
    <t>93897</t>
  </si>
  <si>
    <t>92376</t>
  </si>
  <si>
    <t>93879</t>
  </si>
  <si>
    <t>93721</t>
  </si>
  <si>
    <t>92514</t>
  </si>
  <si>
    <t>93224</t>
  </si>
  <si>
    <t>93883</t>
  </si>
  <si>
    <t>89144</t>
  </si>
  <si>
    <t>Casey Fleming,Troy Ocariza</t>
  </si>
  <si>
    <t>92761</t>
  </si>
  <si>
    <t>Eastdil Secured</t>
  </si>
  <si>
    <t>93571</t>
  </si>
  <si>
    <t>93263</t>
  </si>
  <si>
    <t>93376</t>
  </si>
  <si>
    <t>93570</t>
  </si>
  <si>
    <t>93858</t>
  </si>
  <si>
    <t>93874</t>
  </si>
  <si>
    <t>93876</t>
  </si>
  <si>
    <t>94118</t>
  </si>
  <si>
    <t>Ebay Inc.</t>
  </si>
  <si>
    <t>Carina Collison,Casey Fleming</t>
  </si>
  <si>
    <t>94294</t>
  </si>
  <si>
    <t>94295</t>
  </si>
  <si>
    <t>93990</t>
  </si>
  <si>
    <t>El Camino 4410, LLC</t>
  </si>
  <si>
    <t>93549</t>
  </si>
  <si>
    <t>Farallon Capital Management, LLC</t>
  </si>
  <si>
    <t>91943</t>
  </si>
  <si>
    <t>93753</t>
  </si>
  <si>
    <t>94225</t>
  </si>
  <si>
    <t>93693</t>
  </si>
  <si>
    <t>Fenwick &amp; West LLP</t>
  </si>
  <si>
    <t>93746</t>
  </si>
  <si>
    <t>Ferguson Enterprises</t>
  </si>
  <si>
    <t>93706</t>
  </si>
  <si>
    <t>First Northern Bank</t>
  </si>
  <si>
    <t>93989</t>
  </si>
  <si>
    <t>91576</t>
  </si>
  <si>
    <t>92594</t>
  </si>
  <si>
    <t>94234</t>
  </si>
  <si>
    <t>Freestone Grove Partners, LP</t>
  </si>
  <si>
    <t>91483</t>
  </si>
  <si>
    <t>Gavilan Joint Community College District</t>
  </si>
  <si>
    <t>92196</t>
  </si>
  <si>
    <t>GCI General Contractors (GC)</t>
  </si>
  <si>
    <t>85470</t>
  </si>
  <si>
    <t>Gensler</t>
  </si>
  <si>
    <t>92797</t>
  </si>
  <si>
    <t>Geremia &amp; Cullen</t>
  </si>
  <si>
    <t>93865</t>
  </si>
  <si>
    <t>Gilbane Building Company (GC)</t>
  </si>
  <si>
    <t>92921</t>
  </si>
  <si>
    <t>92263</t>
  </si>
  <si>
    <t>Global Relay USA Inc.</t>
  </si>
  <si>
    <t>91256</t>
  </si>
  <si>
    <t>Google- Retail</t>
  </si>
  <si>
    <t>91455</t>
  </si>
  <si>
    <t>92472</t>
  </si>
  <si>
    <t>92034</t>
  </si>
  <si>
    <t>93054</t>
  </si>
  <si>
    <t>Google, LLC</t>
  </si>
  <si>
    <t>93473</t>
  </si>
  <si>
    <t>93714</t>
  </si>
  <si>
    <t>Anthony Pantaleoni,Hana Estrada</t>
  </si>
  <si>
    <t>93763</t>
  </si>
  <si>
    <t>93674</t>
  </si>
  <si>
    <t>93840</t>
  </si>
  <si>
    <t>90506</t>
  </si>
  <si>
    <t>Grammarly</t>
  </si>
  <si>
    <t>93671</t>
  </si>
  <si>
    <t>93349</t>
  </si>
  <si>
    <t>89141</t>
  </si>
  <si>
    <t>Greater Sacramento Urban League</t>
  </si>
  <si>
    <t>93982</t>
  </si>
  <si>
    <t>92573</t>
  </si>
  <si>
    <t>Gryphon Investors</t>
  </si>
  <si>
    <t>93943</t>
  </si>
  <si>
    <t>91654</t>
  </si>
  <si>
    <t>Guidewire Software, Inc.</t>
  </si>
  <si>
    <t>86626</t>
  </si>
  <si>
    <t>Gunderson Dettmer, LLP (Silicon Valley)</t>
  </si>
  <si>
    <t>93935</t>
  </si>
  <si>
    <t>Josie Maitlen,Torrey Carroll</t>
  </si>
  <si>
    <t>91639</t>
  </si>
  <si>
    <t>Heffernan Insurance Brokers</t>
  </si>
  <si>
    <t>92675</t>
  </si>
  <si>
    <t>Hinge Bio Inc.</t>
  </si>
  <si>
    <t>Farrah Race,Mary Sparacino</t>
  </si>
  <si>
    <t>93691</t>
  </si>
  <si>
    <t>93838</t>
  </si>
  <si>
    <t>Hitachi Energy</t>
  </si>
  <si>
    <t>93835</t>
  </si>
  <si>
    <t>94087</t>
  </si>
  <si>
    <t>92053</t>
  </si>
  <si>
    <t>Hitachi Vantara LLC.</t>
  </si>
  <si>
    <t>94155</t>
  </si>
  <si>
    <t>93834</t>
  </si>
  <si>
    <t>Hoge Fenton</t>
  </si>
  <si>
    <t>93845</t>
  </si>
  <si>
    <t>94029</t>
  </si>
  <si>
    <t>93836</t>
  </si>
  <si>
    <t>Intuit E-Commerce Orders</t>
  </si>
  <si>
    <t>94241</t>
  </si>
  <si>
    <t>93809</t>
  </si>
  <si>
    <t>93847</t>
  </si>
  <si>
    <t>93788</t>
  </si>
  <si>
    <t>93848</t>
  </si>
  <si>
    <t>93850</t>
  </si>
  <si>
    <t>92947</t>
  </si>
  <si>
    <t>93720</t>
  </si>
  <si>
    <t>93798</t>
  </si>
  <si>
    <t>93807</t>
  </si>
  <si>
    <t>93810</t>
  </si>
  <si>
    <t>93896</t>
  </si>
  <si>
    <t>93898</t>
  </si>
  <si>
    <t>93899</t>
  </si>
  <si>
    <t>93901</t>
  </si>
  <si>
    <t>93808</t>
  </si>
  <si>
    <t>93902</t>
  </si>
  <si>
    <t>93903</t>
  </si>
  <si>
    <t>93904</t>
  </si>
  <si>
    <t>91684</t>
  </si>
  <si>
    <t>91970</t>
  </si>
  <si>
    <t>92419</t>
  </si>
  <si>
    <t>93804</t>
  </si>
  <si>
    <t>92420</t>
  </si>
  <si>
    <t>92961</t>
  </si>
  <si>
    <t>92962</t>
  </si>
  <si>
    <t>92963</t>
  </si>
  <si>
    <t>92964</t>
  </si>
  <si>
    <t>92965</t>
  </si>
  <si>
    <t>92987</t>
  </si>
  <si>
    <t>92988</t>
  </si>
  <si>
    <t>92989</t>
  </si>
  <si>
    <t>92990</t>
  </si>
  <si>
    <t>93025</t>
  </si>
  <si>
    <t>93026</t>
  </si>
  <si>
    <t>93027</t>
  </si>
  <si>
    <t>93028</t>
  </si>
  <si>
    <t>93029</t>
  </si>
  <si>
    <t>93030</t>
  </si>
  <si>
    <t>93031</t>
  </si>
  <si>
    <t>93077</t>
  </si>
  <si>
    <t>93078</t>
  </si>
  <si>
    <t>93079</t>
  </si>
  <si>
    <t>93080</t>
  </si>
  <si>
    <t>93103</t>
  </si>
  <si>
    <t>93104</t>
  </si>
  <si>
    <t>93105</t>
  </si>
  <si>
    <t>93126</t>
  </si>
  <si>
    <t>93127</t>
  </si>
  <si>
    <t>93129</t>
  </si>
  <si>
    <t>93130</t>
  </si>
  <si>
    <t>93143</t>
  </si>
  <si>
    <t>93144</t>
  </si>
  <si>
    <t>93145</t>
  </si>
  <si>
    <t>93178</t>
  </si>
  <si>
    <t>93179</t>
  </si>
  <si>
    <t>93180</t>
  </si>
  <si>
    <t>93181</t>
  </si>
  <si>
    <t>93182</t>
  </si>
  <si>
    <t>93183</t>
  </si>
  <si>
    <t>93184</t>
  </si>
  <si>
    <t>93185</t>
  </si>
  <si>
    <t>93211</t>
  </si>
  <si>
    <t>93212</t>
  </si>
  <si>
    <t>93213</t>
  </si>
  <si>
    <t>93214</t>
  </si>
  <si>
    <t>93215</t>
  </si>
  <si>
    <t>93216</t>
  </si>
  <si>
    <t>93219</t>
  </si>
  <si>
    <t>93220</t>
  </si>
  <si>
    <t>93246</t>
  </si>
  <si>
    <t>93278</t>
  </si>
  <si>
    <t>93957</t>
  </si>
  <si>
    <t>93900</t>
  </si>
  <si>
    <t>93905</t>
  </si>
  <si>
    <t>93956</t>
  </si>
  <si>
    <t>93958</t>
  </si>
  <si>
    <t>93960</t>
  </si>
  <si>
    <t>93959</t>
  </si>
  <si>
    <t>93992</t>
  </si>
  <si>
    <t>93996</t>
  </si>
  <si>
    <t>93993</t>
  </si>
  <si>
    <t>93995</t>
  </si>
  <si>
    <t>93997</t>
  </si>
  <si>
    <t>93998</t>
  </si>
  <si>
    <t>93999</t>
  </si>
  <si>
    <t>94000</t>
  </si>
  <si>
    <t>94018</t>
  </si>
  <si>
    <t>94019</t>
  </si>
  <si>
    <t>94020</t>
  </si>
  <si>
    <t>94021</t>
  </si>
  <si>
    <t>94022</t>
  </si>
  <si>
    <t>94023</t>
  </si>
  <si>
    <t>93994</t>
  </si>
  <si>
    <t>94064</t>
  </si>
  <si>
    <t>94065</t>
  </si>
  <si>
    <t>94068</t>
  </si>
  <si>
    <t>93276</t>
  </si>
  <si>
    <t>93484</t>
  </si>
  <si>
    <t>93500</t>
  </si>
  <si>
    <t>94025</t>
  </si>
  <si>
    <t>94066</t>
  </si>
  <si>
    <t>94070</t>
  </si>
  <si>
    <t>94024</t>
  </si>
  <si>
    <t>94067</t>
  </si>
  <si>
    <t>94111</t>
  </si>
  <si>
    <t>94108</t>
  </si>
  <si>
    <t>94107</t>
  </si>
  <si>
    <t>94110</t>
  </si>
  <si>
    <t>94128</t>
  </si>
  <si>
    <t>94129</t>
  </si>
  <si>
    <t>93531</t>
  </si>
  <si>
    <t>94069</t>
  </si>
  <si>
    <t>94112</t>
  </si>
  <si>
    <t>94114</t>
  </si>
  <si>
    <t>94130</t>
  </si>
  <si>
    <t>94148</t>
  </si>
  <si>
    <t>94149</t>
  </si>
  <si>
    <t>94146</t>
  </si>
  <si>
    <t>94109</t>
  </si>
  <si>
    <t>93486</t>
  </si>
  <si>
    <t>94113</t>
  </si>
  <si>
    <t>94147</t>
  </si>
  <si>
    <t>94169</t>
  </si>
  <si>
    <t>94171</t>
  </si>
  <si>
    <t>94172</t>
  </si>
  <si>
    <t>94174</t>
  </si>
  <si>
    <t>94175</t>
  </si>
  <si>
    <t>94176</t>
  </si>
  <si>
    <t>94150</t>
  </si>
  <si>
    <t>94168</t>
  </si>
  <si>
    <t>94177</t>
  </si>
  <si>
    <t>94178</t>
  </si>
  <si>
    <t>94179</t>
  </si>
  <si>
    <t>94180</t>
  </si>
  <si>
    <t>94170</t>
  </si>
  <si>
    <t>94173</t>
  </si>
  <si>
    <t>94272</t>
  </si>
  <si>
    <t>94277</t>
  </si>
  <si>
    <t>94167</t>
  </si>
  <si>
    <t>94271</t>
  </si>
  <si>
    <t>94273</t>
  </si>
  <si>
    <t>94276</t>
  </si>
  <si>
    <t>94308</t>
  </si>
  <si>
    <t>93479</t>
  </si>
  <si>
    <t>Intuit-OR 205</t>
  </si>
  <si>
    <t>90897</t>
  </si>
  <si>
    <t>Casey Fleming,Norma Lopez</t>
  </si>
  <si>
    <t>93786</t>
  </si>
  <si>
    <t>93058</t>
  </si>
  <si>
    <t>Jessica Ramirez</t>
  </si>
  <si>
    <t>93072</t>
  </si>
  <si>
    <t>90809</t>
  </si>
  <si>
    <t>93713</t>
  </si>
  <si>
    <t>91658</t>
  </si>
  <si>
    <t>92693</t>
  </si>
  <si>
    <t>93941</t>
  </si>
  <si>
    <t>93932</t>
  </si>
  <si>
    <t>93987</t>
  </si>
  <si>
    <t>93924</t>
  </si>
  <si>
    <t>88946</t>
  </si>
  <si>
    <t>91953</t>
  </si>
  <si>
    <t>92661</t>
  </si>
  <si>
    <t>94008</t>
  </si>
  <si>
    <t>94095</t>
  </si>
  <si>
    <t>94145</t>
  </si>
  <si>
    <t>93877</t>
  </si>
  <si>
    <t>88118</t>
  </si>
  <si>
    <t>92637</t>
  </si>
  <si>
    <t>93301</t>
  </si>
  <si>
    <t>93622</t>
  </si>
  <si>
    <t>93668</t>
  </si>
  <si>
    <t>93872</t>
  </si>
  <si>
    <t>93508</t>
  </si>
  <si>
    <t>93302</t>
  </si>
  <si>
    <t>93472</t>
  </si>
  <si>
    <t>88268</t>
  </si>
  <si>
    <t>93008</t>
  </si>
  <si>
    <t>94042</t>
  </si>
  <si>
    <t>92320</t>
  </si>
  <si>
    <t>93291</t>
  </si>
  <si>
    <t>94083</t>
  </si>
  <si>
    <t>94102</t>
  </si>
  <si>
    <t>93842</t>
  </si>
  <si>
    <t>94140</t>
  </si>
  <si>
    <t>93607</t>
  </si>
  <si>
    <t>94002</t>
  </si>
  <si>
    <t>94004</t>
  </si>
  <si>
    <t>93641</t>
  </si>
  <si>
    <t>94238</t>
  </si>
  <si>
    <t>93538</t>
  </si>
  <si>
    <t>94198</t>
  </si>
  <si>
    <t>92291</t>
  </si>
  <si>
    <t>92552</t>
  </si>
  <si>
    <t>92553</t>
  </si>
  <si>
    <t>93609</t>
  </si>
  <si>
    <t>93812</t>
  </si>
  <si>
    <t>Jazz Pharmaceuticals</t>
  </si>
  <si>
    <t>93457</t>
  </si>
  <si>
    <t>93709</t>
  </si>
  <si>
    <t>JLL Google</t>
  </si>
  <si>
    <t>94284</t>
  </si>
  <si>
    <t>Jones Lang Lasalle Americas, Inc.</t>
  </si>
  <si>
    <t>92093</t>
  </si>
  <si>
    <t>Jordan Park Group LLC</t>
  </si>
  <si>
    <t>93701</t>
  </si>
  <si>
    <t>JPPF 115 Battery, L.P.</t>
  </si>
  <si>
    <t>93604</t>
  </si>
  <si>
    <t>94057</t>
  </si>
  <si>
    <t>91554</t>
  </si>
  <si>
    <t>94038</t>
  </si>
  <si>
    <t>87167</t>
  </si>
  <si>
    <t>93393</t>
  </si>
  <si>
    <t>KBM-Hogue</t>
  </si>
  <si>
    <t>91132</t>
  </si>
  <si>
    <t>KBS III Ten Almaden, LLC</t>
  </si>
  <si>
    <t>Saoirse O'Connor</t>
  </si>
  <si>
    <t>92227</t>
  </si>
  <si>
    <t>Kirkland &amp; Ellis</t>
  </si>
  <si>
    <t>93984</t>
  </si>
  <si>
    <t>Land IQ</t>
  </si>
  <si>
    <t>91046</t>
  </si>
  <si>
    <t>Legislative Analyst’s Office</t>
  </si>
  <si>
    <t>92619</t>
  </si>
  <si>
    <t>92781</t>
  </si>
  <si>
    <t>Levi Strauss &amp; Co</t>
  </si>
  <si>
    <t>86660</t>
  </si>
  <si>
    <t>89148</t>
  </si>
  <si>
    <t>93513</t>
  </si>
  <si>
    <t>91387</t>
  </si>
  <si>
    <t>92595</t>
  </si>
  <si>
    <t>92777</t>
  </si>
  <si>
    <t>Littler Mendelson, P.C.</t>
  </si>
  <si>
    <t>93734</t>
  </si>
  <si>
    <t>93707</t>
  </si>
  <si>
    <t>93735</t>
  </si>
  <si>
    <t>90768</t>
  </si>
  <si>
    <t>93969</t>
  </si>
  <si>
    <t>91451</t>
  </si>
  <si>
    <t>94037</t>
  </si>
  <si>
    <t>94091</t>
  </si>
  <si>
    <t>94098</t>
  </si>
  <si>
    <t>94056</t>
  </si>
  <si>
    <t>94086</t>
  </si>
  <si>
    <t>94188</t>
  </si>
  <si>
    <t>90432</t>
  </si>
  <si>
    <t>93176</t>
  </si>
  <si>
    <t>Longfellow Real Estate Partners LLC</t>
  </si>
  <si>
    <t>91042</t>
  </si>
  <si>
    <t>Anthony Pantaleoni,Melissa Rokes</t>
  </si>
  <si>
    <t>93064</t>
  </si>
  <si>
    <t>Lucid Motors</t>
  </si>
  <si>
    <t>92481</t>
  </si>
  <si>
    <t>87614</t>
  </si>
  <si>
    <t>87751</t>
  </si>
  <si>
    <t>92977</t>
  </si>
  <si>
    <t>Mainsail Management Company, LLC</t>
  </si>
  <si>
    <t>94156</t>
  </si>
  <si>
    <t>94076</t>
  </si>
  <si>
    <t>92939</t>
  </si>
  <si>
    <t>Manatt Phelps &amp; Phillips, LLP</t>
  </si>
  <si>
    <t>94152</t>
  </si>
  <si>
    <t>Maria Laurel</t>
  </si>
  <si>
    <t>93100</t>
  </si>
  <si>
    <t>Marin County Free Library</t>
  </si>
  <si>
    <t>92468</t>
  </si>
  <si>
    <t>90998</t>
  </si>
  <si>
    <t>93981</t>
  </si>
  <si>
    <t>94096</t>
  </si>
  <si>
    <t>94159</t>
  </si>
  <si>
    <t>93271</t>
  </si>
  <si>
    <t>McLarney Construction Inc. (GC)</t>
  </si>
  <si>
    <t>91376</t>
  </si>
  <si>
    <t>93536</t>
  </si>
  <si>
    <t>93566</t>
  </si>
  <si>
    <t>MG West Company</t>
  </si>
  <si>
    <t>93112</t>
  </si>
  <si>
    <t>Mintz, Rifkind, Wharton &amp; Garrison LLP</t>
  </si>
  <si>
    <t>93870</t>
  </si>
  <si>
    <t>92623</t>
  </si>
  <si>
    <t>MongoDB Inc</t>
  </si>
  <si>
    <t>93427</t>
  </si>
  <si>
    <t>93619</t>
  </si>
  <si>
    <t>73180</t>
  </si>
  <si>
    <t>NetApp</t>
  </si>
  <si>
    <t>94164</t>
  </si>
  <si>
    <t>Newmark Knight Frank</t>
  </si>
  <si>
    <t>94034</t>
  </si>
  <si>
    <t>Novo Construction (GC)</t>
  </si>
  <si>
    <t>91702</t>
  </si>
  <si>
    <t>Office of Legislative Counsel</t>
  </si>
  <si>
    <t>88080</t>
  </si>
  <si>
    <t>92621</t>
  </si>
  <si>
    <t>91894</t>
  </si>
  <si>
    <t>93937</t>
  </si>
  <si>
    <t>Office Solutions</t>
  </si>
  <si>
    <t>91323</t>
  </si>
  <si>
    <t>Orrick, Herrington &amp; Sutcliffe LLP</t>
  </si>
  <si>
    <t>92330</t>
  </si>
  <si>
    <t>93784</t>
  </si>
  <si>
    <t>92967</t>
  </si>
  <si>
    <t>93771</t>
  </si>
  <si>
    <t>94030</t>
  </si>
  <si>
    <t>91374</t>
  </si>
  <si>
    <t>91320</t>
  </si>
  <si>
    <t>89788</t>
  </si>
  <si>
    <t>91321</t>
  </si>
  <si>
    <t>91322</t>
  </si>
  <si>
    <t>91545</t>
  </si>
  <si>
    <t>81054</t>
  </si>
  <si>
    <t>Liz Grobe</t>
  </si>
  <si>
    <t>93575</t>
  </si>
  <si>
    <t>Ouro Medicines Inc.</t>
  </si>
  <si>
    <t>91836</t>
  </si>
  <si>
    <t>94197</t>
  </si>
  <si>
    <t>93572</t>
  </si>
  <si>
    <t>91518</t>
  </si>
  <si>
    <t>Palmetto Solar, LLC</t>
  </si>
  <si>
    <t>88772</t>
  </si>
  <si>
    <t>Patient Square Capital</t>
  </si>
  <si>
    <t>91437</t>
  </si>
  <si>
    <t>Kimi Katsuyoshi,Melissa Avalos</t>
  </si>
  <si>
    <t>93368</t>
  </si>
  <si>
    <t>93811</t>
  </si>
  <si>
    <t>93813</t>
  </si>
  <si>
    <t>93949</t>
  </si>
  <si>
    <t>91966</t>
  </si>
  <si>
    <t>Peregrine Technologies, Inc.</t>
  </si>
  <si>
    <t>92750</t>
  </si>
  <si>
    <t>93679</t>
  </si>
  <si>
    <t>PFM Health Sciences</t>
  </si>
  <si>
    <t>93918</t>
  </si>
  <si>
    <t>Placer County</t>
  </si>
  <si>
    <t>93920</t>
  </si>
  <si>
    <t>92587</t>
  </si>
  <si>
    <t>92665</t>
  </si>
  <si>
    <t>92789</t>
  </si>
  <si>
    <t>89622</t>
  </si>
  <si>
    <t>Plumas District Hospital</t>
  </si>
  <si>
    <t>92359</t>
  </si>
  <si>
    <t>Plume Design Inc</t>
  </si>
  <si>
    <t>93725</t>
  </si>
  <si>
    <t>Quanata</t>
  </si>
  <si>
    <t>91773</t>
  </si>
  <si>
    <t>Quantumscape Battery Inc.</t>
  </si>
  <si>
    <t>92332</t>
  </si>
  <si>
    <t>92095</t>
  </si>
  <si>
    <t>94007</t>
  </si>
  <si>
    <t>93035</t>
  </si>
  <si>
    <t>Retinal Consultants Medical Group</t>
  </si>
  <si>
    <t>93563</t>
  </si>
  <si>
    <t>93727</t>
  </si>
  <si>
    <t>93929</t>
  </si>
  <si>
    <t>93731</t>
  </si>
  <si>
    <t>93704</t>
  </si>
  <si>
    <t>Erika Duarte,Rayna Mitchell</t>
  </si>
  <si>
    <t>94296</t>
  </si>
  <si>
    <t>94297</t>
  </si>
  <si>
    <t>94249</t>
  </si>
  <si>
    <t>Robinhood Markets, Inc.</t>
  </si>
  <si>
    <t>92270</t>
  </si>
  <si>
    <t>Rural County Representatives of California</t>
  </si>
  <si>
    <t>94001</t>
  </si>
  <si>
    <t>Sacramento Area Council of Governments</t>
  </si>
  <si>
    <t>92815</t>
  </si>
  <si>
    <t>SamTrans</t>
  </si>
  <si>
    <t>93733</t>
  </si>
  <si>
    <t>Samuel Merritt University</t>
  </si>
  <si>
    <t>92664</t>
  </si>
  <si>
    <t>94210</t>
  </si>
  <si>
    <t>89890</t>
  </si>
  <si>
    <t>93596</t>
  </si>
  <si>
    <t>Matt Fleming</t>
  </si>
  <si>
    <t>93745</t>
  </si>
  <si>
    <t>92526</t>
  </si>
  <si>
    <t>93779</t>
  </si>
  <si>
    <t>Casey Fleming,Matt Fleming</t>
  </si>
  <si>
    <t>92377</t>
  </si>
  <si>
    <t>89700</t>
  </si>
  <si>
    <t>93524</t>
  </si>
  <si>
    <t>91082</t>
  </si>
  <si>
    <t>San Jose/Evergreen Community College District</t>
  </si>
  <si>
    <t>93913</t>
  </si>
  <si>
    <t>Sandhill Properties</t>
  </si>
  <si>
    <t>91784</t>
  </si>
  <si>
    <t>Santa Clara County Library District</t>
  </si>
  <si>
    <t>92269</t>
  </si>
  <si>
    <t>92838</t>
  </si>
  <si>
    <t>Santa Clara Valley Water District</t>
  </si>
  <si>
    <t>94245</t>
  </si>
  <si>
    <t>93962</t>
  </si>
  <si>
    <t>SBM Management</t>
  </si>
  <si>
    <t>90013</t>
  </si>
  <si>
    <t>Scale AI</t>
  </si>
  <si>
    <t>93452</t>
  </si>
  <si>
    <t>Sebastopol Union School District</t>
  </si>
  <si>
    <t>91061</t>
  </si>
  <si>
    <t>Sequoia Capital Operations, LLC</t>
  </si>
  <si>
    <t>94079</t>
  </si>
  <si>
    <t>93589</t>
  </si>
  <si>
    <t>93653</t>
  </si>
  <si>
    <t>93672</t>
  </si>
  <si>
    <t>93892</t>
  </si>
  <si>
    <t>93973</t>
  </si>
  <si>
    <t>91391</t>
  </si>
  <si>
    <t>93273</t>
  </si>
  <si>
    <t>93886</t>
  </si>
  <si>
    <t>93773</t>
  </si>
  <si>
    <t>93712</t>
  </si>
  <si>
    <t>Service West</t>
  </si>
  <si>
    <t>92634</t>
  </si>
  <si>
    <t>92850</t>
  </si>
  <si>
    <t>Shorenstein</t>
  </si>
  <si>
    <t>93241</t>
  </si>
  <si>
    <t>91560</t>
  </si>
  <si>
    <t>93344</t>
  </si>
  <si>
    <t>90758</t>
  </si>
  <si>
    <t>Josie Maitlen,Melissa Rokes</t>
  </si>
  <si>
    <t>89415</t>
  </si>
  <si>
    <t>86211</t>
  </si>
  <si>
    <t>94262</t>
  </si>
  <si>
    <t>93758</t>
  </si>
  <si>
    <t>Sidley Austin LLP</t>
  </si>
  <si>
    <t>93861</t>
  </si>
  <si>
    <t>93862</t>
  </si>
  <si>
    <t>93910</t>
  </si>
  <si>
    <t>93950</t>
  </si>
  <si>
    <t>90066</t>
  </si>
  <si>
    <t>Silicon Valley Mechanical, Inc</t>
  </si>
  <si>
    <t>93756</t>
  </si>
  <si>
    <t>93837</t>
  </si>
  <si>
    <t>94061</t>
  </si>
  <si>
    <t>91126</t>
  </si>
  <si>
    <t>90253</t>
  </si>
  <si>
    <t>94014</t>
  </si>
  <si>
    <t>SingleSource, Inc.</t>
  </si>
  <si>
    <t>89501</t>
  </si>
  <si>
    <t>SkyKnight Capital, L.P.</t>
  </si>
  <si>
    <t>93587</t>
  </si>
  <si>
    <t>91941</t>
  </si>
  <si>
    <t>Stanford Law School</t>
  </si>
  <si>
    <t>94074</t>
  </si>
  <si>
    <t>Stanford School of Humanities and Sciences</t>
  </si>
  <si>
    <t>94011</t>
  </si>
  <si>
    <t>90598</t>
  </si>
  <si>
    <t>93547</t>
  </si>
  <si>
    <t>93411</t>
  </si>
  <si>
    <t>93649</t>
  </si>
  <si>
    <t>92936</t>
  </si>
  <si>
    <t>90222</t>
  </si>
  <si>
    <t>Melissa Rokes,Patty Medina</t>
  </si>
  <si>
    <t>Melissa Rokes</t>
  </si>
  <si>
    <t>90068</t>
  </si>
  <si>
    <t>92866</t>
  </si>
  <si>
    <t>91988</t>
  </si>
  <si>
    <t>88211</t>
  </si>
  <si>
    <t>91980</t>
  </si>
  <si>
    <t>93939</t>
  </si>
  <si>
    <t>91854</t>
  </si>
  <si>
    <t>93947</t>
  </si>
  <si>
    <t>93737</t>
  </si>
  <si>
    <t>93815</t>
  </si>
  <si>
    <t>92578</t>
  </si>
  <si>
    <t>92405</t>
  </si>
  <si>
    <t>Stanislaus County Sheriff’s Office</t>
  </si>
  <si>
    <t>91258</t>
  </si>
  <si>
    <t>State of California</t>
  </si>
  <si>
    <t>93931</t>
  </si>
  <si>
    <t>Studio G Architects, Inc</t>
  </si>
  <si>
    <t>93986</t>
  </si>
  <si>
    <t>Studio W Associates, Inc.</t>
  </si>
  <si>
    <t>92704</t>
  </si>
  <si>
    <t>SuperMicro</t>
  </si>
  <si>
    <t>93817</t>
  </si>
  <si>
    <t>Takara Bio</t>
  </si>
  <si>
    <t>93147</t>
  </si>
  <si>
    <t>Tencent America LLC</t>
  </si>
  <si>
    <t>87849</t>
  </si>
  <si>
    <t>Tri Pointe Homes Holdings, Inc</t>
  </si>
  <si>
    <t>89444</t>
  </si>
  <si>
    <t>90761</t>
  </si>
  <si>
    <t>91067</t>
  </si>
  <si>
    <t>93172</t>
  </si>
  <si>
    <t>Trousdale Ventures LCC</t>
  </si>
  <si>
    <t>94248</t>
  </si>
  <si>
    <t>US Bureau of Reclamation</t>
  </si>
  <si>
    <t>92401</t>
  </si>
  <si>
    <t>Vertex Companies, LLC</t>
  </si>
  <si>
    <t>92402</t>
  </si>
  <si>
    <t>93633</t>
  </si>
  <si>
    <t>93662</t>
  </si>
  <si>
    <t>92877</t>
  </si>
  <si>
    <t>93762</t>
  </si>
  <si>
    <t>Vulcraft-Verco Group (GC)</t>
  </si>
  <si>
    <t>81826</t>
  </si>
  <si>
    <t>WelbeHealth, LLC</t>
  </si>
  <si>
    <t>93945</t>
  </si>
  <si>
    <t>93670</t>
  </si>
  <si>
    <t>West Valley-Mission Community College District</t>
  </si>
  <si>
    <t>90871</t>
  </si>
  <si>
    <t>93686</t>
  </si>
  <si>
    <t>Western Office LA, Inc</t>
  </si>
  <si>
    <t>93492</t>
  </si>
  <si>
    <t>Wexford Science and Technology</t>
  </si>
  <si>
    <t>94052</t>
  </si>
  <si>
    <t>87557</t>
  </si>
  <si>
    <t>93464</t>
  </si>
  <si>
    <t>WHA Architects</t>
  </si>
  <si>
    <t>94033</t>
  </si>
  <si>
    <t>94043</t>
  </si>
  <si>
    <t>Wilke Fleury LLP</t>
  </si>
  <si>
    <t>91755</t>
  </si>
  <si>
    <t>92928</t>
  </si>
  <si>
    <t>93852</t>
  </si>
  <si>
    <t>92024</t>
  </si>
  <si>
    <t>92304</t>
  </si>
  <si>
    <t>93871</t>
  </si>
  <si>
    <t>93894</t>
  </si>
  <si>
    <t>91756</t>
  </si>
  <si>
    <t>93908</t>
  </si>
  <si>
    <t>93909</t>
  </si>
  <si>
    <t>93963</t>
  </si>
  <si>
    <t>93922</t>
  </si>
  <si>
    <t>92042</t>
  </si>
  <si>
    <t>93259</t>
  </si>
  <si>
    <t>86911</t>
  </si>
  <si>
    <t>94016</t>
  </si>
  <si>
    <t>93891</t>
  </si>
  <si>
    <t>89502</t>
  </si>
  <si>
    <t>90202</t>
  </si>
  <si>
    <t>92022</t>
  </si>
  <si>
    <t>92029</t>
  </si>
  <si>
    <t>94049</t>
  </si>
  <si>
    <t>94050</t>
  </si>
  <si>
    <t>94051</t>
  </si>
  <si>
    <t>94053</t>
  </si>
  <si>
    <t>94054</t>
  </si>
  <si>
    <t>94055</t>
  </si>
  <si>
    <t>94089</t>
  </si>
  <si>
    <t>94208</t>
  </si>
  <si>
    <t>92043</t>
  </si>
  <si>
    <t>94265</t>
  </si>
  <si>
    <t>94266</t>
  </si>
  <si>
    <t>93084</t>
  </si>
  <si>
    <t>WiZiX Technology Group, Inc</t>
  </si>
  <si>
    <t>92467</t>
  </si>
  <si>
    <t>WRG LLC</t>
  </si>
  <si>
    <t>Eddie Cabrera</t>
  </si>
  <si>
    <t>93921</t>
  </si>
  <si>
    <t>Xaira Therapeutics, Inc.</t>
  </si>
  <si>
    <t>93942</t>
  </si>
  <si>
    <t>93825</t>
  </si>
  <si>
    <t>YouTube, LLC</t>
  </si>
  <si>
    <t>93748</t>
  </si>
  <si>
    <t>Yuba County</t>
  </si>
  <si>
    <t>92532</t>
  </si>
  <si>
    <t>93601</t>
  </si>
  <si>
    <t>Zendesk Inc.</t>
  </si>
  <si>
    <t>93039</t>
  </si>
  <si>
    <t>91509</t>
  </si>
  <si>
    <t>93552</t>
  </si>
  <si>
    <t>91535</t>
  </si>
  <si>
    <t>93882</t>
  </si>
  <si>
    <t>Zlot Buell +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</si>
</sst>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409]d\-mmm\-yy;@"/>
    <numFmt numFmtId="165" formatCode="[$-409]mm/dd/yyyy"/>
    <numFmt numFmtId="166" formatCode="###0.00%"/>
  </numFmts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indexed="8"/>
      <name val="Arial"/>
      <family val="2"/>
    </font>
    <font>
      <sz val="12"/>
      <color theme="1"/>
      <name val="Arial"/>
      <family val="2"/>
    </font>
    <font>
      <sz val="8"/>
      <color indexed="8"/>
      <name val="Arial"/>
      <family val="2"/>
    </font>
    <font>
      <sz val="12"/>
      <color indexed="8"/>
      <name val="Arial"/>
      <family val="2"/>
    </font>
    <font>
      <b/>
      <sz val="12"/>
      <color rgb="FFFF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18" fillId="33" borderId="0" xfId="0" applyFont="1" applyFill="1" applyAlignment="1">
      <alignment horizontal="center" vertical="top"/>
    </xf>
    <xf numFmtId="164" fontId="18" fillId="33" borderId="0" xfId="0" applyNumberFormat="1" applyFont="1" applyFill="1" applyAlignment="1">
      <alignment horizontal="center" vertical="top"/>
    </xf>
    <xf numFmtId="0" fontId="18" fillId="33" borderId="0" xfId="0" applyFont="1" applyFill="1" applyAlignment="1">
      <alignment horizontal="left" vertical="top"/>
    </xf>
    <xf numFmtId="44" fontId="18" fillId="33" borderId="0" xfId="42" applyFont="1" applyFill="1" applyBorder="1" applyAlignment="1">
      <alignment horizontal="left" vertical="top"/>
    </xf>
    <xf numFmtId="0" fontId="19" fillId="0" borderId="0" xfId="0" applyFont="1"/>
    <xf numFmtId="0" fontId="20" fillId="0" borderId="0" xfId="0" applyFont="1" applyAlignment="1">
      <alignment horizontal="left" vertical="top" wrapText="1"/>
    </xf>
    <xf numFmtId="165" fontId="20" fillId="0" borderId="0" xfId="0" applyNumberFormat="1" applyFont="1" applyAlignment="1">
      <alignment horizontal="left" vertical="top" wrapText="1"/>
    </xf>
    <xf numFmtId="4" fontId="20" fillId="0" borderId="0" xfId="0" applyNumberFormat="1" applyFont="1" applyAlignment="1">
      <alignment horizontal="left" vertical="top" wrapText="1"/>
    </xf>
    <xf numFmtId="166" fontId="20" fillId="0" borderId="0" xfId="0" applyNumberFormat="1" applyFont="1" applyAlignment="1">
      <alignment horizontal="left" vertical="top" wrapText="1"/>
    </xf>
    <xf numFmtId="0" fontId="20" fillId="0" borderId="10" xfId="0" applyFont="1" applyBorder="1" applyAlignment="1">
      <alignment horizontal="left" vertical="top" wrapText="1"/>
    </xf>
    <xf numFmtId="0" fontId="21" fillId="0" borderId="0" xfId="0" applyFont="1" applyAlignment="1">
      <alignment horizontal="center" vertical="top"/>
    </xf>
    <xf numFmtId="164" fontId="21" fillId="0" borderId="0" xfId="0" applyNumberFormat="1" applyFont="1" applyAlignment="1">
      <alignment horizontal="center" vertical="top"/>
    </xf>
    <xf numFmtId="0" fontId="21" fillId="0" borderId="0" xfId="0" applyFont="1" applyAlignment="1">
      <alignment horizontal="left" vertical="top"/>
    </xf>
    <xf numFmtId="44" fontId="21" fillId="0" borderId="0" xfId="42" applyFont="1" applyFill="1" applyBorder="1" applyAlignment="1" applyProtection="1">
      <alignment horizontal="left" vertical="top"/>
    </xf>
    <xf numFmtId="166" fontId="21" fillId="0" borderId="0" xfId="42" applyNumberFormat="1" applyFont="1" applyFill="1" applyBorder="1" applyAlignment="1" applyProtection="1">
      <alignment horizontal="center" vertical="top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/>
    <xf numFmtId="0" fontId="0" fillId="0" borderId="0" xfId="0" applyAlignment="1">
      <alignment horizontal="left" indent="1"/>
    </xf>
    <xf numFmtId="14" fontId="0" fillId="0" borderId="0" xfId="0" applyNumberFormat="1"/>
    <xf numFmtId="0" fontId="16" fillId="35" borderId="0" xfId="0" applyFont="1" applyFill="1"/>
    <xf numFmtId="44" fontId="16" fillId="35" borderId="0" xfId="42" applyFont="1" applyFill="1"/>
    <xf numFmtId="44" fontId="16" fillId="35" borderId="0" xfId="42" applyFont="1" applyFill="1" applyAlignment="1">
      <alignment horizontal="center"/>
    </xf>
    <xf numFmtId="44" fontId="0" fillId="0" borderId="0" xfId="42" applyFont="1"/>
    <xf numFmtId="0" fontId="22" fillId="34" borderId="0" xfId="0" applyFont="1" applyFill="1" applyAlignment="1">
      <alignment horizontal="center"/>
    </xf>
    <xf numFmtId="0" fontId="20" fillId="0" borderId="0" xfId="0" applyNumberFormat="1" applyFont="1" applyFill="1" applyAlignment="1">
      <alignment horizontal="left" vertical="top" wrapText="1"/>
    </xf>
    <xf numFmtId="165" fontId="20" fillId="0" borderId="0" xfId="0" applyNumberFormat="1" applyFont="1" applyFill="1" applyAlignment="1">
      <alignment horizontal="left" vertical="top" wrapText="1"/>
    </xf>
    <xf numFmtId="4" fontId="20" fillId="0" borderId="0" xfId="42" applyNumberFormat="1" applyFont="1" applyFill="1" applyBorder="1" applyAlignment="1" applyProtection="1">
      <alignment horizontal="left" vertical="top" wrapText="1"/>
    </xf>
    <xf numFmtId="166" fontId="20" fillId="0" borderId="0" xfId="42" applyNumberFormat="1" applyFont="1" applyFill="1" applyBorder="1" applyAlignment="1" applyProtection="1">
      <alignment horizontal="left" vertical="top" wrapText="1"/>
    </xf>
    <xf numFmtId="0" fontId="20" fillId="0" borderId="10" xfId="0" applyNumberFormat="1" applyFont="1" applyFill="1" applyBorder="1" applyAlignment="1" applyProtection="1">
      <alignment horizontal="left" vertical="top" wrapText="1"/>
    </xf>
    <xf numFmtId="0" fontId="20" fillId="0" borderId="10" xfId="0" applyNumberFormat="1" applyFont="1" applyFill="1" applyBorder="1" applyAlignment="1">
      <alignment horizontal="left" vertical="top" wrapText="1"/>
    </xf>
    <xf numFmtId="0" fontId="20" fillId="0" borderId="10" xfId="42" applyNumberFormat="1" applyFont="1" applyFill="1" applyBorder="1" applyAlignment="1">
      <alignment horizontal="left"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7"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numFmt numFmtId="166" formatCode="###0.00%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numFmt numFmtId="165" formatCode="[$-409]mm/dd/yyyy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0" formatCode="General"/>
      <fill>
        <patternFill patternType="solid">
          <fgColor theme="4"/>
          <bgColor theme="4"/>
        </patternFill>
      </fill>
      <alignment horizontal="left" vertical="top" textRotation="0" wrapText="0" indent="0" justifyLastLine="0" shrinkToFit="0" readingOrder="0"/>
    </dxf>
    <dxf>
      <numFmt numFmtId="19" formatCode="m/d/yy"/>
    </dxf>
    <dxf>
      <alignment horizontal="center" vertical="bottom" textRotation="0" wrapText="0" indent="0" justifyLastLine="0" shrinkToFit="0" readingOrder="0"/>
    </dxf>
    <dxf>
      <numFmt numFmtId="19" formatCode="m/d/yy"/>
    </dxf>
    <dxf>
      <numFmt numFmtId="19" formatCode="m/d/yy"/>
    </dxf>
    <dxf>
      <numFmt numFmtId="19" formatCode="m/d/yy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2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p" refreshedDate="45902.346841435188" createdVersion="8" refreshedVersion="8" minRefreshableVersion="3" recordCount="67" xr:uid="{00000000-000A-0000-FFFF-FFFFC2000000}">
  <cacheSource type="worksheet">
    <worksheetSource name="Table1"/>
  </cacheSource>
  <cacheFields count="15">
    <cacheField name="Deal Name" numFmtId="0">
      <sharedItems containsMixedTypes="1" containsNumber="1" containsInteger="1" minValue="1020" maxValue="150000" count="70">
        <s v="Garden Highway Office"/>
        <s v="Livermore Training Center"/>
        <s v="Delta College - Empowerment Resource Center"/>
        <s v="Matter Venture Partners"/>
        <s v="SF - Phone Booths"/>
        <s v="AAA - Menlo Park Branch"/>
        <s v="IDEC Carlsbad"/>
        <s v="CoSC Main Jail North"/>
        <s v="J&amp;J 5490 GAP Outdoor Furniture"/>
        <s v="Trousdale Ventures Day 1"/>
        <s v="Google - MTRL Change Order 3 "/>
        <s v="Simpson Thatcher - Palo Alto Casegoods"/>
        <s v="Abridge PGH Refresh"/>
        <s v="Delta College Veterans Resource Center"/>
        <s v="Kleiner Perkins/SF Ancillary"/>
        <s v="Palmetto - Charlotte NC Suite 350"/>
        <s v="Meritech 735 - Outdoor Retrofit"/>
        <s v="Xaira - Seattle"/>
        <s v="Abridge AI Pittsburgh"/>
        <s v="RCRC"/>
        <s v="Charities Housing 585 Keyes Street"/>
        <s v="City of Newark, Newark Resource Center"/>
        <s v="COA Office of Emergency Services"/>
        <s v="SJSU MLK AI Lab"/>
        <s v="Cellares- New HQ Ancillary"/>
        <s v="CoSC Diversion &amp; Reentry Multipurpose Auditorium"/>
        <s v="Gavilan CC SS203"/>
        <s v="VHC East Valley Workstations"/>
        <s v="Allen Matkins (The Collective)"/>
        <s v="Fremont Expansion Phase 2"/>
        <s v=" 47709 Stanford, Deep Lab HEPL South Building RFP"/>
        <s v="Mitchell Park Place "/>
        <s v="Stanford 3145 Porter - Wing D Conf Ctr Acoustic Tiles"/>
        <s v="Stanford Beckman B062A Conference Room"/>
        <s v="Stanford Braun Music Center - LL 01 &amp; 11"/>
        <s v="Stanford CAM 350F - Pullout Sofa"/>
        <s v="Stanford Edwards R304 Storage Adds"/>
        <s v="Stanford HHMB Reading Room Reference Desk"/>
        <s v="Stanford Hoover Institute - Dallas Office"/>
        <s v="Stanford Miller Library - Maker Space Refresh"/>
        <s v="Sidley Austin - SF Private Offices"/>
        <s v="Sidley Austin - SF Sec Stations + Conf"/>
        <s v="Sidley Austin -Misc + Labor"/>
        <s v="Simpson Thatcher - Palo Alto Ancillary"/>
        <s v="Oak Grove Food Manager Station"/>
        <s v="900 Island Drive - Workstation and PO"/>
        <s v="900 Island Drive - Ancillary Furniture"/>
        <s v="El Gabilan - Office 120 Desk"/>
        <s v="SJSU 517 Clark Hall Office"/>
        <s v="Irvine We Work Space"/>
        <s v="Vertex - Braintree, Mass PHASE 2"/>
        <s v="Yuba Library"/>
        <s v="CoSCz BOS Chambers Chairs"/>
        <s v="SJSU 140 Clark Hall Workstations"/>
        <s v="SJSU 1st FL Offices Clark Hall"/>
        <s v="19th Floor Move"/>
        <s v="Sacramento Office"/>
        <s v="Austin"/>
        <s v="49480 Stanford SIEPR, HAT Desks + Task Chairs"/>
        <s v="Stanford Alumni Refresh, Phase 3, Order 4, Storage"/>
        <s v="MTV4 Services"/>
        <s v="Phase 1 - Common Spaces"/>
        <s v="Sidley Austin - SF Ancillary"/>
        <s v="Stanislaus County Sheriff Dept"/>
        <s v="Apollo Wellness Center"/>
        <s v="Legend: DCMA TI "/>
        <s v="Google - MTRL Events Change Order 2"/>
        <n v="150000" u="1"/>
        <n v="1020" u="1"/>
        <n v="1450" u="1"/>
      </sharedItems>
    </cacheField>
    <cacheField name="Deal ID" numFmtId="0">
      <sharedItems containsSemiMixedTypes="0" containsString="0" containsNumber="1" containsInteger="1" minValue="162878993" maxValue="188169926"/>
    </cacheField>
    <cacheField name="Stage" numFmtId="0">
      <sharedItems/>
    </cacheField>
    <cacheField name="Ownership" numFmtId="0">
      <sharedItems containsBlank="1" count="48">
        <s v="Alex Blangeres"/>
        <s v="Erika Duarte"/>
        <s v="Nick Christianson"/>
        <s v="Norma Lopez"/>
        <s v="Rayna Mitchell"/>
        <s v="Jill Marsh"/>
        <s v="Lela Huenergardt"/>
        <s v="Kate Ingelstrom"/>
        <s v="Olivia Gorfain"/>
        <s v="Owen Cunningham"/>
        <s v="Chris Cicisly"/>
        <s v="Chryslyn Perkins"/>
        <s v="Lindsay Hanief"/>
        <s v="Troy Ocariza"/>
        <s v="Mary Sparacino"/>
        <s v="Farrah Race"/>
        <s v="Krissa Collins"/>
        <s v="Jenni Lombardi"/>
        <s v="Kimi Katsuyoshi" u="1"/>
        <s v="Melissa Avalos" u="1"/>
        <s v="Genesis Rita" u="1"/>
        <s v="Anthony Pantaleoni" u="1"/>
        <s v="Andrea Greever" u="1"/>
        <s v="Carina Collison" u="1"/>
        <s v="Denelle Bourgeois - Deleted" u="1"/>
        <s v="Emily Chou - Deleted" u="1"/>
        <s v="Frankie Kim" u="1"/>
        <s v="Hana Estrada" u="1"/>
        <s v="Hayden Welda - Deleted" u="1"/>
        <s v="Jennifer Campbell - Deleted" u="1"/>
        <s v="Jesse Michael - Deleted" u="1"/>
        <s v="Jessica Ramirez" u="1"/>
        <s v="KBM Hogue - Deleted" u="1"/>
        <s v="KBMH" u="1"/>
        <s v="Marena Brown" u="1"/>
        <s v="Maria Estrada" u="1"/>
        <s v="Matt Denning" u="1"/>
        <s v="Nathasha Cherubin" u="1"/>
        <s v="Nathasha Cherubin - Deleted" u="1"/>
        <s v="Patty Medina" u="1"/>
        <s v="Paul Razo" u="1"/>
        <s v="Shayle Wallis" u="1"/>
        <s v="Simon Sheppard" u="1"/>
        <s v="Stephanie Hawkins - Deleted" u="1"/>
        <s v="Torrey Crell" u="1"/>
        <s v="Stephanie Hawkins" u="1"/>
        <m u="1"/>
        <s v="Emily Chou" u="1"/>
      </sharedItems>
    </cacheField>
    <cacheField name="Company" numFmtId="0">
      <sharedItems containsBlank="1" count="2741">
        <s v="Formation Environmental"/>
        <s v="Cement Mason"/>
        <s v="San Joaquin Delta College"/>
        <s v="Matter Venture"/>
        <s v="Intuit"/>
        <s v="AAA Northern California, Utah &amp; Nevada"/>
        <s v="IDEC"/>
        <s v="County of Santa Clara"/>
        <s v="Jones Lang Lasalle"/>
        <s v="Trousdale Ventures"/>
        <s v="CBRE on behalf of Google"/>
        <s v="Simpson Thacher &amp; Bartlett LLP"/>
        <s v="Abridge AI"/>
        <s v="Kleiner Perkins"/>
        <s v="Palmetto"/>
        <s v="Meritech Capital"/>
        <s v="Xaira Therapeutics"/>
        <s v="Rural County Representatives of CA"/>
        <s v="Charities Housing"/>
        <s v="City of Newark"/>
        <s v="County of Alameda Sheriff's Office"/>
        <s v="San Jose State University"/>
        <s v="Cellares"/>
        <s v="Volz Company"/>
        <s v="The Collective"/>
        <s v="Raxium, Inc"/>
        <s v="Stanford University"/>
        <s v="Eden Housing"/>
        <s v="Stanford School of Medicine"/>
        <s v="Stanford Hoover Institution"/>
        <s v="Sidley Austin"/>
        <s v="East Side Union High School District"/>
        <s v="Hinge Biosciences"/>
        <s v="City of Salinas"/>
        <s v="Tencent"/>
        <s v="Vertex Companies"/>
        <s v="Yuba County Library"/>
        <s v="County of Santa Cruz"/>
        <s v="California Hospital Association"/>
        <s v="Schuering, Zimmerman &amp; Doyle"/>
        <s v="Wilson Sonsini Goodrich &amp; Rosati"/>
        <s v="Stanford Institute of Economic Policy and Research"/>
        <s v="Stanford Alumni"/>
        <s v="Webster House"/>
        <s v="Judicial Council of California"/>
        <s v="Legend Construction &amp; Painting Inc. (GC)"/>
        <s v="Google, Inc."/>
        <s v="Berkeley Research Group, LLC" u="1"/>
        <s v="Gilead Sciences, Inc." u="1"/>
        <s v="Canopy Project Management" u="1"/>
        <s v="CloudFlare Inc" u="1"/>
        <s v="MongoDB Inc." u="1"/>
        <s v="Character.ai" u="1"/>
        <s v="Gryphon Investors" u="1"/>
        <s v="Arcadia Development Company" u="1"/>
        <s v="Orcabio" u="1"/>
        <s v="Transitions Wealth Advisors" u="1"/>
        <s v="Infoblox, Inc." u="1"/>
        <s v="Century Urban" u="1"/>
        <s v="Health Right 360" u="1"/>
        <s v="Heartflow" u="1"/>
        <s v="Guidewire Software" u="1"/>
        <s v="Thumbtack, Inc." u="1"/>
        <s v="Perkins and Will Inc" u="1"/>
        <s v="Jordan Park" u="1"/>
        <s v="UCSF" u="1"/>
        <s v="On Lok" u="1"/>
        <s v="Resolve AI" u="1"/>
        <s v="Allen Matkins" u="1"/>
        <s v="Turo" u="1"/>
        <s v="Stream Realty Partners" u="1"/>
        <s v="Redwood City School District" u="1"/>
        <s v="BMW of Fremont" u="1"/>
        <s v="Luxshare-Ict, Inc" u="1"/>
        <s v="Los Altos School District" u="1"/>
        <s v="Hudson Pacific Properties, Inc." u="1"/>
        <s v="Golden Gate National Park Service" u="1"/>
        <s v="Shorenstein Realty Services, L.P." u="1"/>
        <s v="Accenture Sacramento" u="1"/>
        <s v="Surgical Affiliates Management Group, Inc." u="1"/>
        <s v="General Produce Co" u="1"/>
        <s v="California Association Councils of Government" u="1"/>
        <s v="MGO" u="1"/>
        <s v="North American Title Co" u="1"/>
        <s v="Dreyfuss Blackford" u="1"/>
        <s v="E&amp;J Gallo Winery" u="1"/>
        <s v="United Indian Health Services Inc" u="1"/>
        <s v="Placer County Water Agency" u="1"/>
        <s v="Adventist Health" u="1"/>
        <s v="AFSCME District Council 36" u="1"/>
        <s v="AKT Properties" u="1"/>
        <s v="Covered California CA Health Benefit Exchange" u="1"/>
        <s v="State of California" u="1"/>
        <s v="Apercen Partners LLC" u="1"/>
        <s v="Apple Computer" u="1"/>
        <s v="Placer County Capital Improvements" u="1"/>
        <s v="Corsair Inc" u="1"/>
        <s v="Backgrounds Online" u="1"/>
        <s v="Beale Airforce Base" u="1"/>
        <s v="Boa Vida" u="1"/>
        <s v="Buehler Engineering Inc." u="1"/>
        <s v="Hilda Watson" u="1"/>
        <s v="California State Military Department" u="1"/>
        <s v="California Northstate University" u="1"/>
        <s v="HGA Architects" u="1"/>
        <s v="University of Davis - Aggie Square" u="1"/>
        <s v="Carvana Co." u="1"/>
        <s v="CBRE" u="1"/>
        <s v="Chapa-De Indian Health Program Inc" u="1"/>
        <s v="Butte-Glenn Community College District" u="1"/>
        <s v="City of Madera" u="1"/>
        <s v="City of Vacaville" u="1"/>
        <s v="Colliers International" u="1"/>
        <s v="Nella Invest LLC" u="1"/>
        <s v="ConnectPoint Search Group" u="1"/>
        <s v="California State University, Chico" u="1"/>
        <s v="California State University, East Bay" u="1"/>
        <s v="California State University, Sacramento" u="1"/>
        <s v="21st Bio" u="1"/>
        <s v="Roseville Joint Union High School District" u="1"/>
        <s v="Pocha House" u="1"/>
        <s v="Third District Court of Appeal" u="1"/>
        <s v="EMED Technologies Corp" u="1"/>
        <s v="First Northern Bank" u="1"/>
        <s v="Retinal Consultants Medical Group Inc" u="1"/>
        <s v="Five Star Bank" u="1"/>
        <s v="Corporate Tax Incentives" u="1"/>
        <s v="Valley Tech Systems, Inc." u="1"/>
        <s v="WelbeHealth, LLC" u="1"/>
        <s v="Gallaway Commercial" u="1"/>
        <s v="Gemeral Dynamics" u="1"/>
        <s v="Department of Verteran Affairs" u="1"/>
        <s v="Laborers Fund Administrative Office" u="1"/>
        <s v="Lodi Memorial Hospital" u="1"/>
        <s v="Yolo County" u="1"/>
        <s v="Lionakis" u="1"/>
        <s v="Sutter County" u="1"/>
        <s v="The RMR Group Inc." u="1"/>
        <s v="Lund Construction" u="1"/>
        <s v="LuxerOne" u="1"/>
        <s v="Maita Automotive Group" u="1"/>
        <s v="Yuba County Water Agency" u="1"/>
        <s v="Metrolist Inc" u="1"/>
        <s v="StackNexus, Inc." u="1"/>
        <s v="Parc Studio" u="1"/>
        <s v="Mountain Enterprises Inc" u="1"/>
        <s v="DesCor Builders" u="1"/>
        <s v="Nazareth House San Rafael" u="1"/>
        <s v="Capital Public Radio" u="1"/>
        <s v="Persistent Movement" u="1"/>
        <s v="TracPatch Health" u="1"/>
        <s v="STEP" u="1"/>
        <s v="Kubota USA" u="1"/>
        <s v="Westervelt Ecological Services" u="1"/>
        <s v="Newfront Insurance" u="1"/>
        <s v="Young Minney Corr" u="1"/>
        <s v="Epic Care" u="1"/>
        <s v="RMW Architecture &amp; Interiors" u="1"/>
        <s v="California Cable and Telecommunications Association" u="1"/>
        <s v="BPE Law" u="1"/>
        <s v="Pacific Legal Foundation" u="1"/>
        <s v="RAMCON" u="1"/>
        <s v="Press Democrat" u="1"/>
        <s v="One Inc." u="1"/>
        <s v="Consulate of Mexico in Oxnard" u="1"/>
        <s v="Panattoni Development Company" u="1"/>
        <s v="Paradise Unified School District" u="1"/>
        <s v="Capitol Strategic Advisors" u="1"/>
        <s v="Pulse Signal Solutions" u="1"/>
        <s v="Solidigm" u="1"/>
        <s v="Pacific Coast Companies" u="1"/>
        <s v="Ellis &amp; Makus" u="1"/>
        <s v="RedDoor" u="1"/>
        <s v="University of the Pacific" u="1"/>
        <s v="Rainforthgrau Architects" u="1"/>
        <s v="Bender Insurance" u="1"/>
        <s v="Fulcrum Properties Inc" u="1"/>
        <s v="Active Life" u="1"/>
        <s v="Sacramento Native American Health Center, Inc." u="1"/>
        <s v="TRZ" u="1"/>
        <s v="Resources Legacy Fund" u="1"/>
        <s v="America West Medical Transportation Inc" u="1"/>
        <s v="Gilbane Building Company" u="1"/>
        <s v="Wilke Fleury Hoffelt Gould &amp; Birney LLP" u="1"/>
        <s v="Lozano Smith" u="1"/>
        <s v="HMC Architects" u="1"/>
        <s v="SalonGuys" u="1"/>
        <s v="SBM Site Services LLC" u="1"/>
        <s v="Washington Holdings" u="1"/>
        <s v="Sepasoft, Inc." u="1"/>
        <s v="UC Davis" u="1"/>
        <s v="SkySlope" u="1"/>
        <s v="SMA America" u="1"/>
        <s v="Solano County Transportation Authority" u="1"/>
        <s v="Socotra Capital" u="1"/>
        <s v="Hiliti" u="1"/>
        <s v="Spruce Health" u="1"/>
        <s v="Summit Funding Inc" u="1"/>
        <s v="Schilling Robotics" u="1"/>
        <s v="Turton Commercial Real Estate" u="1"/>
        <s v="United Auburn Indian Community" u="1"/>
        <s v="Talion Construction" u="1"/>
        <s v="Department of Veteran Affairs" u="1"/>
        <s v="Sutter Health" u="1"/>
        <s v="Versant Health" u="1"/>
        <s v="Wellpath Care" u="1"/>
        <s v="Western States Petroleum Association" u="1"/>
        <s v="Yates Construction" u="1"/>
        <s v="CIG-LEI Ygnacio Associates, LLC c/o Avison Young" u="1"/>
        <s v="Modoc" u="1"/>
        <s v="Plumas district hospitial" u="1"/>
        <s v="YouTube, LLC" u="1"/>
        <s v="Trammell Crow Co" u="1"/>
        <s v="Longfellow Real Estate Partners LLC" u="1"/>
        <s v="Longfellow" u="1"/>
        <s v="Bloomberg" u="1"/>
        <s v="City of Cupertino" u="1"/>
        <s v="Cushman &amp; Wakefield- San Jose" u="1"/>
        <s v="Framework Venture Partners Inc" u="1"/>
        <s v="Gantri" u="1"/>
        <s v="Greylock Partners LLC" u="1"/>
        <s v="Hines- San Franscisco" u="1"/>
        <s v="Kilroy Realty Corporation" u="1"/>
        <s v="Luminary Cloud" u="1"/>
        <s v="NLVC Investments" u="1"/>
        <s v="Norwest Venture Partners" u="1"/>
        <s v="Rivian" u="1"/>
        <s v="Rapt Studio" u="1"/>
        <s v="Sequoia Capital Operations LLC" u="1"/>
        <s v="Service West" u="1"/>
        <s v="TA Associates" u="1"/>
        <s v="Udemy Denver" u="1"/>
        <s v="Altos Labs" u="1"/>
        <s v="Ebay Inc." u="1"/>
        <s v="Littler Mendelson, P.C." u="1"/>
        <s v="GoFundMe Inc" u="1"/>
        <s v="Lambda" u="1"/>
        <s v="MailChimp" u="1"/>
        <s v="AP+I Design Inc." u="1"/>
        <s v="Splice" u="1"/>
        <s v="Infosys Limited" u="1"/>
        <s v="Zendesk - San Francisco" u="1"/>
        <s v="AME Cloud Ventures" u="1"/>
        <s v="Skynight Capital" u="1"/>
        <s v="Cytokinetics" u="1"/>
        <s v="Mayfield Fund" u="1"/>
        <s v="Oracle" u="1"/>
        <s v="Nuro" u="1"/>
        <s v="Engine Biosciences Pte Ltd" u="1"/>
        <s v="Yahoo" u="1"/>
        <s v="Bill.com" u="1"/>
        <s v="Bridge Biotherapeutics Inc" u="1"/>
        <s v="Global Blood Therapeutics, Inc." u="1"/>
        <s v="Rocky Mountain Institute" u="1"/>
        <s v="Cala Health Inc" u="1"/>
        <s v="Arcellx" u="1"/>
        <s v="Ellis Partners" u="1"/>
        <s v="Regency 2120 Berkeley Way, Berkely" u="1"/>
        <s v="Sage Therapeutics" u="1"/>
        <s v="CBRE Commercial Real Estate" u="1"/>
        <s v="Cricket Health" u="1"/>
        <s v="Takara Bio" u="1"/>
        <s v="NGM Biopharmaceuticals Inc" u="1"/>
        <s v="Nobell Foods" u="1"/>
        <s v="Miltenyi Biotec- San Jose" u="1"/>
        <s v="Allakos" u="1"/>
        <s v="Alector" u="1"/>
        <s v="Vir Biotechnology" u="1"/>
        <s v="HelloSign" u="1"/>
        <s v="IWG Coworking" u="1"/>
        <s v="FIS" u="1"/>
        <s v="Marvell" u="1"/>
        <s v="10X Genomics" u="1"/>
        <s v="Hitachi Vantara" u="1"/>
        <s v="Arsenal Biosciences" u="1"/>
        <s v="Supermicro" u="1"/>
        <s v="CM Capital Corp" u="1"/>
        <s v="Kyverna Therapeutics Inc" u="1"/>
        <s v="Sr One Ltd" u="1"/>
        <s v="Infinite Ventures" u="1"/>
        <s v="Teleflex" u="1"/>
        <s v="Intabio" u="1"/>
        <s v="345 Partners" u="1"/>
        <s v="Hg Capital" u="1"/>
        <s v="Alpine Hills Swimming and Tennis Club" u="1"/>
        <s v="Talis" u="1"/>
        <s v="Ingram &amp; Associates, Inc." u="1"/>
        <s v="Ascendis Pharma Inc." u="1"/>
        <s v="Hitachi Energy" u="1"/>
        <s v="Outset Medical" u="1"/>
        <s v="Dome Construction- San Francisco" u="1"/>
        <s v="DGA Architects - SF" u="1"/>
        <s v="Allay Therapeutics" u="1"/>
        <s v="Nextracker, Inc." u="1"/>
        <s v="Innovation Endeavors LLC" u="1"/>
        <s v="Evernote Corporation" u="1"/>
        <s v="Astera Institute" u="1"/>
        <s v="Navan" u="1"/>
        <s v="SmartBiz" u="1"/>
        <s v="Uncork Capital" u="1"/>
        <s v="Kriya" u="1"/>
        <s v="BioMed Realty" u="1"/>
        <s v="Cisco Systems" u="1"/>
        <s v="DataStax" u="1"/>
        <s v="Avellino Labs" u="1"/>
        <s v="Seer" u="1"/>
        <s v="Facebook- Menlo Park" u="1"/>
        <s v="Sofinnova" u="1"/>
        <s v="Orion Medicines, Inc." u="1"/>
        <s v="Circle Pharma" u="1"/>
        <s v="Pulmonx" u="1"/>
        <s v="Decheng Capital LLC" u="1"/>
        <s v="Plume Design Inc" u="1"/>
        <s v="Brightseed Inc" u="1"/>
        <s v="ON Semiconductor- Santa Clara" u="1"/>
        <s v="Confidential Client with Brian Trainer" u="1"/>
        <s v="CRESA - Confidential Client" u="1"/>
        <s v="Nevro" u="1"/>
        <s v="Harvest Properties, Inc.- San Francisco" u="1"/>
        <s v="DataSpan" u="1"/>
        <s v="Global Logics, Inc." u="1"/>
        <s v="DES Architects + Engineers" u="1"/>
        <s v="Eikon Therapeutics" u="1"/>
        <s v="Metagenomi" u="1"/>
        <s v="Vital Connect Inc" u="1"/>
        <s v="Striim Inc" u="1"/>
        <s v="Empower Semiconductor" u="1"/>
        <s v="Encora" u="1"/>
        <s v="Qatalyst Partners" u="1"/>
        <s v="Western Digital" u="1"/>
        <s v="Frazier Group" u="1"/>
        <s v="CCI General Contractor" u="1"/>
        <s v="Geortek" u="1"/>
        <s v="Deep Origin" u="1"/>
        <s v="Goertek, Inc." u="1"/>
        <s v="Grail" u="1"/>
        <s v="Healthpeak" u="1"/>
        <s v="Heffernan Insurance" u="1"/>
        <s v="Hillhouse Construction" u="1"/>
        <s v="QTS Data" u="1"/>
        <s v="Rhombus Systems" u="1"/>
        <s v="Intapp" u="1"/>
        <s v="Meals on Wheels" u="1"/>
        <s v="LiftOff" u="1"/>
        <s v="Applause" u="1"/>
        <s v="Macquarie" u="1"/>
        <s v="Maduro Medical" u="1"/>
        <s v="Sandhill Properties" u="1"/>
        <s v="IDS Realty Group" u="1"/>
        <s v="Material Security" u="1"/>
        <s v="Menlo Circus Club" u="1"/>
        <s v="Peninsula Open Space Trust" u="1"/>
        <s v="Sixteen5Hundred" u="1"/>
        <s v="Lightmatter Inc" u="1"/>
        <s v="IGM Biosciences" u="1"/>
        <s v="Nephrosant" u="1"/>
        <s v="Chemocentryx" u="1"/>
        <s v="Adicent" u="1"/>
        <s v="Harmonic Inc." u="1"/>
        <s v="Globility" u="1"/>
        <s v="Castillaja School" u="1"/>
        <s v="201 California Conference Center" u="1"/>
        <s v="Severin Group" u="1"/>
        <s v="Graphite Bio" u="1"/>
        <s v="Alexza Pharmaceuticals, Inc." u="1"/>
        <s v="TenSixteen Bio" u="1"/>
        <s v="Astellas Pharma Inc" u="1"/>
        <s v="Ouro Medicines" u="1"/>
        <s v="Infinera" u="1"/>
        <s v="Centi Biosciences Inc" u="1"/>
        <s v="Health Peak Life Science" u="1"/>
        <s v="Plexxikon Inc" u="1"/>
        <s v="Danger Devices" u="1"/>
        <s v="Cutera" u="1"/>
        <s v="Avail Medsystems" u="1"/>
        <s v="Reflexion Medical, Inc." u="1"/>
        <s v="Globallogic" u="1"/>
        <s v="novo nordisk" u="1"/>
        <s v="Clovis Oncology" u="1"/>
        <s v="Save the Redwood League" u="1"/>
        <s v="ProtienSource, Inc" u="1"/>
        <s v="OneSignal" u="1"/>
        <s v="OpenGov" u="1"/>
        <s v="Protein Simple" u="1"/>
        <s v="Maze &amp; Associates- South SF" u="1"/>
        <s v="Cruise Automation" u="1"/>
        <s v="Pilot. Ai" u="1"/>
        <s v="Pestana" u="1"/>
        <s v="Hexagon Bio" u="1"/>
        <s v="QUEZADA Architecture" u="1"/>
        <s v="Menlo Securities" u="1"/>
        <s v="Gritstone Oncology Inc" u="1"/>
        <s v="Raymond James Financial" u="1"/>
        <s v="Red Tree Capital Venture" u="1"/>
        <s v="Equinix" u="1"/>
        <s v="Oric Pharmaceuticals Inc" u="1"/>
        <s v="RevMed" u="1"/>
        <s v="Wilmer Hale" u="1"/>
        <s v="Royal Bank of Canada" u="1"/>
        <s v="Bytedance Inc." u="1"/>
        <s v="Texas instruments" u="1"/>
        <s v="Proofpoint, Inc." u="1"/>
        <s v="Sage" u="1"/>
        <s v="QED Therapeutics" u="1"/>
        <s v="Kawasaki Robotics" u="1"/>
        <s v="Golden Gate Regional Center" u="1"/>
        <s v="iSchemaView" u="1"/>
        <s v="Chemo Centric" u="1"/>
        <s v="Confidential Client with HGA" u="1"/>
        <s v="Santana Row Leasing" u="1"/>
        <s v="Forward Tilt" u="1"/>
        <s v="Draper &amp; Kramer Mortgage Co" u="1"/>
        <s v="Beacon Capital Partners" u="1"/>
        <s v="Soleil Labs" u="1"/>
        <s v="Soleno Therapeutics" u="1"/>
        <s v="Soley Therapeuticc" u="1"/>
        <s v="Solley Therapeutics" u="1"/>
        <s v="Interveen Biology" u="1"/>
        <s v="All Cells" u="1"/>
        <s v="Asics America" u="1"/>
        <s v="Viavi" u="1"/>
        <s v="Stern Grove" u="1"/>
        <s v="Ridge Ventures" u="1"/>
        <s v="Sully" u="1"/>
        <s v="Sumitomo Cryogenics" u="1"/>
        <s v="Third Rock Ventures" u="1"/>
        <s v="Landmark Builders" u="1"/>
        <s v="UC Berkeley- Life Science Building" u="1"/>
        <s v="Vital Materials" u="1"/>
        <s v="Wispr AI" u="1"/>
        <s v="WRNS Studio" u="1"/>
        <s v="Zipline" u="1"/>
        <s v="ASD" u="1"/>
        <s v="CVC Capital Partners Ltd." u="1"/>
        <s v="Pinegrove Capital Partners" u="1"/>
        <s v="South Bay Development" u="1"/>
        <s v="Common Sense Media" u="1"/>
        <s v="Cepheid Inc" u="1"/>
        <s v="Hines - West LA" u="1"/>
        <s v="Irvine Company" u="1"/>
        <s v="Phaidon International" u="1"/>
        <s v="Lilly Walton" u="1"/>
        <s v="Alexandria Real Estate Equities, Inc." u="1"/>
        <s v="Embarcadero Capital Partners, LLC" u="1"/>
        <s v="CZS Property Management" u="1"/>
        <s v="Dodge and Cox" u="1"/>
        <s v="San Francisco Public Utilities Commission" u="1"/>
        <s v="Shartsis Friese LLP" u="1"/>
        <s v="Be Workplace Design" u="1"/>
        <s v="Boutin Jones Inc." u="1"/>
        <s v="Lincoln Property Company - Sacramento" u="1"/>
        <s v="ABC10" u="1"/>
        <s v="Butte County Office of Education" u="1"/>
        <s v="Centrica" u="1"/>
        <s v="Cintas" u="1"/>
        <s v="Composite Technology International" u="1"/>
        <s v="Digital Realty Trust" u="1"/>
        <s v="Freeman Mathis and Gary Law" u="1"/>
        <s v="Futures Explored, Inc." u="1"/>
        <s v="Gainwell Technologies" u="1"/>
        <s v="Intercom, Inc." u="1"/>
        <s v="Kennedy Wilson" u="1"/>
        <s v="GPA Consultants" u="1"/>
        <s v="Legislative Analysts Office" u="1"/>
        <s v="Bayview Development Group Inc." u="1"/>
        <s v="Walter's House" u="1"/>
        <s v="National Mortgage Insurance Corporation" u="1"/>
        <s v="Office of Legislative Counsel" u="1"/>
        <s v="Orchard Commercial" u="1"/>
        <s v="Rubicon Partners, Inc" u="1"/>
        <s v="SCA Health" u="1"/>
        <s v="WHA Architects" u="1"/>
        <s v="Ashurst LLP" u="1"/>
        <s v="Tri Pointe Homes Inc" u="1"/>
        <s v="Blue Shield of California" u="1"/>
        <s v="Community College League of California" u="1"/>
        <s v="Buena Vista Rancheria" u="1"/>
        <s v="Internal Revenue Service" u="1"/>
        <s v="Von Housen Automotive Group" u="1"/>
        <s v="Mountain West Financial Inc" u="1"/>
        <s v="Nuseed" u="1"/>
        <s v="Natomas Charter School" u="1"/>
        <s v="Placer County Treasurer Tax Collector" u="1"/>
        <s v="Sacramento Luxury Motors" u="1"/>
        <s v="Swinerton Builders Inc" u="1"/>
        <s v="Tipalti Inc" u="1"/>
        <s v="Udacity Inc" u="1"/>
        <s v="Placer County Behavioral Health" u="1"/>
        <s v="Elson Electric" u="1"/>
        <s v="Syncopated Architecture" u="1"/>
        <s v="Terns Pharmaceutical" u="1"/>
        <s v="AAC Technologies" u="1"/>
        <s v="Barracuda Networks, Inc." u="1"/>
        <s v="Tesla" u="1"/>
        <s v="Hewlett Foundation" u="1"/>
        <s v="Lucid Motors" u="1"/>
        <s v="Silicon Valley Mechanical" u="1"/>
        <s v="Arcline" u="1"/>
        <s v="Avenidas" u="1"/>
        <s v="Blue Bottle" u="1"/>
        <s v="Cushman &amp; Wakefield of California, Inc." u="1"/>
        <s v="Peregrine" u="1"/>
        <s v="Quantana" u="1"/>
        <s v="Kandji" u="1"/>
        <s v="SK Hynix" u="1"/>
        <s v="Gensler- San Francisco" u="1"/>
        <s v="Homebridge Inc" u="1"/>
        <s v="Logitech" u="1"/>
        <s v="Zai Labs" u="1"/>
        <s v="CBRE Asset Services" u="1"/>
        <s v="KBS III  Almaden Financial Plaza" u="1"/>
        <s v="Jones Lang Lasalle- Chicago" u="1"/>
        <s v="Hellyer Oaks Owner LLC" u="1"/>
        <s v="Diablo Technologies Inc." u="1"/>
        <s v="Stanford Linear Accelerator Center" u="1"/>
        <s v="Stanford Health Care" u="1"/>
        <s v="Baidu USA, LLC" u="1"/>
        <s v="Sun-Net Consulting" u="1"/>
        <s v="Khan Lab School" u="1"/>
        <s v="Veradocs" u="1"/>
        <s v="Sitecore" u="1"/>
        <s v="Allergan" u="1"/>
        <s v="Santa Clara University" u="1"/>
        <s v="Cambridge Associates" u="1"/>
        <s v="miraDry" u="1"/>
        <s v="LPA- San Jose" u="1"/>
        <s v="Bristlecone" u="1"/>
        <s v="Logitech Center" u="1"/>
        <s v="McLarney Construction Inc." u="1"/>
        <s v="Blind Squirrel Games" u="1"/>
        <s v="Habitec" u="1"/>
        <s v="San Jose Business Journal" u="1"/>
        <s v="Zoll Medical" u="1"/>
        <s v="TACT" u="1"/>
        <s v="Enjoy, Inc." u="1"/>
        <s v="Verizon Communications" u="1"/>
        <s v="IPJ" u="1"/>
        <s v="HID Global" u="1"/>
        <s v="Atscale, Inc." u="1"/>
        <s v="Complete Genomics" u="1"/>
        <s v="White &amp; Case" u="1"/>
        <s v="Vlatka Bojer" u="1"/>
        <s v="Spear Street Capital" u="1"/>
        <s v="LSI Logic Corporation" u="1"/>
        <s v="Mist Systems" u="1"/>
        <s v="CBC Advisors" u="1"/>
        <s v="Jones Lang Lasalle- San Francisco" u="1"/>
        <s v="Aragen Bioscience Inc" u="1"/>
        <s v="Jfrog" u="1"/>
        <s v="Innovion" u="1"/>
        <s v="DMI Insurance" u="1"/>
        <s v="Brandvia Alliance, Inc." u="1"/>
        <s v="Tata Communications" u="1"/>
        <s v="E2K" u="1"/>
        <s v="Contra Costa Health Services" u="1"/>
        <s v="KCK Group" u="1"/>
        <s v="San Jose Sharks" u="1"/>
        <s v="Pfeiffer Vacuum" u="1"/>
        <s v="Turner &amp; Townsend" u="1"/>
        <s v="Jazz Pharmaceuticals" u="1"/>
        <s v="Fenwick &amp; West LLP- Mountain View" u="1"/>
        <s v="Broadsoft" u="1"/>
        <s v="Ambient" u="1"/>
        <s v="Rimini Street" u="1"/>
        <s v="Sibros Technologies Inc." u="1"/>
        <s v="Quantenna Communications, Inc." u="1"/>
        <s v="Intacct" u="1"/>
        <s v="Iridex Corporation" u="1"/>
        <s v="Netskope, Inc." u="1"/>
        <s v="Rueb &amp; Motta" u="1"/>
        <s v="Elementum" u="1"/>
        <s v="Zenbanx, Inc." u="1"/>
        <s v="Motor Coach Industries" u="1"/>
        <s v="Bay Area Headquarters Authority" u="1"/>
        <s v="Electronics for Imaging" u="1"/>
        <s v="111 North Market Street Investors LLC" u="1"/>
        <s v="BPR Properties" u="1"/>
        <s v="Bloom Energy" u="1"/>
        <s v="Cambridge Industries USA, Inc." u="1"/>
        <s v="Greenoaks Capital Partners" u="1"/>
        <s v="Jenner Block" u="1"/>
        <s v="Haynes Boone" u="1"/>
        <s v="Strattam Capital" u="1"/>
        <s v="K&amp;L Gates LLP" u="1"/>
        <s v="Kingsbarn Realty Capital LLC" u="1"/>
        <s v="Genentech, Inc." u="1"/>
        <s v="Parker Institute for Cancer Immunotherapy" u="1"/>
        <s v="Roche Molecular Systems Inc" u="1"/>
        <s v="Softbank  Inc" u="1"/>
        <s v="Tulavi Theraputics" u="1"/>
        <s v="Intuit- San Diego" u="1"/>
        <s v="Crunchyroll Inc" u="1"/>
        <s v="Jamestown, L.P." u="1"/>
        <s v="Charles Schwab" u="1"/>
        <s v="Berkeley City College" u="1"/>
        <s v="Stanford Management Company" u="1"/>
        <s v="Stanford Law School" u="1"/>
        <s v="Coinbase- San Francisco" u="1"/>
        <s v="Veritas Investments Inc" u="1"/>
        <s v="Invitae" u="1"/>
        <s v="San Francisco State University" u="1"/>
        <s v="Stanford General" u="1"/>
        <s v="Stanford ChEM-H/SNI" u="1"/>
        <s v="Stanford Environmental Health and Safety" u="1"/>
        <s v="Stanford School of Humanities and Sciences" u="1"/>
        <s v="Stanford RDE" u="1"/>
        <s v="Stanford Graduate School of Business" u="1"/>
        <s v="Gladstone Institutes" u="1"/>
        <s v="Stanford Canter Arts Center" u="1"/>
        <s v="Stanford School of Engineering" u="1"/>
        <s v="Stanford Graduate School of Education" u="1"/>
        <s v="Princeville Global" u="1"/>
        <s v="Granite Construction Inc." u="1"/>
        <s v="The Presidio Trust" u="1"/>
        <s v="Visby Medical" u="1"/>
        <s v="DLA Piper- San Francisco" u="1"/>
        <s v="Allianz" u="1"/>
        <s v="Allied Housing" u="1"/>
        <s v="California State University, Maritime Academy" u="1"/>
        <s v="Maverick Capital Ltd" u="1"/>
        <s v="Atelier Cho Thompson" u="1"/>
        <s v="Arista Networks, Inc." u="1"/>
        <s v="Aurora Autonomous" u="1"/>
        <s v="Gunderson Dettmer- Silicon Valley" u="1"/>
        <s v="OSI Software" u="1"/>
        <s v="Baker &amp; McKenzie LLP" u="1"/>
        <s v="Bank of Italy" u="1"/>
        <s v="Santa Rosa Junior College" u="1"/>
        <s v="Bayer Healthcare Pharmaceuticals" u="1"/>
        <s v="Imperva" u="1"/>
        <s v="TBD" u="1"/>
        <s v="BrightSign" u="1"/>
        <s v="The Bay School of San Francisco" u="1"/>
        <s v="California Pacific Orthopedic" u="1"/>
        <s v="San Jose City College" u="1"/>
        <s v="College of Marin" u="1"/>
        <s v="Change Foods" u="1"/>
        <s v="University of California, Berkeley" u="1"/>
        <s v="City College of San Francisco" u="1"/>
        <s v="Mccarthy Cook &amp; Co" u="1"/>
        <s v="University of California, Santa Cruz" u="1"/>
        <s v="Coinbase" u="1"/>
        <s v="Coinbase- NY" u="1"/>
        <s v="Collective Contract" u="1"/>
        <s v="William Duff Architects" u="1"/>
        <s v="Consulate of Mexico San Jose" u="1"/>
        <s v="Core Business Interiors" u="1"/>
        <s v="Cornerstone Resarch" u="1"/>
        <s v="California State University, Stanislaus" u="1"/>
        <s v="California State University, Sonoma" u="1"/>
        <s v="Delmas Senior Living" u="1"/>
        <s v="The Marine Mammal Center" u="1"/>
        <s v="Deutsche Bank" u="1"/>
        <s v="DLA Piper- Pasadena" u="1"/>
        <s v="Dudnick, Detwiler, Rivin, &amp; Stikker LLP" u="1"/>
        <s v="Eat JUST, Inc" u="1"/>
        <s v="Perkins Eastman Architects" u="1"/>
        <s v="LeapFrog" u="1"/>
        <s v="Finless Foods Inc" u="1"/>
        <s v="Flad Architects" u="1"/>
        <s v="Folger Levin LLP" u="1"/>
        <s v="GCI" u="1"/>
        <s v="Godfrey Dadich Partners" u="1"/>
        <s v="Geltor Inc" u="1"/>
        <s v="Evergreen Valley College" u="1"/>
        <s v="Genesys" u="1"/>
        <s v="Greystar Management Services, LP" u="1"/>
        <s v="Hercules Capital Inc" u="1"/>
        <s v="Hillhouse Construction Company, Inc." u="1"/>
        <s v="Hooper Lundy &amp; Bookman Inc" u="1"/>
        <s v="Republic Urban Properties LLC" u="1"/>
        <s v="ICON Apartments" u="1"/>
        <s v="Humbolt State University" u="1"/>
        <s v="Joby Aviation Inc" u="1"/>
        <s v="Kinders Meats" u="1"/>
        <s v="Kite Hill" u="1"/>
        <s v="Kitty Hawk Corp" u="1"/>
        <s v="Lewis Brisbois Bisgaard &amp; Smith" u="1"/>
        <s v="Madera Apartments" u="1"/>
        <s v="UC Hastings College of the Law" u="1"/>
        <s v="San Francisco International Airport" u="1"/>
        <s v="Memphis meats" u="1"/>
        <s v="Miloko" u="1"/>
        <s v="Morgan Lewis &amp; Bockius LLP" u="1"/>
        <s v="Motive Medical SF" u="1"/>
        <s v="West Hills Community College District" u="1"/>
        <s v="Wells Fargo" u="1"/>
        <s v="Nextdoor" u="1"/>
        <s v="Novo Construction, Inc." u="1"/>
        <s v="McCarthy Construction" u="1"/>
        <s v="Paseo Office Building" u="1"/>
        <s v="Peet's Coffee &amp; Tea" u="1"/>
        <s v="Hollins Consulting" u="1"/>
        <s v="William Blair and Company" u="1"/>
        <s v="Primavera Capital Group" u="1"/>
        <s v="Provident Credit Union- Redwood City" u="1"/>
        <s v="Riordan High School" u="1"/>
        <s v="Robinhood Markets, Inc." u="1"/>
        <s v="Roblox.com" u="1"/>
        <s v="Rudolph and Sletten (GC)" u="1"/>
        <s v="Shorenstein" u="1"/>
        <s v="samTrans" u="1"/>
        <s v="San Francisco Toyota" u="1"/>
        <s v="SB Energy Corp." u="1"/>
        <s v="Second Harvest Food Bank" u="1"/>
        <s v="San Francisco Municipal Transportation Agency" u="1"/>
        <s v="University of California, Davis" u="1"/>
        <s v="Shiru - Ivy Hume" u="1"/>
        <s v="SPAN" u="1"/>
        <s v="Sterling Bay" u="1"/>
        <s v="Terminal Industries" u="1"/>
        <s v="Tessian" u="1"/>
        <s v="Marriott TownePlace Suites" u="1"/>
        <s v="City and County of San Francisco" u="1"/>
        <s v="Twelve.co" u="1"/>
        <s v="Twist Bioscience" u="1"/>
        <s v="UC Merced" u="1"/>
        <s v="UCSF Mission Hall- Department of Surgery" u="1"/>
        <s v="Urban Catalyst" u="1"/>
        <s v="Veeva Systems" u="1"/>
        <s v="Versant Venture Management" u="1"/>
        <s v="Remix" u="1"/>
        <s v="Whistlestop AKA Vivalon" u="1"/>
        <s v="Vivo Capital LLC" u="1"/>
        <s v="Frank Rimerman+Co., LLP" u="1"/>
        <s v="2K Games" u="1"/>
        <s v="W.F. Batton Management Co." u="1"/>
        <s v="AALRR" u="1"/>
        <s v="Fingerprint Cards Ab" u="1"/>
        <s v="The Castine Group" u="1"/>
        <s v="AG Microsystems" u="1"/>
        <s v="AIASV (Silicon Valley)" u="1"/>
        <s v="Alibaba Group, US Sunnyvale" u="1"/>
        <s v="Pahl Mccay" u="1"/>
        <s v="Apixio Inc" u="1"/>
        <s v="Aryaka" u="1"/>
        <s v="Atreca Inc" u="1"/>
        <s v="Avenues" u="1"/>
        <s v="BabbleLabs" u="1"/>
        <s v="BACO Realty Corporation" u="1"/>
        <s v="Devcon Construction" u="1"/>
        <s v="Belfor Resortations" u="1"/>
        <s v="Sphere 5200 Inc." u="1"/>
        <s v="Big Data Federation, Inc" u="1"/>
        <s v="Bionova Scientific" u="1"/>
        <s v="BioVision, Inc" u="1"/>
        <s v="Black Sesame Technologies" u="1"/>
        <s v="Booster Fuels" u="1"/>
        <s v="Cadent" u="1"/>
        <s v="Calient Technologies" u="1"/>
        <s v="Garcia Wealth management" u="1"/>
        <s v="CBIZ, Inc." u="1"/>
        <s v="Chinatown CDC" u="1"/>
        <s v="CCDC" u="1"/>
        <s v="Checkerspot Inc" u="1"/>
        <s v="Chegg, Inc" u="1"/>
        <s v="Children's Musical Theater San Jose" u="1"/>
        <s v="Verity Properties" u="1"/>
        <s v="Coalition, Inc" u="1"/>
        <s v="Comfy Company" u="1"/>
        <s v="Corvus Wealth Management" u="1"/>
        <s v="Crazy Maple Studio" u="1"/>
        <s v="Creo Hospitality" u="1"/>
        <s v="Crowdstrike Inc" u="1"/>
        <s v="In Market Solution, Inc." u="1"/>
        <s v="Deep Valley Labs LLC" u="1"/>
        <s v="Digital Garage" u="1"/>
        <s v="DotData" u="1"/>
        <s v="EA Sports" u="1"/>
        <s v="Ecovacs" u="1"/>
        <s v="Stanford Federal Credit Union" u="1"/>
        <s v="Excite Credit Union" u="1"/>
        <s v="Figure Technologies" u="1"/>
        <s v="Foxconn Communication Technology Corp." u="1"/>
        <s v="Huawei Technologies Co., Ltd" u="1"/>
        <s v="GAF Energy" u="1"/>
        <s v="Germains Seed Technology" u="1"/>
        <s v="Gracenote" u="1"/>
        <s v="Groupon, Inc.- Chicago" u="1"/>
        <s v="Happiness AI" u="1"/>
        <s v="Meraqi Medical" u="1"/>
        <s v="iB Hubs" u="1"/>
        <s v="inceptio" u="1"/>
        <s v="Incorta" u="1"/>
        <s v="Inphi Corporation" u="1"/>
        <s v="Intermedia" u="1"/>
        <s v="Intermolecular, Inc." u="1"/>
        <s v="Merck" u="1"/>
        <s v="Iota Biosciences" u="1"/>
        <s v="Irhythm Tech" u="1"/>
        <s v="San Mateo JATC" u="1"/>
        <s v="JATC" u="1"/>
        <s v="JPH Procurement" u="1"/>
        <s v="Jupiter Intelligence" u="1"/>
        <s v="Juva Life" u="1"/>
        <s v="KinderLime" u="1"/>
        <s v="Samsung" u="1"/>
        <s v="Macquarie Inc" u="1"/>
        <s v="Meriwest Credit Union" u="1"/>
        <s v="Movement Health Science, Inc" u="1"/>
        <s v="Quantumscape Battery Inc." u="1"/>
        <s v="Fahrney Group" u="1"/>
        <s v="Netbase Solutions, Inc." u="1"/>
        <s v="Rui Attorneys" u="1"/>
        <s v="Abbott Stringham &amp; Lynch An Accountancy Corporation" u="1"/>
        <s v="Steinberg Hart" u="1"/>
        <s v="Beppu Group" u="1"/>
        <s v="Baidu USA, LLC- Sunnyvale" u="1"/>
        <s v="Northrop Grumman Marine Systems" u="1"/>
        <s v="Gemdale USA Corporation" u="1"/>
        <s v="Northwestern Polytechnic University" u="1"/>
        <s v="Boos &amp; Associates, A Professional Corp." u="1"/>
        <s v="Webflow Inc" u="1"/>
        <s v="The Sherer Group" u="1"/>
        <s v="San Jose Earthquakes" u="1"/>
        <s v="Ameriprise Financial Services, Inc" u="1"/>
        <s v="Paradigm Strategy Inc" u="1"/>
        <s v="Particle Media Inc" u="1"/>
        <s v="Perfect Day Inc" u="1"/>
        <s v="Perfect World Entertainment Inc" u="1"/>
        <s v="Pivot Bio" u="1"/>
        <s v="Poshmark Inc" u="1"/>
        <s v="QCraft AI" u="1"/>
        <s v="Qualcomm" u="1"/>
        <s v="Raytheon Applied Signal Technology" u="1"/>
        <s v="Redtree Partners" u="1"/>
        <s v="HPG International Inc" u="1"/>
        <s v="ROHM Semiconductor USA" u="1"/>
        <s v="Wrike" u="1"/>
        <s v="SF Travel" u="1"/>
        <s v="Second Genome Inc" u="1"/>
        <s v="NetApp, Inc" u="1"/>
        <s v="Spiteri, Narasky &amp; Daley LLP" u="1"/>
        <s v="Sonatus" u="1"/>
        <s v="Supira Medical" u="1"/>
        <s v="Synthego Corp" u="1"/>
        <s v="Marki Microwave" u="1"/>
        <s v="Toray Advanced Composites" u="1"/>
        <s v="The Econic Company" u="1"/>
        <s v="Thermo Fisher Scientific" u="1"/>
        <s v="Tigo Energy Inc." u="1"/>
        <s v="Topcon Positioning Systems Inc" u="1"/>
        <s v="University of Colorado PD" u="1"/>
        <s v="Tricida Inc" u="1"/>
        <s v="Tuya" u="1"/>
        <s v="Sand Hill Properties" u="1"/>
        <s v="Venture Manufacturing Services" u="1"/>
        <s v="Volterra Semiconductor Corporation" u="1"/>
        <s v="Vorticity" u="1"/>
        <s v="Westlake Urban" u="1"/>
        <s v="Wild Earth" u="1"/>
        <s v="Zoetis Inc." u="1"/>
        <s v="Cisco Systems, Inc - CBRE" u="1"/>
        <s v="Quotient Technology, Inc" u="1"/>
        <s v="WeWork" u="1"/>
        <s v="Sonoma Brands" u="1"/>
        <s v="Toyota of Sunnvale" u="1"/>
        <s v="Stanford University - LBRE IT Services" u="1"/>
        <s v="Tollner Law Offices" u="1"/>
        <s v="TBI Development" u="1"/>
        <s v="South Bay Recycling" u="1"/>
        <s v="Valet Custom Cabinets &amp; Closets" u="1"/>
        <s v="Paxata" u="1"/>
        <s v="Global Power Consulting, Inc." u="1"/>
        <s v="Motion Industries" u="1"/>
        <s v="Facilicorp" u="1"/>
        <s v="Wave Computing" u="1"/>
        <s v="Confluent, Inc" u="1"/>
        <s v="Hensel Phelps Construction Co" u="1"/>
        <s v="County of Alameda Assessor's Office" u="1"/>
        <s v="11 West Partners" u="1"/>
        <s v="Coursera" u="1"/>
        <s v="Fetch Robotics" u="1"/>
        <s v="Carbon3D" u="1"/>
        <s v="Xtime Inc." u="1"/>
        <s v="City of Hayward" u="1"/>
        <s v="Hopkins &amp; Carley" u="1"/>
        <s v="Maxim Integrated" u="1"/>
        <s v="Collinear Networks, Inc." u="1"/>
        <s v="Telenav" u="1"/>
        <s v="Arrcus, Inc." u="1"/>
        <s v="SimilarWeb" u="1"/>
        <s v="Peacock Construction, Inc- Lafayette" u="1"/>
        <s v="Carbon, Inc" u="1"/>
        <s v="Immobiliare Inc" u="1"/>
        <s v="O'Melveny &amp; Myers" u="1"/>
        <s v="Reach Analytics, LLC" u="1"/>
        <s v="All Skin Dermatology" u="1"/>
        <s v="Santa Clara County Federal Credit Union" u="1"/>
        <s v="Omron Adept Technologies, Inc." u="1"/>
        <s v="Anderson Brule Architects" u="1"/>
        <s v="Electronic Arts" u="1"/>
        <s v="Superior Court of California, County of Fresno" u="1"/>
        <s v="Ring Central- CA" u="1"/>
        <s v="Ring Central- CO" u="1"/>
        <s v="Bandai Namco" u="1"/>
        <s v="Unusual Ventures" u="1"/>
        <s v="San Andreas Regional Center" u="1"/>
        <s v="Lyft" u="1"/>
        <s v="Jodi Washington" u="1"/>
        <s v="Cobalt Robotics" u="1"/>
        <s v="Lin Engineering" u="1"/>
        <s v="South Bay Construction" u="1"/>
        <s v="Holland Construction" u="1"/>
        <s v="Linkedin Corporation" u="1"/>
        <s v="TDK USA Corp" u="1"/>
        <s v="Legacy Partners" u="1"/>
        <s v="Public Library of Science" u="1"/>
        <s v="Camino Medical Group - Sutter Health" u="1"/>
        <s v="Shoreline Software" u="1"/>
        <s v="Survey Monkey" u="1"/>
        <s v="Volkswagen of America" u="1"/>
        <s v="Okta" u="1"/>
        <s v="Schwabe, Williamson and Wyatt" u="1"/>
        <s v="Performance Contracting Inc" u="1"/>
        <s v="Patrica Wong" u="1"/>
        <s v="Milestone Technologies, Inc." u="1"/>
        <s v="Foundation Constructors" u="1"/>
        <s v="Trammell Crow Company" u="1"/>
        <s v="Churchwell White LLP" u="1"/>
        <s v="DeWinter Consulting" u="1"/>
        <s v="STMicroelectronics" u="1"/>
        <s v="Alert 1 - Call Center" u="1"/>
        <s v="Rancho Rinconada Recreation and Park District" u="1"/>
        <s v="Leia Inc." u="1"/>
        <s v="Flory Construction" u="1"/>
        <s v="Brookfield Properties Retail" u="1"/>
        <s v="Ultragenyx Pharmaceutical" u="1"/>
        <s v="SKB Architects" u="1"/>
        <s v="VSCO" u="1"/>
        <s v="Zeltiq Aesthetics, Inc" u="1"/>
        <s v="Ramsbacher Prokey Leonard" u="1"/>
        <s v="CDK Global" u="1"/>
        <s v="Comira Testing" u="1"/>
        <s v="Studio O+A" u="1"/>
        <s v="Trimble Navigation" u="1"/>
        <s v="Qylur Security Systems" u="1"/>
        <s v="Ten-X" u="1"/>
        <s v="Vindicia, Inc." u="1"/>
        <s v="Sutter Hill Ventures" u="1"/>
        <s v="Robert J. Sehr, Jr., A Professional Corporation" u="1"/>
        <s v="Vian Systems" u="1"/>
        <s v="Workday, Inc." u="1"/>
        <s v="General Electric Software" u="1"/>
        <s v="Lucile Salter Packard Children's Hospital at Stanf" u="1"/>
        <s v="Eichleay, Inc." u="1"/>
        <s v="Click Diagnostics" u="1"/>
        <s v="E-Infotek Solutions, Inc." u="1"/>
        <s v="HiRoad" u="1"/>
        <s v="McAfee Inc" u="1"/>
        <s v="California Casualty Management Company" u="1"/>
        <s v="8X8 Inc." u="1"/>
        <s v="Conference Direct" u="1"/>
        <s v="Segment" u="1"/>
        <s v="Punchcut" u="1"/>
        <s v="Mercedes-Benz Research and Development" u="1"/>
        <s v="[24]7 Customer Inc." u="1"/>
        <s v="Nvidia Corporation" u="1"/>
        <s v="Safeway" u="1"/>
        <s v="ACME Chiropractic" u="1"/>
        <s v="Genesis Acoustics" u="1"/>
        <s v="Sereno Properties" u="1"/>
        <s v="Smith Denison Construction Co" u="1"/>
        <s v="Lennar Homes" u="1"/>
        <s v="Modesto Toyota" u="1"/>
        <s v="Mission Park" u="1"/>
        <s v="Portworx Data" u="1"/>
        <s v="Williams Sonoma" u="1"/>
        <s v="Samba Nova Systems" u="1"/>
        <s v="Travix Travel" u="1"/>
        <s v="Capitol Toyota" u="1"/>
        <s v="Indoor Environmental Services" u="1"/>
        <s v="Solaria Corporation" u="1"/>
        <s v="Metro News" u="1"/>
        <s v="Warburg Pincus" u="1"/>
        <s v="Newmark Knight Frank" u="1"/>
        <s v="Niello Volvo" u="1"/>
        <s v="Selma Ford" u="1"/>
        <s v="Enfabrica" u="1"/>
        <s v="California Certified Organic Farmers" u="1"/>
        <s v="MBH Architects" u="1"/>
        <s v="Arcadia Chair Company" u="1"/>
        <s v="Upward Credit Union" u="1"/>
        <s v="Apstra" u="1"/>
        <s v="USVP Management Company" u="1"/>
        <s v="Refresh with Christie" u="1"/>
        <s v="Blueline Associates, Inc." u="1"/>
        <s v="Moon Creative Lab" u="1"/>
        <s v="Fowlers auto dealerships" u="1"/>
        <s v="Universal Maintenance" u="1"/>
        <s v="Farwest Insulation" u="1"/>
        <s v="Pillsbury Winthrop Shaw Pittman LLP" u="1"/>
        <s v="Dow Chemical Company" u="1"/>
        <s v="Syapse" u="1"/>
        <s v="Contrast Security" u="1"/>
        <s v="Physiowave" u="1"/>
        <s v="Maze &amp; Associates" u="1"/>
        <s v="Demetrix Biotechnolgies" u="1"/>
        <s v="Toyota of Selma" u="1"/>
        <s v="NEC Labs" u="1"/>
        <s v="Clarizen" u="1"/>
        <s v="San Francisco Symphony" u="1"/>
        <s v="Yocha DeHe Wintun Nation" u="1"/>
        <s v="Adobe Systems Inc." u="1"/>
        <s v="VVA LLC" u="1"/>
        <s v="Agency Misfit" u="1"/>
        <s v="AIA Santa Clara Valley" u="1"/>
        <s v="LWG construction" u="1"/>
        <s v="Airbnb, Inc" u="1"/>
        <s v="Haskins Biotech" u="1"/>
        <s v="Coast Tropical" u="1"/>
        <s v="Mastercard" u="1"/>
        <s v="Andersen Tax" u="1"/>
        <s v="Salma &amp; Co" u="1"/>
        <s v="Vessel Group, Inc." u="1"/>
        <s v="Cogswell" u="1"/>
        <s v="Advanced Micro Devices" u="1"/>
        <s v="Steelwave CDS, Inc." u="1"/>
        <s v="Principal Builders" u="1"/>
        <s v="Turner Construction Co" u="1"/>
        <s v="Barnes &amp; Noble" u="1"/>
        <s v="Cambium Networks" u="1"/>
        <s v="GGV Capital" u="1"/>
        <s v="Quantiply Corp" u="1"/>
        <s v="Skoll Foundation" u="1"/>
        <s v="US Venture Partners" u="1"/>
        <s v="Coherus Biosciences" u="1"/>
        <s v="Graphiant" u="1"/>
        <s v="Six Five Labs" u="1"/>
        <s v="SF Motors" u="1"/>
        <s v="Clevertap" u="1"/>
        <s v="Xactly" u="1"/>
        <s v="Valo Ventures" u="1"/>
        <s v="Salesforce.com" u="1"/>
        <s v="Percipient.AI" u="1"/>
        <s v="Rorze Automation" u="1"/>
        <s v="Karius" u="1"/>
        <s v="Broadcom" u="1"/>
        <s v="Network Appliance, Inc." u="1"/>
        <s v="H.J. Heinz Company" u="1"/>
        <s v="SAP" u="1"/>
        <s v="Apigee Corporation" u="1"/>
        <s v="APL Logistics" u="1"/>
        <s v="City of Palo Alto" u="1"/>
        <s v="Gari Camaisa Interior Design, Inc." u="1"/>
        <s v="Arnold &amp; Porter Kaye Scholer LLP" u="1"/>
        <s v="Arrow Acoustics, Inc" u="1"/>
        <s v="Art 19 Inc." u="1"/>
        <s v="MSA Architecture + Design" u="1"/>
        <s v="Arteris  Inc" u="1"/>
        <s v="Arto Medical" u="1"/>
        <s v="Sierra Ridge Wealth Management" u="1"/>
        <s v="Aspera Inc." u="1"/>
        <s v="Associated Capital Consultants Inc." u="1"/>
        <s v="City of Marina" u="1"/>
        <s v="Tibco Software, Inc." u="1"/>
        <s v="Avaya Inc" u="1"/>
        <s v="Intuitive Surgical" u="1"/>
        <s v="Babcock" u="1"/>
        <s v="Niello BMW" u="1"/>
        <s v="IBM Corporation" u="1"/>
        <s v="Skyline Construction, Inc." u="1"/>
        <s v="Carmit Oron" u="1"/>
        <s v="Bank of The West Tower" u="1"/>
        <s v="Quora" u="1"/>
        <s v="Core Builders" u="1"/>
        <s v="Ripple Foods" u="1"/>
        <s v="Studio W Architects" u="1"/>
        <s v="Niantic Inc" u="1"/>
        <s v="Berkeley Public Library" u="1"/>
        <s v="City of Berkeley" u="1"/>
        <s v="HCL Technologies America" u="1"/>
        <s v="Big Hat BioSciences" u="1"/>
        <s v="Biorobotics Inc" u="1"/>
        <s v="L. Kershner Design" u="1"/>
        <s v="NetApp" u="1"/>
        <s v="TDK Invensense" u="1"/>
        <s v="Naval Research Laboratory" u="1"/>
        <s v="Brennan Properties" u="1"/>
        <s v="BrightStar Care" u="1"/>
        <s v="CBRE Management- Britannia Cove" u="1"/>
        <s v="Lumentum Operations LLC" u="1"/>
        <s v="Carr, Mcclellan, Ingersoll, Thompson &amp; Horn" u="1"/>
        <s v="C&amp;S Wholesale Grocers Inc" u="1"/>
        <s v="California Grocers Association" u="1"/>
        <s v="CA Technologies" u="1"/>
        <s v="Verifone" u="1"/>
        <s v="Cal Matters" u="1"/>
        <s v="California Academy of Sciences" u="1"/>
        <s v="California Water Service Co." u="1"/>
        <s v="Calpers" u="1"/>
        <s v="California State Teachers Retirement System" u="1"/>
        <s v="CW Driver" u="1"/>
        <s v="Intuit- IL" u="1"/>
        <s v="Capitola Library" u="1"/>
        <s v="California Bank &amp; Trust" u="1"/>
        <s v="Advanced Equities" u="1"/>
        <s v="CBRE Global Workplace Solutions - Siemens Mobility" u="1"/>
        <s v="California Contractors Insurance Service Inc" u="1"/>
        <s v="CGL Companies" u="1"/>
        <s v="HBV Architecture" u="1"/>
        <s v="The Olander Company" u="1"/>
        <s v="McCarthy Building Companies, Inc." u="1"/>
        <s v="ChargePoint Inc" u="1"/>
        <s v="Cherryland Community Center" u="1"/>
        <s v="Child Action, Inc" u="1"/>
        <s v="City of Mountain View" u="1"/>
        <s v="Santa Clara County Family Life Justice Center Cour" u="1"/>
        <s v="Hathaway Dinwiddie Construction Company" u="1"/>
        <s v="Community Hospital of The Monterey Peninsula" u="1"/>
        <s v="Sidemark" u="1"/>
        <s v="Cinnabar Hills Golf Club" u="1"/>
        <s v="Circle Internet Financial, Inc" u="1"/>
        <s v="Citrix Systems, Inc." u="1"/>
        <s v="City of San Jose" u="1"/>
        <s v="San Francisco Deptment of Technology" u="1"/>
        <s v="Sanmina-Sci Corporation" u="1"/>
        <s v="Splash!Events, Inc." u="1"/>
        <s v="Rodo Medical, Inc." u="1"/>
        <s v="Regional Medical Center" u="1"/>
        <s v="Cobalt Biofuel" u="1"/>
        <s v="Space One Acoustics" u="1"/>
        <s v="Synaptics" u="1"/>
        <s v="College of San Mateo" u="1"/>
        <s v="County of Monterey" u="1"/>
        <s v="Kennedy Jenks" u="1"/>
        <s v="City of Los Altos" u="1"/>
        <s v="Sand Hill Foundation" u="1"/>
        <s v="AMF Media Group" u="1"/>
        <s v="Ampro Adlink Technology, Inc." u="1"/>
        <s v="Denali Therapeutics" u="1"/>
        <s v="Duetto Research Inc" u="1"/>
        <s v="Kinetica" u="1"/>
        <s v="Nami Trade" u="1"/>
        <s v="Shingle Springs Subaru Dealership" u="1"/>
        <s v="DSB + Commercial Floor Finishes" u="1"/>
        <s v="Sverica International" u="1"/>
        <s v="Blakely, Sokoloff, Taylor and Zafman Law Offices" u="1"/>
        <s v="Superior Court of Contra Costa County" u="1"/>
        <s v="Contra Costa Community College District" u="1"/>
        <s v="Eastdil Secured" u="1"/>
        <s v="Cordano Commercial Inc." u="1"/>
        <s v="Adobe Services, Allied Housing" u="1"/>
        <s v="City of Santa Clara" u="1"/>
        <s v="Santa Clara County Council" u="1"/>
        <s v="County of Alameda General Services" u="1"/>
        <s v="Contra Costa County" u="1"/>
        <s v="California Polytechnic State University" u="1"/>
        <s v="CRESA" u="1"/>
        <s v="California Rural Indian Health Board" u="1"/>
        <s v="Shea Homes" u="1"/>
        <s v="AT&amp;T" u="1"/>
        <s v="California State University, Fresno" u="1"/>
        <s v="CSU Stanislaus" u="1"/>
        <s v="SugarCRM" u="1"/>
        <s v="Silverlake Ventures" u="1"/>
        <s v="Prometheus Real Estate" u="1"/>
        <s v="New Forests Inc." u="1"/>
        <s v="Dan Caputo Commercial Real Estate Specialists" u="1"/>
        <s v="On 24" u="1"/>
        <s v="Toyota of Auburn" u="1"/>
        <s v="Yuba City Honda" u="1"/>
        <s v="Freeman Toyota" u="1"/>
        <s v="Capital Ford" u="1"/>
        <s v="Team Subaru of Nampa" u="1"/>
        <s v="Hanlees Auto Group" u="1"/>
        <s v="Toyota Sunnyvale Inc" u="1"/>
        <s v="Field Construction" u="1"/>
        <s v="Software Ag" u="1"/>
        <s v="Getinsured.Com" u="1"/>
        <s v="DGA Architects Sacramento" u="1"/>
        <s v="Dignity Health" u="1"/>
        <s v="Direct Commerce" u="1"/>
        <s v="The Law Office of Stephanie L. Williams" u="1"/>
        <s v="DMV Headquarters" u="1"/>
        <s v="County of Alameda Water Agency" u="1"/>
        <s v="Finnegan Henderson Farabow Garrett &amp; Dunner LLP" u="1"/>
        <s v="Henry Schein" u="1"/>
        <s v="Shelton-Keller Group" u="1"/>
        <s v="E*TRADE" u="1"/>
        <s v="Roebbelen Contracting, Inc." u="1"/>
        <s v="El Gabilan Library" u="1"/>
        <s v="USCB America" u="1"/>
        <s v="Elk Grove Toyota" u="1"/>
        <s v="Snider Motors, Inc" u="1"/>
        <s v="Loring Ward Advisor Services" u="1"/>
        <s v="Emergent BioSolutions Inc" u="1"/>
        <s v="Tanium" u="1"/>
        <s v="Mountz, Incorporated" u="1"/>
        <s v="Gordon Prill, Inc." u="1"/>
        <s v="San Jose/Evergreen Community College District" u="1"/>
        <s v="Evidation Health" u="1"/>
        <s v="Jim Murphy &amp; Associates" u="1"/>
        <s v="Hillis Financial Services" u="1"/>
        <s v="East Bay Municipal Utility District" u="1"/>
        <s v="Exelixis Inc" u="1"/>
        <s v="Nerd Wallet" u="1"/>
        <s v="Fox Creek Funding" u="1"/>
        <s v="Migroup" u="1"/>
        <s v="NEC" u="1"/>
        <s v="Audentes" u="1"/>
        <s v="Jotter" u="1"/>
        <s v="Netflix, Inc." u="1"/>
        <s v="Atmel Corporation" u="1"/>
        <s v="Felton Library" u="1"/>
        <s v="Cisco Systems, Inc.-JLL" u="1"/>
        <s v="Origin Materials" u="1"/>
        <s v="Tishman Speyer" u="1"/>
        <s v="Jabil Circuits" u="1"/>
        <s v="Focal One" u="1"/>
        <s v="City of Alameda, Dept. of Public Works" u="1"/>
        <s v="Dreamworks Animation SKG" u="1"/>
        <s v="Forward Networks Inc" u="1"/>
        <s v="FoxConn Assembly" u="1"/>
        <s v="Foxit Software Company." u="1"/>
        <s v="Duplan Construction" u="1"/>
        <s v="Free Flow Wines" u="1"/>
        <s v="Quantum Secure" u="1"/>
        <s v="Asus Computing" u="1"/>
        <s v="Fresenius Medical Care, NA" u="1"/>
        <s v="Organicgirl" u="1"/>
        <s v="Dr. Ziedler" u="1"/>
        <s v="Resolve Systems" u="1"/>
        <s v="Trainor construction" u="1"/>
        <s v="BCCI Construction Company" u="1"/>
        <s v="Kathleen Burke Design" u="1"/>
        <s v="Swinerton Builders (GC)" u="1"/>
        <s v="Norcal Kenworth" u="1"/>
        <s v="Goodwater Capital" u="1"/>
        <s v="Cushman and Wakefield on behalf of Google" u="1"/>
        <s v="Greater Sacramento" u="1"/>
        <s v="Greenberg Traurig LLP" u="1"/>
        <s v="Guardant Health Inc" u="1"/>
        <s v="HAAS Jr. Fund" u="1"/>
        <s v="Studio Greene" u="1"/>
        <s v="Harvest Properties, Inc.- Oakland" u="1"/>
        <s v="Conversica" u="1"/>
        <s v="Bohlin Cywinski Jackson" u="1"/>
        <s v="Hewlett Packard" u="1"/>
        <s v="Hogan Lovells" u="1"/>
        <s v="Bill Crown" u="1"/>
        <s v="Cynthia Lang" u="1"/>
        <s v="CRI" u="1"/>
        <s v="Igate Patni" u="1"/>
        <s v="Hospice of Santa Cruz County" u="1"/>
        <s v="Heising-Simons Foundation" u="1"/>
        <s v="Hulu" u="1"/>
        <s v="Cooley Godward" u="1"/>
        <s v="Husch Blackwell LLP" u="1"/>
        <s v="Hyundai Motor company | Urban Air Mobility" u="1"/>
        <s v="IBM" u="1"/>
        <s v="Kay DUB U, LP" u="1"/>
        <s v="Icon Ventures Inc" u="1"/>
        <s v="Banuazizi Architects" u="1"/>
        <s v="314E Corp" u="1"/>
        <s v="Intergrated Builders Group" u="1"/>
        <s v="JLL on behalf of Intuit" u="1"/>
        <s v="IONPath" u="1"/>
        <s v="Ipsy" u="1"/>
        <s v="Health Plan of San Joaquin" u="1"/>
        <s v="Walters and Wolf" u="1"/>
        <s v="Jackson Properties" u="1"/>
        <s v="James Kenney" u="1"/>
        <s v="GVA Kidder Mathews" u="1"/>
        <s v="Johanson &amp; Yau Accountancy Corp" u="1"/>
        <s v="John Conway LLC" u="1"/>
        <s v="JP Morgan Chase" u="1"/>
        <s v="Kaneka Americas Holding, Inc." u="1"/>
        <s v="United States Court of Appeals" u="1"/>
        <s v="United Veterinary Specialty &amp; Emergency" u="1"/>
        <s v="Couchbase" u="1"/>
        <s v="Innovation Core SEI" u="1"/>
        <s v="Kitchell CEM" u="1"/>
        <s v="Windmill School" u="1"/>
        <s v="VA Medical Hospital" u="1"/>
        <s v="Monterey Bay Aquarium" u="1"/>
        <s v="Del Gavio Group" u="1"/>
        <s v="Kodiak Sciences Inc" u="1"/>
        <s v="Komodo Health" u="1"/>
        <s v="Kronick Moskovitz Tiedemann &amp; Girard" u="1"/>
        <s v="Ultra Tokyo" u="1"/>
        <s v="Parameters" u="1"/>
        <s v="Bohnen Rosenthal and Dusenbury" u="1"/>
        <s v="Land IQ" u="1"/>
        <s v="Panasonic" u="1"/>
        <s v="Martin O'Kane" u="1"/>
        <s v="ID/Architecture" u="1"/>
        <s v="Envision Peripheral Inc" u="1"/>
        <s v="ABB Power Electronics" u="1"/>
        <s v="Carrington College" u="1"/>
        <s v="Proexhibits" u="1"/>
        <s v="Rovi" u="1"/>
        <s v="Techtronic" u="1"/>
        <s v="Visa" u="1"/>
        <s v="Boies, Schiller &amp; Flexner" u="1"/>
        <s v="RHO Capital Partners, Inc" u="1"/>
        <s v="S.J.A. LLC" u="1"/>
        <s v="LifeLock, Inc." u="1"/>
        <s v="County of Santa Cruz Sheriff - Coroner" u="1"/>
        <s v="Linear Technology Corp." u="1"/>
        <s v="Newmark Cornish &amp; Carey" u="1"/>
        <s v="Livongo" u="1"/>
        <s v="Kasa Partners" u="1"/>
        <s v="Arborwell Professional Tree Management" u="1"/>
        <s v="Industrial and Commercial Bank of China- San Francisco" u="1"/>
        <s v="Dominican Oaks" u="1"/>
        <s v="Briggs Development" u="1"/>
        <s v="Nautilus Data Technologies" u="1"/>
        <s v="Stumbaugh and Associates" u="1"/>
        <s v="APL- Long Beach" u="1"/>
        <s v="Bosch" u="1"/>
        <s v="Los Rios Community College District" u="1"/>
        <s v="LPAS" u="1"/>
        <s v="LSA" u="1"/>
        <s v="Price Simms Auto Group" u="1"/>
        <s v="FireEye, Inc." u="1"/>
        <s v="Mammoth Biosciences Inc" u="1"/>
        <s v="Kirby consturction" u="1"/>
        <s v="Defense Language Institute" u="1"/>
        <s v="Massie &amp; Company" u="1"/>
        <s v="NASA/Ames Research Center" u="1"/>
        <s v="McClellan Business Park" u="1"/>
        <s v="McGraw Hill Publishing" u="1"/>
        <s v="Medallia, Inc." u="1"/>
        <s v="Menlo Equities Management Company LLC" u="1"/>
        <s v="Wounded Warrior" u="1"/>
        <s v="YotaScale" u="1"/>
        <s v="Bigfoot Biomedical" u="1"/>
        <s v="Miramar Capital LLC" u="1"/>
        <s v="Corteva Inc" u="1"/>
        <s v="Bohannon Development Company" u="1"/>
        <s v="The Dentists Insurance Company" u="1"/>
        <s v="Santa Clara County Library System" u="1"/>
        <s v="West Valley Mission Community College District" u="1"/>
        <s v="Mission Pets" u="1"/>
        <s v="Spectra-Physics Inc" u="1"/>
        <s v="Build Momentum" u="1"/>
        <s v="First Northern Credit Union" u="1"/>
        <s v="Shoprunner" u="1"/>
        <s v="County of Santa Cruz Sheriff- Sherrif/ Coroner" u="1"/>
        <s v="Fidelity Asset Management Inc." u="1"/>
        <s v="Box" u="1"/>
        <s v="Purestorage" u="1"/>
        <s v="The Swig Company" u="1"/>
        <s v="Atlassian" u="1"/>
        <s v="Mobile Iron" u="1"/>
        <s v="23andMe" u="1"/>
        <s v="Peel Technologies" u="1"/>
        <s v="Agilone Inc." u="1"/>
        <s v="Benefit Experts" u="1"/>
        <s v="San Francisco Sheet Metal Union" u="1"/>
        <s v="Kezr/K-Bay Studios" u="1"/>
        <s v="Synergex" u="1"/>
        <s v="Walkwater Technologies" u="1"/>
        <s v="Lattice Semiconductor" u="1"/>
        <s v="Betable.com" u="1"/>
        <s v="X Inc." u="1"/>
        <s v="Matanuska Telephone Association" u="1"/>
        <s v="Stanford New York" u="1"/>
        <s v="Arastradero Research Institute" u="1"/>
        <s v="BT builders" u="1"/>
        <s v="Equinox" u="1"/>
        <s v="Department of General Services California" u="1"/>
        <s v="Alteryx, Inc." u="1"/>
        <s v="BIFI" u="1"/>
        <s v="Symphoiny AI" u="1"/>
        <s v="SVB Financial Group" u="1"/>
        <s v="Akin Gump Strauss Hauer &amp; Feld LLP" u="1"/>
        <s v="Kilpatrick Townsend &amp; Stockton LLP" u="1"/>
        <s v="Jensen Architects" u="1"/>
        <s v="Nagase America Corp" u="1"/>
        <s v="Independent Electric Supply, Inc." u="1"/>
        <s v="Michelle Interior Design" u="1"/>
        <s v="Office Sekkei America, Inc." u="1"/>
        <s v="Ultimate Interiors" u="1"/>
        <s v="True Jerky" u="1"/>
        <s v="Reniassance" u="1"/>
        <s v="Buckles-Smith" u="1"/>
        <s v="Accuray, Inc." u="1"/>
        <s v="Precision for Medicine" u="1"/>
        <s v="California State University, Monterey Bay" u="1"/>
        <s v="Machine Zone" u="1"/>
        <s v="Berliner-Cohen" u="1"/>
        <s v="Robert A. Bothman, Inc." u="1"/>
        <s v="Crossmedia" u="1"/>
        <s v="Momentum Chevrolet" u="1"/>
        <s v="Hartin and Hume Inc. Mazda of Elk Grove" u="1"/>
        <s v="Sycomp" u="1"/>
        <s v="BN Builders" u="1"/>
        <s v="Mirum Pharmaceuticals" u="1"/>
        <s v="Pappas Investments" u="1"/>
        <s v="View, Inc." u="1"/>
        <s v="Pacific Ridge Builders" u="1"/>
        <s v="BAR Architects" u="1"/>
        <s v="Oleander Law Partners LLP" u="1"/>
        <s v="Paramount Group" u="1"/>
        <s v="Real Capital Analytics" u="1"/>
        <s v="Canyon Bridge Capital Partners" u="1"/>
        <s v="Weil, Gotshal &amp; Manges LLP" u="1"/>
        <s v="Apollo IS" u="1"/>
        <s v="Sumitomo (SHI) Cryogenics of America, Inc." u="1"/>
        <s v="Technology Crossover Ventures" u="1"/>
        <s v="Consulate General of Ireland" u="1"/>
        <s v="D7 Roofing Services, Inc" u="1"/>
        <s v="Vandermyden Maddux Law Corporation" u="1"/>
        <s v="ELO Touch Solutions" u="1"/>
        <s v="Convention Management Resources" u="1"/>
        <s v="TYS, LLP" u="1"/>
        <s v="Anton Development" u="1"/>
        <s v="Partners Mortgage" u="1"/>
        <s v="Krypton Solutions LLC" u="1"/>
        <s v="Tophatter" u="1"/>
        <s v="Crocus Technology" u="1"/>
        <s v="Duetto" u="1"/>
        <s v="Livingly.com" u="1"/>
        <s v="Tech 21" u="1"/>
        <s v="Visitorscoverage.Com" u="1"/>
        <s v="United States Department of Agriculture - Sacramento" u="1"/>
        <s v="Blue Danube Systems Inc" u="1"/>
        <s v="Insureon" u="1"/>
        <s v="HouseCanary" u="1"/>
        <s v="SnapDocs" u="1"/>
        <s v="Omniata" u="1"/>
        <s v="Strategies 360" u="1"/>
        <s v="Veterans Re-Entry Training Centers" u="1"/>
        <s v="FICO" u="1"/>
        <s v="Splunk" u="1"/>
        <s v="Northland Controls" u="1"/>
        <s v="Northstate BIA" u="1"/>
        <s v="Notre Dame High School San Jose" u="1"/>
        <s v="Novome Bio" u="1"/>
        <s v="National Trench Safety" u="1"/>
        <s v="Nugget Market Inc" u="1"/>
        <s v="K2 Pure Solutions" u="1"/>
        <s v="XL Construction" u="1"/>
        <s v="Primed Management Company" u="1"/>
        <s v="Global Upside" u="1"/>
        <s v="Hawley Peterson &amp; Snyder" u="1"/>
        <s v="California Peace Officers Association" u="1"/>
        <s v="Direct Technology" u="1"/>
        <s v="Imai, Tadlock, Keeney" u="1"/>
        <s v="Family Wealth" u="1"/>
        <s v="2 Level Design" u="1"/>
        <s v="Rivermeadow Software, Inc." u="1"/>
        <s v="Osuna" u="1"/>
        <s v="Somach Simmons &amp; Dunn" u="1"/>
        <s v="Subaru of Oakland" u="1"/>
        <s v="National Design &amp; Trade Network, Inc" u="1"/>
        <s v="Olympus Surgical Technologies America" u="1"/>
        <s v="Omron management Center" u="1"/>
        <s v="Flex" u="1"/>
        <s v="One Market Restaurant Partners, L.P." u="1"/>
        <s v="NEC Corporation of America" u="1"/>
        <s v="Brezack and Associates" u="1"/>
        <s v="Orbital Insight" u="1"/>
        <s v="Furlong Vision Correction" u="1"/>
        <s v="Orrick- San Francisco" u="1"/>
        <s v="Orrick- Sacramento" u="1"/>
        <s v="Orrick, Herrington &amp; Sutcliffe LLP" u="1"/>
        <s v="Aedis Architects" u="1"/>
        <s v="Woodstock Development" u="1"/>
        <s v="HMH Architects" u="1"/>
        <s v="Tripadvisor" u="1"/>
        <s v="LAV International Inc" u="1"/>
        <s v="10 X Capital" u="1"/>
        <s v="American Academy of Ophthalmology" u="1"/>
        <s v="Frontdesk.ai" u="1"/>
        <s v="Quartzy" u="1"/>
        <s v="Eshares, Inc." u="1"/>
        <s v="Guardian Healthcare Providers Inc" u="1"/>
        <s v="Flournoy Wealth Management" u="1"/>
        <s v="Paratransit" u="1"/>
        <s v="Partnership Capital" u="1"/>
        <s v="Patelco Credit Union" u="1"/>
        <s v="Knotel" u="1"/>
        <s v="B+N Industries Inc." u="1"/>
        <s v="Amdocs" u="1"/>
        <s v="Sunfolding" u="1"/>
        <s v="Databank" u="1"/>
        <s v="UC Davis Shared Services Center" u="1"/>
        <s v="Reate Design Associates LLP" u="1"/>
        <s v="CooperVision Inc" u="1"/>
        <s v="American Psychiatric Centers, Inc." u="1"/>
        <s v="OpenText" u="1"/>
        <s v="AAI Design" u="1"/>
        <s v="Newmark Cornish and Carey" u="1"/>
        <s v="Qiagen" u="1"/>
        <s v="Instant" u="1"/>
        <s v="NRDC" u="1"/>
        <s v="Postmates" u="1"/>
        <s v="Power Integrations Inc." u="1"/>
        <s v="Powered by WE" u="1"/>
        <s v="Ericsson" u="1"/>
        <s v="Prime Finance Inc" u="1"/>
        <s v="Vantage Data Centers" u="1"/>
        <s v="Unnatural Products" u="1"/>
        <s v="Skadden, Arps, Slate, Meagher &amp; Flom LLP" u="1"/>
        <s v="Fortifire" u="1"/>
        <s v="Enterprise Ireland" u="1"/>
        <s v="Linc" u="1"/>
        <s v="BD Biosciences" u="1"/>
        <s v="QuanticMind" u="1"/>
        <s v="Ragingwire Data Centers" u="1"/>
        <s v="Fenwick &amp; West LLP- Foster City" u="1"/>
        <s v="Wilson Bunker Hill" u="1"/>
        <s v="August Homes" u="1"/>
        <s v="Enlitic" u="1"/>
        <s v="Hansen Medical" u="1"/>
        <s v="Before Brands, Incorporated" u="1"/>
        <s v="Francisco Partners" u="1"/>
        <s v="County of Alameda Public Works Agency" u="1"/>
        <s v="Red River" u="1"/>
        <s v="Redpoint Ventures" u="1"/>
        <s v="HGA San Jose" u="1"/>
        <s v="Shen Wei USA, Inc." u="1"/>
        <s v="El Camino Family YMCA" u="1"/>
        <s v="Heritage Bank of Commerce" u="1"/>
        <s v="Raptor Pharmaceutical" u="1"/>
        <s v="Nutanix Inc." u="1"/>
        <s v="URS Corporation" u="1"/>
        <s v="California Primary Care Association" u="1"/>
        <s v="Zone4 Construction" u="1"/>
        <s v="Jane Fordham" u="1"/>
        <s v="Medical Forefronts" u="1"/>
        <s v="LiveRamp" u="1"/>
        <s v="RGP" u="1"/>
        <s v="Fema Region 9 Response Division" u="1"/>
        <s v="Naval Postgraduate School" u="1"/>
        <s v="Pan Pacific Bank" u="1"/>
        <s v="Scott Yuill Insurance &amp; Financial Services, Inc." u="1"/>
        <s v="Nolan and Tam Architects" u="1"/>
        <s v="ELS Architecture" u="1"/>
        <s v="Coupang" u="1"/>
        <s v="Sonoma County" u="1"/>
        <s v="Rothy's" u="1"/>
        <s v="City of Santa Cruz" u="1"/>
        <s v="Netscout Systems Inc." u="1"/>
        <s v="Sacramento Area Council of Governments" u="1"/>
        <s v="Sacramento Housing and Redevelopment Agency" u="1"/>
        <s v="Hi-Land Credit Union" u="1"/>
        <s v="Samsung Accelerator" u="1"/>
        <s v="Samtec" u="1"/>
        <s v="Nabih Youssef &amp; Associates" u="1"/>
        <s v="Ozzy Media dba Firefly" u="1"/>
        <s v="Disney Interactive" u="1"/>
        <s v="San Francisco War Memorial &amp; Performing Arts Cente" u="1"/>
        <s v="Instacart" u="1"/>
        <s v="App Academy" u="1"/>
        <s v="Mc Carthy Building Co" u="1"/>
        <s v="AAI Clients" u="1"/>
        <s v="Ferrari Moe, LLP" u="1"/>
        <s v="Hitachi Data Systems" u="1"/>
        <s v="Arc International" u="1"/>
        <s v="Maria Dunn" u="1"/>
        <s v="Zoom Video Communications, Inc." u="1"/>
        <s v="Align Technology" u="1"/>
        <s v="ACI Jet" u="1"/>
        <s v="Franklin Templeton" u="1"/>
        <s v="Snowflake Computing" u="1"/>
        <s v="Sandisk Corporation" u="1"/>
        <s v="RR Donnelley" u="1"/>
        <s v="Shockwave Medical Inc" u="1"/>
        <s v="Transphorm Inc" u="1"/>
        <s v="Source Planning and Construction" u="1"/>
        <s v="Schetter Electric, Inc" u="1"/>
        <s v="Crystal Springs Uplands Middle School" u="1"/>
        <s v="Terence Rose" u="1"/>
        <s v="Seven Networks" u="1"/>
        <s v="European Paving Designs" u="1"/>
        <s v="Toyota Of Santa Cruz Inc" u="1"/>
        <s v="Sonoma Biotherapeutics" u="1"/>
        <s v="Expedia Cruise Ship Center" u="1"/>
        <s v="Koll/Intereal Bay Area" u="1"/>
        <s v="Coresite" u="1"/>
        <s v="Bridge Housing" u="1"/>
        <s v="Beals Martin" u="1"/>
        <s v="Old Republic Title Holding Company, Inc." u="1"/>
        <s v="Jump Trading" u="1"/>
        <s v="Tim Murphy Design Associates" u="1"/>
        <s v="Slack" u="1"/>
        <s v="Rockpoint Group LLC" u="1"/>
        <s v="Transwestern" u="1"/>
        <s v="SharesPost, Inc" u="1"/>
        <s v="Sheppard Mullin Richter &amp; Hampton LLP" u="1"/>
        <s v="Shimadzu Scientific Instruments Inc" u="1"/>
        <s v="Shop.com" u="1"/>
        <s v="Shreve and Company" u="1"/>
        <s v="Toyota of Antioch" u="1"/>
        <s v="Modulus" u="1"/>
        <s v="InnoPhase" u="1"/>
        <s v="Silver Lake Partners" u="1"/>
        <s v="Jeffrey A. Metilly" u="1"/>
        <s v="ERG international" u="1"/>
        <s v="Skyline Advanced Technology" u="1"/>
        <s v="Kycon, Inc." u="1"/>
        <s v="Sleep IQ" u="1"/>
        <s v="R and R Design Studio" u="1"/>
        <s v="World Pay" u="1"/>
        <s v="Lexus Stevens Creek" u="1"/>
        <s v="Synack, Inc." u="1"/>
        <s v="El Camino Hospital" u="1"/>
        <s v="Smartlabs Inc" u="1"/>
        <s v="Inside Source" u="1"/>
        <s v="Sacramento Municipal Utility District" u="1"/>
        <s v="snorkel ai" u="1"/>
        <s v="SW Allen Construction, Inc." u="1"/>
        <s v="Lane Partners" u="1"/>
        <s v="Specialized Bicycle" u="1"/>
        <s v="Specific Diagnostics" u="1"/>
        <s v="Sacramento Builders Exchange" u="1"/>
        <s v="Service Source" u="1"/>
        <s v="StackRox" u="1"/>
        <s v="Danco" u="1"/>
        <s v="Juniper Networks" u="1"/>
        <s v="Jawbone" u="1"/>
        <s v="City of Salinas Public Safety" u="1"/>
        <s v="Synopsys, Inc." u="1"/>
        <s v="Altera Corporation" u="1"/>
        <s v="VM Ware" u="1"/>
        <s v="ROR3 Devices" u="1"/>
        <s v="Symposia Medicus" u="1"/>
        <s v="CBS Interactive" u="1"/>
        <s v="Benicia Family Dental" u="1"/>
        <s v="Accel Partners" u="1"/>
        <s v="General Catalyst Partners" u="1"/>
        <s v="Trilliant, Inc." u="1"/>
        <s v="UE Group" u="1"/>
        <s v="Education.com" u="1"/>
        <s v="Mainfreight" u="1"/>
        <s v="Sigma Designs, Inc." u="1"/>
        <s v="Agari Data Inc." u="1"/>
        <s v="The British Standards Institution" u="1"/>
        <s v="Marcus &amp; Millichap" u="1"/>
        <s v="Valbridge Property Advisors" u="1"/>
        <s v="Valley Health Team, Inc." u="1"/>
        <s v="Usra" u="1"/>
        <s v="Nanotronics Imaging Inc." u="1"/>
        <s v="Novumind" u="1"/>
        <s v="Continental" u="1"/>
        <s v="McCarthy Ranch" u="1"/>
        <s v="Kahn, Soares &amp; Conway LLP" u="1"/>
        <s v="Mega Chip" u="1"/>
        <s v="Musco Family Olive Co." u="1"/>
        <s v="Ayla Networks" u="1"/>
        <s v="DaJani Consulting" u="1"/>
        <s v="Hunter Properties" u="1"/>
        <s v="Lincoln Training Center, North" u="1"/>
        <s v="Mak Design" u="1"/>
        <s v="Snaplogic" u="1"/>
        <s v="Symphony Financial Planning" u="1"/>
        <s v="Zymergen" u="1"/>
        <s v="Aintu" u="1"/>
        <s v="BrightFunnel" u="1"/>
        <s v="Falkonry" u="1"/>
        <s v="Iono" u="1"/>
        <s v="Marc Zare MD Surgical Group" u="1"/>
        <s v="Palantir" u="1"/>
        <s v="Toeniskoetter Construction" u="1"/>
        <s v="G2VP" u="1"/>
        <s v="Sterling Talent Solutions" u="1"/>
        <s v="Tintri, Inc." u="1"/>
        <s v="Stanford Hospital and Clinics" u="1"/>
        <s v="Stanford Libraries" u="1"/>
        <s v="TLC Tech" u="1"/>
        <s v="EK Health" u="1"/>
        <s v="Referral Exchange" u="1"/>
        <s v="Steadfast Financial LLC" u="1"/>
        <s v="Westamerica Bank" u="1"/>
        <s v="E.A. Bonelli &amp; Associates" u="1"/>
        <s v="Styra" u="1"/>
        <s v="Twitter, Inc" u="1"/>
        <s v="Keating Consulting" u="1"/>
        <s v="Crawford Group" u="1"/>
        <s v="Sun Valley Rice Co, LLC" u="1"/>
        <s v="VMI, Inc." u="1"/>
        <s v="Groupon, Inc.- Palo Alto" u="1"/>
        <s v="Silicon Valley Education Foundation" u="1"/>
        <s v="Swinerton Builders- Sacramento" u="1"/>
        <s v="Sygenta - Gilroy" u="1"/>
        <s v="Hippo Insurance" u="1"/>
        <s v="Recology" u="1"/>
        <s v="Toyota Motor Sales USA Inc" u="1"/>
        <s v="Crowell and Moring" u="1"/>
        <s v="Health Tap" u="1"/>
        <s v="Poynt" u="1"/>
        <s v="SIA Consulting" u="1"/>
        <s v="Fragoman, Del Rey, Bernsen &amp; Loewy, LLP" u="1"/>
        <s v="CFEP Pruneyard LLC" u="1"/>
        <s v="Prudential Commercial Real Estate" u="1"/>
        <s v="The Evergreen Company" u="1"/>
        <s v="The Exchange Hotel" u="1"/>
        <s v="Think Academy" u="1"/>
        <s v="Nonprofits Insurance Alliance of California" u="1"/>
        <s v="Tivo Inc." u="1"/>
        <s v="Totvs Labs" u="1"/>
        <s v="Toyota 101" u="1"/>
        <s v="Sierra Pacific Properties" u="1"/>
        <s v="Technology Credit Union" u="1"/>
        <s v="Trucker Huss" u="1"/>
        <s v="Trueline Builders" u="1"/>
        <s v="Compass Family Services" u="1"/>
        <s v="Bessemer Venture Partners" u="1"/>
        <s v="Ubisoft" u="1"/>
        <s v="UCSF Benioff Childrens Hospital Oakland" u="1"/>
        <s v="University Enterprises, Inc. - Sacramento State" u="1"/>
        <s v="Urban Hive" u="1"/>
        <s v="United States Department of Labor" u="1"/>
        <s v="Valley Biomedical Products" u="1"/>
        <s v="Cigdem Bulut" u="1"/>
        <s v="Vaxcyte" u="1"/>
        <s v="Vulcraft-Verco Group" u="1"/>
        <s v="HITT Contracting Inc" u="1"/>
        <s v="City of Redwood City" u="1"/>
        <s v="Vertex Ventures" u="1"/>
        <s v="Santa Clara Valley Transportation Authority" u="1"/>
        <s v="Vuclip" u="1"/>
        <s v="Murry Hill Partners" u="1"/>
        <s v="Walmart Ecommerce" u="1"/>
        <s v="Weee Inc" u="1"/>
        <s v="WeidnerCA" u="1"/>
        <s v="Weintraub Tobin" u="1"/>
        <s v="Santa Clara County" u="1"/>
        <s v="Pacific Cabinet, Inc" u="1"/>
        <s v="KRJ Design Group" u="1"/>
        <s v="Western Healthcare Federal Credit Union" u="1"/>
        <s v="Menlo Security Inc" u="1"/>
        <s v="William Jessup University" u="1"/>
        <s v="Answers.com" u="1"/>
        <s v="Royal Brass Inc." u="1"/>
        <s v="Evident.io" u="1"/>
        <s v="Precision Medical" u="1"/>
        <s v="Sabre Foods, Inc." u="1"/>
        <s v="Yolo Federal Credit Union" u="1"/>
        <s v="Zeni.ai" u="1"/>
        <s v="Zensar Technologies Inc" u="1"/>
        <s v="Zuora Inc" u="1"/>
        <s v="Zynga, Inc." u="1"/>
        <s v="Adara Inc" u="1"/>
        <s v="Adverum Biotechnologies Inc" u="1"/>
        <s v="Abbott Laboratories" u="1"/>
        <s v="Integrity" u="1"/>
        <s v="Avails Medical" u="1"/>
        <s v="Colliers International (San Jose)" u="1"/>
        <s v="Cytek Biosciences Inc" u="1"/>
        <s v="Audi Boise" u="1"/>
        <s v="Druva Inc" u="1"/>
        <s v="Eightfold.ai" u="1"/>
        <s v="Einride" u="1"/>
        <s v="Element Science Inc" u="1"/>
        <s v="Fungible" u="1"/>
        <s v="Great America Towers" u="1"/>
        <s v="Open Robotics" u="1"/>
        <s v="Highnote" u="1"/>
        <s v="Intersect Ent Inc" u="1"/>
        <s v="Iovance Biotherapeutics Inc" u="1"/>
        <s v="Lowenstein Sandler LLP" u="1"/>
        <s v="Lynx Software Technologies" u="1"/>
        <s v="Bristol-Myers Squibb" u="1"/>
        <s v="Mission Bio" u="1"/>
        <s v="Momentus Space" u="1"/>
        <s v="Morris + D'Angelo" u="1"/>
        <s v="Mozilla" u="1"/>
        <s v="Coupa Software Inc" u="1"/>
        <s v="Forty Niners Football Co LLC" u="1"/>
        <s v="Cambrios Technologies" u="1"/>
        <s v="Nutanix" u="1"/>
        <s v="Orca Biosystems" u="1"/>
        <s v="Piedmont Plastics Inc" u="1"/>
        <s v="Republika" u="1"/>
        <s v="Rubrik" u="1"/>
        <s v="Varian Medical Systems" u="1"/>
        <s v="Boston Scientific" u="1"/>
        <s v="ServiceNow" u="1"/>
        <s v="Sony Pictures Corp" u="1"/>
        <s v="Fairfield Ford" u="1"/>
        <s v="CommScope Holding" u="1"/>
        <s v="ThoughtSpot Inc" u="1"/>
        <s v="Vayu Robotics" u="1"/>
        <s v="Vocera Communications, Inc." u="1"/>
        <s v="Walnut Creek Toyota" u="1"/>
        <s v="Werqwise" u="1"/>
        <s v="Western Allied Mechanical Inc" u="1"/>
        <s v="Zosano Pharma Corp" u="1"/>
        <s v="Chan Zuckerberg Initiative- Palo Alto" u="1"/>
        <s v="KQED, Inc" u="1"/>
        <s v="Pfizer" u="1"/>
        <s v="Medley Partners" u="1"/>
        <s v="OTJ Architects" u="1"/>
        <s v="Goodwin Procter" u="1"/>
        <s v="F2 Design" u="1"/>
        <s v="Fairchild Medical Center" u="1"/>
        <s v="Sacramento Public Library Authority" u="1"/>
        <s v="Redding Rancheria Indian Tribe" u="1"/>
        <s v="Faro Software" u="1"/>
        <s v="The International School of San Francisco" u="1"/>
        <s v="County of Marin" u="1"/>
        <s v="8Works Consulting USA" u="1"/>
        <s v="St. Mary School" u="1"/>
        <s v="Salinas Union High School District" u="1"/>
        <s v="Greater Sacramento Urban League" u="1"/>
        <s v="Presidio of Monterey" u="1"/>
        <s v="Town of Atherton" u="1"/>
        <s v="County of San Mateo" u="1"/>
        <s v="Canada College" u="1"/>
        <s v="BART" u="1"/>
        <s v="City of Burlingame" u="1"/>
        <s v="City of Carmel Library" u="1"/>
        <s v="Mithun" u="1"/>
        <s v="Superior Court of California" u="1"/>
        <s v="City of Fremont" u="1"/>
        <s v="City of San Bruno" u="1"/>
        <s v="WE Lyons" u="1"/>
        <s v="City of Santa Rosa" u="1"/>
        <s v="City of Sunnyvale" u="1"/>
        <s v="rodan" u="1"/>
        <s v="Napa County" u="1"/>
        <s v="County of Tuolomne" u="1"/>
        <s v="General Services Administration" u="1"/>
        <s v="City of Moreno Valley" u="1"/>
        <s v="FDIC" u="1"/>
        <s v="GSA Public Building Service" u="1"/>
        <s v="Mission Housing Development Corporation" u="1"/>
        <s v="Hartnell College" u="1"/>
        <s v="San Mateo County" u="1"/>
        <s v="Jonathan Rose Companies LLC" u="1"/>
        <s v="Jayson Architects" u="1"/>
        <s v="Kioxia America, Inc" u="1"/>
        <s v="Mayer Brown-Palo Alto" u="1"/>
        <s v="Team San Jose" u="1"/>
        <s v="Meissa Vaccines Inc" u="1"/>
        <s v="City of Menlo Park" u="1"/>
        <s v="Midpeninsula Reginal Open Space District" u="1"/>
        <s v="City of Millbrea" u="1"/>
        <s v="Movius Corp" u="1"/>
        <s v="Valley Health Plan" u="1"/>
        <s v="Facilities By Design" u="1"/>
        <s v="Department of the Treasury" u="1"/>
        <s v="Ohlone College" u="1"/>
        <s v="SCC Superior Court" u="1"/>
        <s v="Santa Catalina Schiol" u="1"/>
        <s v="Sacramento Water District" u="1"/>
        <s v="Santa Clara Valley Water District" u="1"/>
        <s v="Sonrisas Dental Health" u="1"/>
        <s v="Union Sanitary District" u="1"/>
        <s v="VTA" u="1"/>
        <s v="Santa Clara Police" u="1"/>
        <s v="Stanford Roble Gymnasium" u="1"/>
        <s v="Stanford Public Safety" u="1"/>
        <s v="Stanford Central Energy Facility" u="1"/>
        <s v="Stanford Departent of Biology" u="1"/>
        <s v="Stanford Freeman Spogli Institute For Internationa" u="1"/>
        <s v="UCSF Gladstone" u="1"/>
        <s v="Stanford Green Library" u="1"/>
        <s v="Guardhat Inc" u="1"/>
        <s v="SKS Investments" u="1"/>
        <s v="Lucile Packard Foundation" u="1"/>
        <s v="Samuel Merritt University - Sutter Health Nursing School" u="1"/>
        <s v="San Diego State University" u="1"/>
        <s v="Stanford Children's Health" u="1"/>
        <s v="United Business Bank" u="1"/>
        <s v="Lindsay Hanief" u="1"/>
        <s v="Stanford VPUE" u="1"/>
        <s v="Saratoga Research" u="1"/>
        <s v="Backbone Labs" u="1"/>
        <s v="Spencer Fane LLP" u="1"/>
        <s v="DataRobot" u="1"/>
        <s v="SAA" u="1"/>
        <s v="Schwegman Lundberg and Woessner" u="1"/>
        <s v="Asia Alternatives Management LLC" u="1"/>
        <s v="CircleCI" u="1"/>
        <s v="A9" u="1"/>
        <s v="Jay Paul Company" u="1"/>
        <s v="Dark" u="1"/>
        <s v="Audentes Therapeutics, Inc.- San Francisco" u="1"/>
        <s v="Angel Island Capital" u="1"/>
        <s v="Davis Partners" u="1"/>
        <s v="Copan Diagnostics Inc" u="1"/>
        <s v="Elasticsearch" u="1"/>
        <s v="Bozzuto Insurance" u="1"/>
        <s v="Dav Studio" u="1"/>
        <s v="Iconiq Capital" u="1"/>
        <s v="State Bar of California" u="1"/>
        <s v="Pearson" u="1"/>
        <s v="MRC" u="1"/>
        <s v="Gunderson Dettmer- Ann Arbor" u="1"/>
        <s v="Chan Zuckerberg Initiative- Redwood City" u="1"/>
        <s v="Bay Area Air Quality Management District" u="1"/>
        <s v="A+O Shearman" u="1"/>
        <s v="Able Services" u="1"/>
        <s v="Ruckus Wireless" u="1"/>
        <s v="Thornton Tomasetti Inc." u="1"/>
        <s v="MuleSoft" u="1"/>
        <s v="Halo Neuro" u="1"/>
        <s v="Mayer Brown LLP" u="1"/>
        <s v="ON Semiconductor- San Jose" u="1"/>
        <s v="Symantec" u="1"/>
        <s v="San Francisco Foundation" u="1"/>
        <s v="Intercontinental Exchange" u="1"/>
        <s v="Carbon Five" u="1"/>
        <s v="Digital Delivery Network, Inc." u="1"/>
        <s v="Battery Ventures" u="1"/>
        <s v="Grabango" u="1"/>
        <s v="Whatsapp" u="1"/>
        <s v="ZS Pharma" u="1"/>
        <s v="Threatmetrix" u="1"/>
        <s v="Bright Machines" u="1"/>
        <s v="KeepTruckin, Inc" u="1"/>
        <s v="Burr Pilger Mayer" u="1"/>
        <s v="Moelis &amp; Company Group LP" u="1"/>
        <s v="Business Wire- Montgomery Street" u="1"/>
        <s v="Orlando Diaz-Azcuy Design Associates" u="1"/>
        <s v="Charles Pankow Builders, Ltd." u="1"/>
        <s v="Palo Alto Networks" u="1"/>
        <s v="Chroma" u="1"/>
        <s v="Pankow" u="1"/>
        <s v="Dr. Arthur Ting" u="1"/>
        <s v="Salt Lake City International Airport" u="1"/>
        <s v="Marin Sanitary Service" u="1"/>
        <s v="College Futures Foundation" u="1"/>
        <s v="Golden Gate Private Equity Inc." u="1"/>
        <s v="Northland Logistics" u="1"/>
        <s v="Infineon Technologies North America Corp." u="1"/>
        <s v="Sila Nano" u="1"/>
        <s v="Pluribus Network" u="1"/>
        <s v="Merchant E-Solutions" u="1"/>
        <s v="Leiter?s Compounding Pharmacy" u="1"/>
        <s v="Nike" u="1"/>
        <s v="Velodyne  Lidar, Inc." u="1"/>
        <s v="Hirschfeld Kraemer LLP" u="1"/>
        <s v="Stanford Department of History" u="1"/>
        <s v="Doordash" u="1"/>
        <s v="Dreyfus Sotheby?s" u="1"/>
        <s v="Carl Zeiss Meditec, Inc." u="1"/>
        <s v="G2 Insurance Service" u="1"/>
        <s v="Laguna Honda Hospital" u="1"/>
        <s v="Brick" u="1"/>
        <s v="Greenhill &amp; Co., LLC" u="1"/>
        <s v="Hoge, Fenton, Jones, &amp; Appel, Inc." u="1"/>
        <s v="Plaid" u="1"/>
        <s v="Kirkland &amp; Ellis- San Francisco" u="1"/>
        <s v="Blue Owl LLC" u="1"/>
        <s v="Gunderson Dettmer- Los Angeles" u="1"/>
        <s v="Marin Naturopathic Medicine Clinic" u="1"/>
        <s v="Residential and Dining Enterprises" u="1"/>
        <s v="Redwood Trust, Inc." u="1"/>
        <s v="Motive Medical Intelligence" u="1"/>
        <s v="USPA City Center, LLC" u="1"/>
        <s v="Berkeley Outlet" u="1"/>
        <s v="Avant Space" u="1"/>
        <s v="Marriott Hotel" u="1"/>
        <s v="Merchants Exchange LLC" u="1"/>
        <s v="KKR- Menlo Park" u="1"/>
        <s v="Carolina Business Interiors" u="1"/>
        <s v="Miller, Morton, Caillat &amp; Nevis" u="1"/>
        <s v="Facebook- Palo Alto" u="1"/>
        <s v="Everlane" u="1"/>
        <s v="Business Wire- California Street" u="1"/>
        <s v="Xilinx" u="1"/>
        <s v="Summer Hill Homes" u="1"/>
        <s v="Conviva" u="1"/>
        <s v="Singapore Telecom USA Inc" u="1"/>
        <s v="Fossil Partners LP" u="1"/>
        <s v="Aruba Networks" u="1"/>
        <s v="Maven Recruiting" u="1"/>
        <s v="Lightspeed Genomics" u="1"/>
        <s v="Silicon Valley Innovation &amp; Entrepreneurship Forum" u="1"/>
        <s v="Lateef Investment Management" u="1"/>
        <s v="Redmile Group LLC" u="1"/>
        <s v="Reuben, Junius &amp; Rose LLP" u="1"/>
        <s v="Sauce Labs Inc" u="1"/>
        <s v="Lyric" u="1"/>
        <s v="H &amp; L Partners" u="1"/>
        <s v="GoodEggs" u="1"/>
        <s v="McMillan Electric Company" u="1"/>
        <s v="SteelRiver" u="1"/>
        <s v="TC Transcontinental Printing" u="1"/>
        <s v="Stanford Department of Art &amp; Art History" u="1"/>
        <s v="Stanford McMurtry" u="1"/>
        <s v="Baker Botts LLP" u="1"/>
        <s v="Transbay Joint Powers Authority" u="1"/>
        <s v="Kirkland &amp; Ellis- Palo Alto" u="1"/>
        <s v="Berkeley Advisors" u="1"/>
        <s v="JTA Gateway School" u="1"/>
        <s v="Varmour" u="1"/>
        <s v="Column Group LP" u="1"/>
        <s v="MacFarlane Partners" u="1"/>
        <s v="Provident Credit Union- Dublin" u="1"/>
        <s v="Microtone Ideology" u="1"/>
        <s v="SB Architects" u="1"/>
        <s v="TransBay Cable" u="1"/>
        <s v="Silicon Valley Medical Development" u="1"/>
        <s v="United Airlines" u="1"/>
        <s v="Howrey LLP" u="1"/>
        <s v="Charles Bloszies" u="1"/>
        <s v="Pivotal bioVentures" u="1"/>
        <s v="Rutan &amp; Tucker" u="1"/>
        <s v="Venable LLP" u="1"/>
        <s v="Generation Investment Management" u="1"/>
        <s v="Casto Travel" u="1"/>
        <s v="Looking Glass" u="1"/>
        <s v="Automation Anywhere, Inc." u="1"/>
        <s v="Top Tier Capital Partners LLC" u="1"/>
        <s v="BCV Architects" u="1"/>
        <s v="Brayton and Hughes" u="1"/>
        <s v="Camberview Partners, LLC" u="1"/>
        <s v="Snapfish" u="1"/>
        <s v="Navy Operational Support Center Lemoore Supply Dep" u="1"/>
        <s v="Comerica Bank-California" u="1"/>
        <s v="Lucidworks" u="1"/>
        <s v="Rosebowl Leasing" u="1"/>
        <s v="Moore Buick GMC" u="1"/>
        <s v="Shop Vip" u="1"/>
        <s v="ViewRay" u="1"/>
        <s v="Kaye Scholer" u="1"/>
        <s v="Robert Lee &amp; Associates" u="1"/>
        <s v="Express Employment Professionals" u="1"/>
        <s v="Charles De Lisle Corporation" u="1"/>
        <s v="Hunton and Williams LLP" u="1"/>
        <s v="Bioq Pharma Incorporated" u="1"/>
        <s v="Park Place" u="1"/>
        <s v="CICC US Securities, Inc" u="1"/>
        <s v="LG Electronics" u="1"/>
        <s v="The Episcopal Diocese of El Camino Real" u="1"/>
        <s v="Trinity Management Services" u="1"/>
        <s v="Troon Pacific" u="1"/>
        <s v="Neutral Posture, Inc." u="1"/>
        <s v="Evelyn and Walter Haas, Jr. Fund" u="1"/>
        <s v="Stantec" u="1"/>
        <s v="Linkage Biosciences Inc" u="1"/>
        <s v="Viv Labs" u="1"/>
        <s v="CPA Global" u="1"/>
        <s v="Working Assumptions" u="1"/>
        <s v="Sequoia Heritage" u="1"/>
        <s v="Level Spec" u="1"/>
        <s v="Paradigm Operations LP" u="1"/>
        <s v="Starlux Airlines" u="1"/>
        <s v="6sense" u="1"/>
        <s v="acceldata" u="1"/>
        <s v="Activision" u="1"/>
        <s v="Advantest" u="1"/>
        <s v="Ambience Healthcare" u="1"/>
        <s v="Aptiv" u="1"/>
        <s v="Aviatrix" u="1"/>
        <s v="Balyasny Asset Management LP" u="1"/>
        <s v="Canum Wealth Partners" u="1"/>
        <s v="Chalk" u="1"/>
        <s v="Chinese Hospital" u="1"/>
        <s v="D-Matrix" u="1"/>
        <s v="Form Energy" u="1"/>
        <s v="Fujifilm" u="1"/>
        <s v="Limo Health" u="1"/>
        <s v="Matson" u="1"/>
        <s v="MediaTek" u="1"/>
        <s v="Mitchell Leeds" u="1"/>
        <s v="Motive" u="1"/>
        <s v="Netgear" u="1"/>
        <s v="Intersect Power" u="1"/>
        <s v="1x Technologies" u="1"/>
        <s v="Wordware" u="1"/>
        <s v="Verily Life Sciences LLC" u="1"/>
        <s v="Octave Bioscience" u="1"/>
        <s v="PFM Health Sciences" u="1"/>
        <s v="Plenful" u="1"/>
        <s v="Quince" u="1"/>
        <s v="Raise Commercial Real Estate" u="1"/>
        <s v="recentive analytics" u="1"/>
        <s v="Rippling" u="1"/>
        <s v="Stifel Financial" u="1"/>
        <s v="Postman" u="1"/>
        <s v="St. Ignatius College Preparatory" u="1"/>
        <s v="Resource Commercial Real Estate" u="1"/>
        <s v="Woven by Toyota" u="1"/>
        <s v="Daybreak Game Company" u="1"/>
        <s v="Electric Cloud" u="1"/>
        <s v="Five to 9" u="1"/>
        <s v="Intuit- AZ" u="1"/>
        <s v="Federal Home Loan Bank of San Francisco" u="1"/>
        <s v="Ensemble Capital Management LLC" u="1"/>
        <s v="CommonWealth Partners LLC" u="1"/>
        <s v="Udemy Inc" u="1"/>
        <s v="BentallGreenOak Limited" u="1"/>
        <s v="Boston Properties" u="1"/>
        <s v="Obscura Digital" u="1"/>
        <s v="Ascend Clinical" u="1"/>
        <s v="Juul Labs" u="1"/>
        <s v="Bartko" u="1"/>
        <s v="BTIG" u="1"/>
        <s v="CBF, Inc." u="1"/>
        <s v="City of St. Helena" u="1"/>
        <s v="Create Me" u="1"/>
        <s v="Davis Polk &amp; Wardwell LLP" u="1"/>
        <s v="Debevoise &amp; Plimpton LLP" u="1"/>
        <s v="DTCP Capital" u="1"/>
        <s v="ELF Cosmetics Inc" u="1"/>
        <s v="Exploratorium" u="1"/>
        <s v="Farallon Capital Management LLC" u="1"/>
        <s v="First Citizen Bank" u="1"/>
        <s v="Forge Global" u="1"/>
        <s v="Friedman Fleischer Lowe" u="1"/>
        <s v="Phase 3 Real Estate Partners" u="1"/>
        <s v="Geolo Capital" u="1"/>
        <s v="Gibson Dunn &amp; Crutcher" u="1"/>
        <s v="Globality Inc" u="1"/>
        <s v="Golden Gate Capital" u="1"/>
        <s v="Goldman Sachs" u="1"/>
        <s v="JLL" u="1"/>
        <s v="Harmless Harvest" u="1"/>
        <s v="HGGC" u="1"/>
        <s v="Houlihan Lokey, Inc." u="1"/>
        <s v="Jay Paul Marketing Office" u="1"/>
        <s v="Jones Day" u="1"/>
        <s v="Kendo Inc" u="1"/>
        <s v="Lone Pine Capital" u="1"/>
        <s v="Marsh McLennan Agency LLC" u="1"/>
        <s v="Mitsui Fudosan America Inc" u="1"/>
        <s v="Bain Capital Inc" u="1"/>
        <s v="Norton Rose Fulbright" u="1"/>
        <s v="Willkie Farr &amp; Gallagher LLP" u="1"/>
        <s v="Pantheon Systems Inc" u="1"/>
        <s v="Perkins Coie Trust Company" u="1"/>
        <s v="Piper Sandler" u="1"/>
        <s v="Ropes &amp; Gray LLP" u="1"/>
        <s v="Scale AI" u="1"/>
        <s v="Strava Inc" u="1"/>
        <s v="Snapchat Inc" u="1"/>
        <s v="Snell &amp; Wilmer LLP" u="1"/>
        <s v="SoFi" u="1"/>
        <s v="Sullivan Cromwell" u="1"/>
        <s v="The Police Credit Union" u="1"/>
        <s v="Raine Group LLC" u="1"/>
        <s v="UA Local 38" u="1"/>
        <s v="Udemy- Mountain View" u="1"/>
        <s v="Unity Technologies" u="1"/>
        <s v="Verkada Inc" u="1"/>
        <s v="Vineti" u="1"/>
        <s v="Walkup, Melodia &amp; Kelly" u="1"/>
        <s v="Westbridge Capital" u="1"/>
        <s v="YETI Coolers LLC" u="1"/>
        <s v="YMCA" u="1"/>
        <s v="Penumbra, Inc." u="1"/>
        <s v="Samsara" u="1"/>
        <s v="100 Stockton" u="1"/>
        <s v="Prospect Ridge" u="1"/>
        <s v="Divco West" u="1"/>
        <s v="ThredUp Inc" u="1"/>
        <s v="Fennie + Mehl" u="1"/>
        <s v="AKQA Inc" u="1"/>
        <s v="Glu Mobile Inc." u="1"/>
        <s v="Tubi TV" u="1"/>
        <s v="Trade Desk Inc" u="1"/>
        <s v="Chubb Corporation" u="1"/>
        <s v="Low Income Investment Fund" u="1"/>
        <s v="Impossible Foods" u="1"/>
        <s v="Affirm" u="1"/>
        <s v="Go Forward" u="1"/>
        <s v="Freestone Grove Partners" u="1"/>
        <s v="Stripe" u="1"/>
        <s v="6Sense Insights Inc" u="1"/>
        <s v="Chime Bank" u="1"/>
        <s v="Accel" u="1"/>
        <s v="Addepar Inc" u="1"/>
        <s v="Adept AI" u="1"/>
        <s v="Adtalem Global Education Inc" u="1"/>
        <s v="Adyen UK Ltd" u="1"/>
        <s v="Aeye Inc" u="1"/>
        <s v="Afterpay" u="1"/>
        <s v="Agenus Inc" u="1"/>
        <s v="Airbnb Inc. HQ" u="1"/>
        <s v="Airtable" u="1"/>
        <s v="Alation Inc" u="1"/>
        <s v="AliveCor, Inc." u="1"/>
        <s v="Allen &amp; Overy LLP" u="1"/>
        <s v="Alpine Investors" u="1"/>
        <s v="Alto Pharmacy Inc" u="1"/>
        <s v="Altos Ventures Management Inc" u="1"/>
        <s v="Altus" u="1"/>
        <s v="ALX Oncology" u="1"/>
        <s v="Amp Robotics Corp" u="1"/>
        <s v="Anaplan Inc" u="1"/>
        <s v="IIF Management Company, LLC" u="1"/>
        <s v="Gantry Inc" u="1"/>
        <s v="Ancora Biotech" u="1"/>
        <s v="Andreessen Horowitz" u="1"/>
        <s v="Annexon Inc" u="1"/>
        <s v="Anthropic" u="1"/>
        <s v="Apartment List Inc" u="1"/>
        <s v="Appdirect, Inc." u="1"/>
        <s v="Applied Intuition" u="1"/>
        <s v="Applied Matierals" u="1"/>
        <s v="The Biomedicine institute" u="1"/>
        <s v="Area 1 Security" u="1"/>
        <s v="Arent Fox LLP" u="1"/>
        <s v="Argonaut" u="1"/>
        <s v="Arta FInance" u="1"/>
        <s v="Asana" u="1"/>
        <s v="Atomwise Inc" u="1"/>
        <s v="Audax Inc" u="1"/>
        <s v="Augmedix Inc" u="1"/>
        <s v="Axinn Veltrop &amp; Harkrider LLP" u="1"/>
        <s v="BDO" u="1"/>
        <s v="Benchling Inc" u="1"/>
        <s v="Berkeley Lights Inc" u="1"/>
        <s v="Better Pl" u="1"/>
        <s v="Vanderbyl Design" u="1"/>
        <s v="BlackRock" u="1"/>
        <s v="Blend" u="1"/>
        <s v="BNP Paribas Corp" u="1"/>
        <s v="Bolt" u="1"/>
        <s v="Bond" u="1"/>
        <s v="BraunHagey &amp; Borden LLP" u="1"/>
        <s v="Brex" u="1"/>
        <s v="British Consulate General" u="1"/>
        <s v="Brutten Global" u="1"/>
        <s v="Buckley LLP" u="1"/>
        <s v="C3Ai Inc" u="1"/>
        <s v="Caffeine" u="1"/>
        <s v="Calm" u="1"/>
        <s v="Capgemini" u="1"/>
        <s v="Caption Health Inc" u="1"/>
        <s v="Carbon health" u="1"/>
        <s v="Carnaval" u="1"/>
        <s v="Center For The Art Of Translation" u="1"/>
        <s v="Centerview Partners LLC" u="1"/>
        <s v="Levi Strauss &amp; Co" u="1"/>
        <s v="Chairish Inc" u="1"/>
        <s v="Chevron" u="1"/>
        <s v="Chipper Cash" u="1"/>
        <s v="Credit Karma Inc" u="1"/>
        <s v="Clari" u="1"/>
        <s v="Clark Construction" u="1"/>
        <s v="Cleary Gottlieb Steen &amp; Hamilton LLP" u="1"/>
        <s v="Clockwise Inc" u="1"/>
        <s v="Clubhouse" u="1"/>
        <s v="Coda" u="1"/>
        <s v="College Track" u="1"/>
        <s v="Color" u="1"/>
        <s v="Comet Technologies Usa Inc" u="1"/>
        <s v="Constellation Brands" u="1"/>
        <s v="Strada" u="1"/>
        <s v="Corning" u="1"/>
        <s v="Course Hero" u="1"/>
        <s v="Covington &amp; Burling" u="1"/>
        <s v="Canada Pension Plan" u="1"/>
        <s v="CSAA Insurance Group" u="1"/>
        <s v="Databricks Inc" u="1"/>
        <s v="Davis Wright Tremaine LLP" u="1"/>
        <s v="Dechert LLP" u="1"/>
        <s v="Deel" u="1"/>
        <s v="Degreed Inc" u="1"/>
        <s v="Density, Inc" u="1"/>
        <s v="Derivative Path Inc" u="1"/>
        <s v="Dialpad Inc" u="1"/>
        <s v="Discord Inc" u="1"/>
        <s v="Doctor on Demand Inc." u="1"/>
        <s v="DocuSign Inc" u="1"/>
        <s v="Whole Biome, Inc." u="1"/>
        <s v="Studios ARCHITECTURE" u="1"/>
        <s v="Drata" u="1"/>
        <s v="Dremio Corp" u="1"/>
        <s v="Viz Inc" u="1"/>
        <s v="Pax" u="1"/>
        <s v="Autodesk" u="1"/>
        <s v="Element Analytics Inc" u="1"/>
        <s v="Eli Lilly" u="1"/>
        <s v="Emerson Collective LLC" u="1"/>
        <s v="Encoded therapeutics" u="1"/>
        <s v="Engine 1" u="1"/>
        <s v="Everlaw Inc" u="1"/>
        <s v="Transcend" u="1"/>
        <s v="Ginger.io" u="1"/>
        <s v="PandaDoc Inc" u="1"/>
        <s v="f'real foods LLC" u="1"/>
        <s v="Faire" u="1"/>
        <s v="Fauna, Inc." u="1"/>
        <s v="Farella Braun Martell" u="1"/>
        <s v="Federal Communications Commission" u="1"/>
        <s v="Federal Reserve Bank of San Francisco" u="1"/>
        <s v="FibroGen Inc" u="1"/>
        <s v="Figma Inc" u="1"/>
        <s v="figure ai" u="1"/>
        <s v="Fisher Phillips" u="1"/>
        <s v="Five9, Inc." u="1"/>
        <s v="Fivetran Inc" u="1"/>
        <s v="Flexport" u="1"/>
        <s v="Fox Rothschild LLP" u="1"/>
        <s v="Freenome Inc" u="1"/>
        <s v="Fremont Group LLC" u="1"/>
        <s v="Freshfields" u="1"/>
        <s v="Front" u="1"/>
        <s v="Generate capital" u="1"/>
        <s v="German Consulate" u="1"/>
        <s v="Getaround" u="1"/>
        <s v="GIC" u="1"/>
        <s v="Global relay" u="1"/>
        <s v="Gong" u="1"/>
        <s v="grammarly" u="1"/>
        <s v="Grand Rounds" u="1"/>
        <s v="Greene Radovsky Maloney" u="1"/>
        <s v="Grove Collaborative Inc" u="1"/>
        <s v="Sentry" u="1"/>
        <s v="Handshake" u="1"/>
        <s v="harness" u="1"/>
        <s v="Harvey.Ai" u="1"/>
        <s v="Haus Services Inc" u="1"/>
        <s v="Hauser &amp; Wirth" u="1"/>
        <s v="Headspace Health" u="1"/>
        <s v="Heidrick and Struggles" u="1"/>
        <s v="Hellman and Friedman LLC" u="1"/>
        <s v="The Hidden Genius Project" u="1"/>
        <s v="Hinge Health Inc" u="1"/>
        <s v="Hipcamp Inc" u="1"/>
        <s v="Hired Inc" u="1"/>
        <s v="Homelight" u="1"/>
        <s v="Honor Technology" u="1"/>
        <s v="Horsley Bridge Partners" u="1"/>
        <s v="Hover" u="1"/>
        <s v="RPX Corporation" u="1"/>
        <s v="Human Capital" u="1"/>
        <s v="Humane AI" u="1"/>
        <s v="Hummingbird Bioscience" u="1"/>
        <s v="IEQ Capital" u="1"/>
        <s v="Illumio" u="1"/>
        <s v="Included Health" u="1"/>
        <s v="index ventures" u="1"/>
        <s v="Industrious Office" u="1"/>
        <s v="Informa" u="1"/>
        <s v="Instabase Inc" u="1"/>
        <s v="iqhq" u="1"/>
        <s v="Iron Ox Inc" u="1"/>
        <s v="Ironclad Inc" u="1"/>
        <s v="Juniper square" u="1"/>
        <s v="Kiddom Inc" u="1"/>
        <s v="Kimpton Hotel &amp; Restaurant Group, Inc" u="1"/>
        <s v="Knox Lane" u="1"/>
        <s v="Kong Inc." u="1"/>
        <s v="KPMG" u="1"/>
        <s v="LIT" u="1"/>
        <s v="Landing" u="1"/>
        <s v="Lattice" u="1"/>
        <s v="Catamorphic Co" u="1"/>
        <s v="LeanTaaS Inc" u="1"/>
        <s v="Legal Zoom" u="1"/>
        <s v="lending club" u="1"/>
        <s v="LendingHome Corp" u="1"/>
        <s v="LendUp Global Inc" u="1"/>
        <s v="Forerunner Ventures LLC" u="1"/>
        <s v="Lever" u="1"/>
        <s v="LGT Capital Partners Usa Inc" u="1"/>
        <s v="Liberty Bank" u="1"/>
        <s v="Lithium Extraction Technologies" u="1"/>
        <s v="Lion Tree Group, LLC" u="1"/>
        <s v="David Gensler" u="1"/>
        <s v="Loom Inc" u="1"/>
        <s v="Luminate Capital Partners LP" u="1"/>
        <s v="Lyell Immunopharma" u="1"/>
        <s v="Lyon Street Capital" u="1"/>
        <s v="Lyra Health Inc" u="1"/>
        <s v="Zendesk - Madison" u="1"/>
        <s v="Madison Capital LLC" u="1"/>
        <s v="Mainsail Partners" u="1"/>
        <s v="Marqeta Inc" u="1"/>
        <s v="Masterclass" u="1"/>
        <s v="Maverick Ventures Inc" u="1"/>
        <s v="MBF North America" u="1"/>
        <s v="Method" u="1"/>
        <s v="Mezzetta" u="1"/>
        <s v="McGuinn Hillsman and Palefsky" u="1"/>
        <s v="Mind Tickle" u="1"/>
        <s v="Spire" u="1"/>
        <s v="Mission Barns" u="1"/>
        <s v="Modern Treasury" u="1"/>
        <s v="Monomi Park" u="1"/>
        <s v="Zendesk - Canada" u="1"/>
        <s v="Morrison Foerster" u="1"/>
        <s v="DBO Partners" u="1"/>
        <s v="Moxion Power" u="1"/>
        <s v="Mural" u="1"/>
        <s v="Mux Inc" u="1"/>
        <s v="NEA" u="1"/>
        <s v="Neeva" u="1"/>
        <s v="CareDx" u="1"/>
        <s v="Sephora USA Inc" u="1"/>
        <s v="Reed Smith LLP" u="1"/>
        <s v="TikTok" u="1"/>
        <s v="Principia Biopharma Inc" u="1"/>
        <s v="Amplitude Inc." u="1"/>
        <s v="Gusto" u="1"/>
        <s v="Publiciis Groupe" u="1"/>
        <s v="Glassdoor, Inc." u="1"/>
        <s v="Asml Us, Inc." u="1"/>
        <s v="TravelBank" u="1"/>
        <s v="Latham &amp; Watkins LLP" u="1"/>
        <s v="Veracyte" u="1"/>
        <s v="Next Insurance Inc" u="1"/>
        <s v="Nice Energy" u="1"/>
        <s v="Nine Square Therapeutics" u="1"/>
        <s v="Nkarta" u="1"/>
        <s v="North Pond Ventures" u="1"/>
        <s v="Notion" u="1"/>
        <s v="Nova Credit" u="1"/>
        <s v="Novo Ventures Ltd" u="1"/>
        <s v="Nura Bio" u="1"/>
        <s v="Nurix Inc" u="1"/>
        <s v="Nylas, Inc." u="1"/>
        <s v="Pacific Gas &amp; Electric Co." u="1"/>
        <s v="Oath" u="1"/>
        <s v="OG Ventures" u="1"/>
        <s v="Onfido" u="1"/>
        <s v="Oomnitza Inc" u="1"/>
        <s v="OpenAI" u="1"/>
        <s v="Open Door Networks Inc" u="1"/>
        <s v="Oura ring" u="1"/>
        <s v="Outschool Inc" u="1"/>
        <s v="Owlchemy Labs Inc" u="1"/>
        <s v="Pac 12" u="1"/>
        <s v="PagerDuty, Inc." u="1"/>
        <s v="West Street LLC" u="1"/>
        <s v="Parsable Inc" u="1"/>
        <s v="Parthenon group" u="1"/>
        <s v="Patient Square Capital" u="1"/>
        <s v="Patreon Inc" u="1"/>
        <s v="Pattern Energy" u="1"/>
        <s v="Paul Hastings" u="1"/>
        <s v="Paul Weiss Rifkind Wharton &amp; Garrison LLP" u="1"/>
        <s v="Peak Design" u="1"/>
        <s v="perplexity" u="1"/>
        <s v="Phoenix Labs Inc" u="1"/>
        <s v="Stellar Development Foundation" u="1"/>
        <s v="Pinterest, Inc." u="1"/>
        <s v="Point 72" u="1"/>
        <s v="PowerSchool Group LLC" u="1"/>
        <s v="Thoma Bravo, LLC" u="1"/>
        <s v="Mynd Property Management" u="1"/>
        <s v="Proteus Biomedical" u="1"/>
        <s v="Protocol Labs" u="1"/>
        <s v="Qualia Labs" u="1"/>
        <s v="Quantum Leap Healthcare Collaborative" u="1"/>
        <s v="Quizlet Inc" u="1"/>
        <s v="Rain Therapeutics Inc" u="1"/>
        <s v="Rapid Robotics" u="1"/>
        <s v="Rasa" u="1"/>
        <s v="Red Ventures LLC" u="1"/>
        <s v="Reflektive Inc" u="1"/>
        <s v="Related California" u="1"/>
        <s v="Renesas" u="1"/>
        <s v="Rescale Inc" u="1"/>
        <s v="Stem Inc" u="1"/>
        <s v="ride cell" u="1"/>
        <s v="Rigetti &amp; Co Inc" u="1"/>
        <s v="Twilio, Inc." u="1"/>
        <s v="Ripple" u="1"/>
        <s v="Rocket Lawyer" u="1"/>
        <s v="Routable" u="1"/>
        <s v="Russell Reynolds Associates" u="1"/>
        <s v="RWE Clean Energy LLC" u="1"/>
        <s v="San Francisco Art Institute" u="1"/>
        <s v="Clyde &amp; Co" u="1"/>
        <s v="Sequoia Capital Partners Inc" u="1"/>
        <s v="Scifi Foods" u="1"/>
        <s v="Searchlight AI" u="1"/>
        <s v="Seattle Genetics, Inc." u="1"/>
        <s v="Studio Blitz" u="1"/>
        <s v="SEC" u="1"/>
        <s v="Sender Inc" u="1"/>
        <s v="JUST (formerly Hampton Creek)" u="1"/>
        <s v="Convene" u="1"/>
        <s v="Lindquist, von Husen &amp; Joyce LLP" u="1"/>
        <s v="Modern Health" u="1"/>
        <s v="Skillz" u="1"/>
        <s v="People AI" u="1"/>
        <s v="Wish.com" u="1"/>
        <s v="San Francisco Employees Retirement System" u="1"/>
        <s v="Shook Hardy &amp; Bacon LLP" u="1"/>
        <s v="Shutterfly, Inc." u="1"/>
        <s v="Sierra AI" u="1"/>
        <s v="SiFive, Inc." u="1"/>
        <s v="Sift" u="1"/>
        <s v="Signal Fire" u="1"/>
        <s v="Silicon Valley Bank" u="1"/>
        <s v="Silicon Valley Association of Realtors" u="1"/>
        <s v="Simpplr Inc" u="1"/>
        <s v="Singlestore" u="1"/>
        <s v="Sixth Street Partners" u="1"/>
        <s v="Skydio Inc" u="1"/>
        <s v="Allied global Marketing" u="1"/>
        <s v="Smith Point Capital" u="1"/>
        <s v="Sonder" u="1"/>
        <s v="Sonoma County Library" u="1"/>
        <s v="Sony Playstation" u="1"/>
        <s v="Amgen" u="1"/>
        <s v="Spark Capital" u="1"/>
        <s v="One Workplace" u="1"/>
        <s v="Spoton, Inc." u="1"/>
        <s v="Springboard" u="1"/>
        <s v="Square" u="1"/>
        <s v="Stitch Fix Inc" u="1"/>
        <s v="Madison Marquette Inc" u="1"/>
        <s v="Streamlit Inc" u="1"/>
        <s v="Stryker" u="1"/>
        <s v="Sumo Logic Inc" u="1"/>
        <s v="Supercell" u="1"/>
        <s v="Taipei Economic and Cultural Office" u="1"/>
        <s v="Talkdesk" u="1"/>
        <s v="Taulia Inc" u="1"/>
        <s v="TCG Capital Management" u="1"/>
        <s v="TECO" u="1"/>
        <s v="congregation Emanu-el" u="1"/>
        <s v="Textainer Ltd" u="1"/>
        <s v="Baylands Development Company" u="1"/>
        <s v="Theravance, Inc." u="1"/>
        <s v="Tinder" u="1"/>
        <s v="Tonal" u="1"/>
        <s v="TPG" u="1"/>
        <s v="Globe Living" u="1"/>
        <s v="Teachers Retirement System of Texas" u="1"/>
        <s v="T.Y. Lin International Group" u="1"/>
        <s v="Ujet" u="1"/>
        <s v="Upgrade" u="1"/>
        <s v="Uplift" u="1"/>
        <s v="Upwork Inc." u="1"/>
        <s v="US Geological Survey" u="1"/>
        <s v="Vagaro" u="1"/>
        <s v="Valent U.S.A." u="1"/>
        <s v="Varo Money" u="1"/>
        <s v="Extend" u="1"/>
        <s v="VDX TV" u="1"/>
        <s v="Vera Whole Health Inc" u="1"/>
        <s v="Vero" u="1"/>
        <s v="Vida Health Inc" u="1"/>
        <s v="Virta Health Corp" u="1"/>
        <s v="Vitalant" u="1"/>
        <s v="Volta Industries Inc" u="1"/>
        <s v="Rockwood Capital, LLC" u="1"/>
        <s v="Warner Bros. Entertainment Inc." u="1"/>
        <s v="Golden State Warriors" u="1"/>
        <s v="Whale Rock Capital Management LLC" u="1"/>
        <s v="Winston &amp; Strawn LLP" u="1"/>
        <s v="Withersworldwide LLP" u="1"/>
        <s v="Withum  Smith And Brown LLC" u="1"/>
        <s v="Woodruff Sawyer &amp; Company" u="1"/>
        <s v="Workato Inc" u="1"/>
        <s v="Worldcoin" u="1"/>
        <s v="XYZ Venture Capital" u="1"/>
        <s v="Y Combinator Inc" u="1"/>
        <s v="Yelp Inc" u="1"/>
        <s v="Yes on SF" u="1"/>
        <s v="Zogenix" u="1"/>
        <s v="Zoox, Inc." u="1"/>
        <s v="Z Scaler" u="1"/>
        <s v="Zumper Inc" u="1"/>
        <s v="Ford Family Law" u="1"/>
        <s v="Lighthouse for the Blind" u="1"/>
        <s v="Cushman &amp; Wakefield Sacramento" u="1"/>
        <s v="McMorgan &amp; Company" u="1"/>
        <s v="Integrated Builders Group, Inc." u="1"/>
        <s v="NewPoint Law Group" u="1"/>
        <s v="PacWest Office Equities" u="1"/>
        <s v="Delta Dental- Sacramento" u="1"/>
        <s v="County Behavioral Health Directors Assn." u="1"/>
        <s v="CBRE- Oakland" u="1"/>
        <s v="Campbell Taylor Washburn" u="1"/>
        <s v="ProEquity Asset Management Corporation" u="1"/>
        <s v="Shorestein Realty Services" u="1"/>
        <s v="CalCPA" u="1"/>
        <s v="Click Bond Inc" u="1"/>
        <s v="Downey Brand LLP" u="1"/>
        <s v="Otto Construction" u="1"/>
        <s v="HT Family Physicians" u="1"/>
        <s v="Muir Orthopaedic Specialists" u="1"/>
        <s v="Wolfe and Wyman LLP" u="1"/>
        <s v="River Cats" u="1"/>
        <s v="California Earthquake Authority" u="1"/>
        <s v="Biomerieux, Inc" u="1"/>
        <s v="Villara Corporation" u="1"/>
        <s v="Sacramento County Sheriff Department Communications Bureau" u="1"/>
        <s v="Sutter Health Amador Hospital" u="1"/>
        <s v="Sierra Community college" u="1"/>
        <s v="Brown Construction" u="1"/>
        <s v="Clearlake Advisory" u="1"/>
        <s v="Fremont Management Group" u="1"/>
        <s v="Ethan Conrad Properties Inc" u="1"/>
        <s v="California Advocates, Inc." u="1"/>
        <s v="Litigation Services" u="1"/>
        <s v="MD Partners" u="1"/>
        <s v="rancho cordova parks and recreation" u="1"/>
        <s v="Sutter Health and Aetna Administrative Services LLC" u="1"/>
        <s v="CommuniCare Health Centers" u="1"/>
        <s v="Tech Space" u="1"/>
        <s v="Dannis Woliver Kelley" u="1"/>
        <s v="Cal Advocates" u="1"/>
        <s v="MD Builders" u="1"/>
        <s v="Seneca Healthcare District" u="1"/>
        <s v="Gracepoint 7th Day Adventist Church" u="1"/>
        <s v="Visions in Education" u="1"/>
        <s v="Redwoods Rural Health Center" u="1"/>
        <s v="Northern California Pet Imaging Center" u="1"/>
        <s v="Capital Rivers Commercial" u="1"/>
        <s v="TOSHIBA CORPORATION" u="1"/>
        <s v="Internaional coliseum Company" u="1"/>
        <s v="Sammuel Merritt University" u="1"/>
        <s v="cardiovascular institute of San Diego" u="1"/>
        <s v="Beautiful Minds Medical" u="1"/>
        <s v="Parkshore Wealth Management" u="1"/>
        <s v="The Sutter Club" u="1"/>
        <s v="Niello Acura" u="1"/>
        <s v="Kipp Public Schools" u="1"/>
        <s v="Coldwell Banker" u="1"/>
        <s v="Louis Vuitton" u="1"/>
        <s v="Chamberlain university" u="1"/>
        <s v="See's Candies Inc" u="1"/>
        <s v="Sierra Pacific Mortgage Company Inc" u="1"/>
        <s v="ACCO Engineered Systems" u="1"/>
        <s v="FSB Core Strategic Group" u="1"/>
        <s v="Lewellen, Strebe, Hopper Law Group" u="1"/>
        <s v="KAL Architects, Inc." u="1"/>
        <s v="Dmg North Inc" u="1"/>
        <s v="Pro Unlimited Inc" u="1"/>
        <s v="The Cold Plunge" u="1"/>
        <s v="associated resource center" u="1"/>
        <s v="RS Company" u="1"/>
        <s v="Niello VW" u="1"/>
        <s v="Merced County Mosquito Abatement District" u="1"/>
        <s v="Wellspace health" u="1"/>
        <s v="NuStar Energy L.P." u="1"/>
        <s v="The American Bottling Company" u="1"/>
        <s v="Klein Educational Systems, Inc." u="1"/>
        <s v="Niello Porsche Sacramento" u="1"/>
        <s v="Fortune School of Education" u="1"/>
        <s v="Modoc skilled Nursing Facility" u="1"/>
        <s v="North Fork Rancheria Of Mono Indians CA" u="1"/>
        <s v="California Mobility Center" u="1"/>
        <s v="Wexford Science &amp; Technology LLC" u="1"/>
        <s v="CVF Capital Partners Inc" u="1"/>
        <s v="cretelligent" u="1"/>
        <s v="Contra Costa Mosquito &amp; Vector Control District" u="1"/>
        <s v="Backflow Prevention Specialists" u="1"/>
        <s v="Partner Engineering and Science" u="1"/>
        <s v="Association of California School Administrators" u="1"/>
        <s v="Bayer Crop Services" u="1"/>
        <s v="Rose Law" u="1"/>
        <s v="US Department of Commerce" u="1"/>
        <s v="Association of California Water Agencies" u="1"/>
        <s v="Elkhorn Village Elementary School" u="1"/>
        <s v="Westfield Village Elementary" u="1"/>
        <s v="Ursa Ventures / Sacramento Republic FC" u="1"/>
        <s v="Harman Automotive" u="1"/>
        <s v="Riva Designs Inc." u="1"/>
        <s v="Washington School District" u="1"/>
        <s v="Ford woodland" u="1"/>
        <s v="Capcom USA Inc" u="1"/>
        <s v="Ariat International Inc" u="1"/>
        <s v="Bailard" u="1"/>
        <s v="The Mutual" u="1"/>
        <s v="Pantera Capital" u="1"/>
        <s v="Lincoln Property Company- San Francisco" u="1"/>
        <s v="Mitel" u="1"/>
        <s v="Grosvenor Americas Ltd" u="1"/>
        <s v="Compass" u="1"/>
        <s v="DPR Construction Inc" u="1"/>
        <s v="Altadena Library District" u="1"/>
        <s v="San Francisco Bay Ferry - Water Emergency Transportation Authority" u="1"/>
        <s v="Magnum Drywall Inc." u="1"/>
        <s v="Sequoia Benefits and Insurance" u="1"/>
        <s v="Cobot" u="1"/>
        <s v="Commonwealth Credit Union" u="1"/>
        <s v="Napa Valley Transportation Authority" u="1"/>
        <s v="Triple Crown Consulting, LLC" u="1"/>
        <s v="CAW Architects" u="1"/>
        <s v="Leddy Maytum Stacy Architects" u="1"/>
        <s v="City of Livermore" u="1"/>
        <s v="Calistoga Joint Unified School District" u="1"/>
        <s v="Plumbtree Plumbing" u="1"/>
        <s v="Studio Three Design" u="1"/>
        <s v="NGP Capital" u="1"/>
        <s v="Community Services Agency" u="1"/>
        <s v="Open Philanthropy" u="1"/>
        <s v="Snohomish County" u="1"/>
        <s v="Monterey Peninsula Airport District" u="1"/>
        <s v="American Civil Constructors" u="1"/>
        <s v="San Jose Unified School District" u="1"/>
        <s v="Skyline College" u="1"/>
        <s v="Best Best and Krieger LLP" u="1"/>
        <s v="Ascendion" u="1"/>
        <s v="Marjang Architecture" u="1"/>
        <s v="Payactiv" u="1"/>
        <s v="Mill Construction Company" u="1"/>
        <s v="Water and Power Law Group PC" u="1"/>
        <s v="Diocese of San Jose" u="1"/>
        <s v="ADR Services Inc" u="1"/>
        <s v="Silicon Valley Shelving" u="1"/>
        <s v="Peninsula Covenant Church" u="1"/>
        <s v="Nadel" u="1"/>
        <s v="Global Concepts" u="1"/>
        <s v="Pacific Rim International School" u="1"/>
        <s v="TDA, Inc" u="1"/>
        <s v="Silicon Valley International School" u="1"/>
        <s v="San Mateo Union High School District" u="1"/>
        <s v="Desk Depot" u="1"/>
        <s v="Techcon Landscape Construction" u="1"/>
        <s v="Steinway, Inc." u="1"/>
        <s v="Valley Medical Center" u="1"/>
        <s v="Grizzly Equipment Rentals, LLC" u="1"/>
        <s v="Teddy Kim (Residential)" u="1"/>
        <s v="Milliman" u="1"/>
        <s v="Bingham Private Wealth" u="1"/>
        <s v="West Valley ? Mission Community College District" u="1"/>
        <s v="The California Endowment" u="1"/>
        <s v="Intuit-OR 205" u="1"/>
        <m u="1"/>
        <s v="Paul Bunton" u="1"/>
        <s v="Gibson Dunn &amp; Crutcher LLP" u="1"/>
        <s v="Menlo Equities" u="1"/>
        <s v="Viant (Meraqi Medical)" u="1"/>
        <s v="Tda Inc" u="1"/>
        <s v="Swinerton Builders- San Francisco" u="1"/>
        <s v="Levi‚Äôs Strauss &amp; Co" u="1"/>
        <s v="California Northstate University Medical Center" u="1"/>
        <s v="AAA Northern California Utah &amp; Nevada" u="1"/>
        <s v="Covered California" u="1"/>
        <s v="Spencer Fane" u="1"/>
        <s v="Mc Guinn Hillsman &amp; Palefsky (MHP)" u="1"/>
        <s v="Carta" u="1"/>
        <s v="Vision in Education" u="1"/>
        <s v="Rorze Automation Inc" u="1"/>
        <s v="Grizzly Equipment Rental" u="1"/>
        <s v="Sage Therapeutics, Inc." u="1"/>
        <s v="BioMed Realty Trust Inc" u="1"/>
        <s v="Orion Medicines" u="1"/>
        <s v="Welbe Health" u="1"/>
        <s v="Wilson Sonsini Goodrich &amp; Rosati- San Jose" u="1"/>
        <s v="Stanford School of Medicine- Page Mill Road" u="1"/>
        <s v="Core Interiors" u="1"/>
        <s v="Rudolph And Sletten Inc" u="1"/>
        <s v="Quantum Scape" u="1"/>
        <s v="Union City Water District" u="1"/>
        <s v="Stanford School of Medicine- Porter Drive" u="1"/>
        <s v="Shearman &amp; Sterling LLP" u="1"/>
        <s v="Intuit- Mountain View" u="1"/>
        <s v="Strada Development Group" u="1"/>
        <s v="Legend Construction" u="1"/>
        <s v="ST Microelectronics" u="1"/>
      </sharedItems>
    </cacheField>
    <cacheField name="Company ID" numFmtId="0">
      <sharedItems containsSemiMixedTypes="0" containsString="0" containsNumber="1" containsInteger="1" minValue="481816139" maxValue="548680394"/>
    </cacheField>
    <cacheField name="Estimated Close Date" numFmtId="14">
      <sharedItems containsSemiMixedTypes="0" containsNonDate="0" containsDate="1" containsString="0" minDate="2025-08-19T00:00:00" maxDate="2025-09-01T00:00:00"/>
    </cacheField>
    <cacheField name="Expected Install Date" numFmtId="14">
      <sharedItems containsSemiMixedTypes="0" containsNonDate="0" containsDate="1" containsString="0" minDate="2025-04-30T00:00:00" maxDate="2026-05-01T00:00:00"/>
    </cacheField>
    <cacheField name="Added On" numFmtId="14">
      <sharedItems containsSemiMixedTypes="0" containsNonDate="0" containsDate="1" containsString="0" minDate="2023-06-05T00:00:00" maxDate="2025-08-01T00:00:00"/>
    </cacheField>
    <cacheField name="Value" numFmtId="44">
      <sharedItems containsSemiMixedTypes="0" containsString="0" containsNumber="1" containsInteger="1" minValue="1200" maxValue="3000000"/>
    </cacheField>
    <cacheField name="Currency" numFmtId="0">
      <sharedItems/>
    </cacheField>
    <cacheField name="Win Likelihood" numFmtId="0">
      <sharedItems containsSemiMixedTypes="0" containsString="0" containsNumber="1" containsInteger="1" minValue="70" maxValue="100"/>
    </cacheField>
    <cacheField name="Last Activity Date" numFmtId="14">
      <sharedItems containsNonDate="0" containsDate="1" containsString="0" containsBlank="1" minDate="2024-04-05T00:49:52" maxDate="2025-07-30T21:41:42"/>
    </cacheField>
    <cacheField name="Activity" numFmtId="0">
      <sharedItems containsBlank="1"/>
    </cacheField>
    <cacheField name="Account Manager" numFmtId="0">
      <sharedItems containsBlank="1"/>
    </cacheField>
  </cacheFields>
  <extLst>
    <ext xmlns:x14="http://schemas.microsoft.com/office/spreadsheetml/2009/9/main" uri="{725AE2AE-9491-48be-B2B4-4EB974FC3084}">
      <x14:pivotCacheDefinition pivotCacheId="119340484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p" refreshedDate="45902.346851041664" createdVersion="8" refreshedVersion="8" minRefreshableVersion="3" recordCount="1002" xr:uid="{E3844F0F-0697-4E46-B515-94CED4AFFAE6}">
  <cacheSource type="worksheet">
    <worksheetSource name="Table2"/>
  </cacheSource>
  <cacheFields count="15">
    <cacheField name="Order #" numFmtId="0">
      <sharedItems/>
    </cacheField>
    <cacheField name="Customer Order Date" numFmtId="165">
      <sharedItems containsSemiMixedTypes="0" containsNonDate="0" containsDate="1" containsString="0" minDate="2025-08-01T00:00:00" maxDate="2025-08-31T00:00:00"/>
    </cacheField>
    <cacheField name="Customer" numFmtId="0">
      <sharedItems containsBlank="1" count="536">
        <s v="201 Spear Property, LLC"/>
        <s v="345 California L.P."/>
        <s v="AAA Northern California, Utah &amp; Nevada"/>
        <s v="Accel Management Co"/>
        <s v="Alta California Regional Center"/>
        <s v="Altos Labs, Inc."/>
        <s v="AME Cloud Services, LLC"/>
        <s v="Apercen Partners"/>
        <s v="Arcadia Development Company"/>
        <s v="Arcellx"/>
        <s v="Arcline Investment Management"/>
        <s v="Ascendis Pharma Inc."/>
        <s v="Astera Institute"/>
        <s v="AVA Total Solutions LLC"/>
        <s v="Aveva"/>
        <s v="Bay Area Air Quality Management District"/>
        <s v="Bay Area Headquarters Authority"/>
        <s v="Be Workplace Design"/>
        <s v="Berkeley Research Group, LLC"/>
        <s v="Best, Best &amp; Krieger LLP"/>
        <s v="Boston Properties Limited Partnership"/>
        <s v="BridgeBio Pharma, Inc"/>
        <s v="Business Interiors Inc"/>
        <s v="California Association of Hospital and Health Systems"/>
        <s v="California Pacific Orthopaedic"/>
        <s v="California State University, Sacramento"/>
        <s v="California State University, Stanislaus"/>
        <s v="Calpers"/>
        <s v="Canum Wealth Partners"/>
        <s v="CAW Architects"/>
        <s v="CBRE- San Francisco"/>
        <s v="Cement Masons Apprenticeship &amp; Training Trust Fund For Northern CA"/>
        <s v="Chan Zuckerberg Initiative"/>
        <s v="Chapa-De Indian Health"/>
        <s v="Charities Housing"/>
        <s v="Charles Schwab"/>
        <s v="Circle Pharma, Inc"/>
        <s v="City of Moreno Valley"/>
        <s v="City of San Jose"/>
        <s v="Cooley LLP- Palo Alto"/>
        <s v="Core Business Interiors"/>
        <s v="County of Alameda General Services"/>
        <s v="County of Alameda Public Works Agency"/>
        <s v="County of Sacramento"/>
        <s v="County of Santa Clara"/>
        <s v="County of Santa Cruz"/>
        <s v="Cytokinetics"/>
        <s v="Davis Polk &amp; Wardwell LLP"/>
        <s v="Debner, Inc"/>
        <s v="Delfino Madden O'Malley Coyle Koewler LLP"/>
        <s v="Department of Veteran Affairs"/>
        <s v="Digital Realty Trust"/>
        <s v="Dodge and Cox"/>
        <s v="E&amp;J Gallo Winery"/>
        <s v="East Side Union High School District"/>
        <s v="Eastdil Secured"/>
        <s v="Ebay Inc."/>
        <s v="El Camino 4410, LLC"/>
        <s v="Farallon Capital Management, LLC"/>
        <s v="Fenwick &amp; West LLP"/>
        <s v="Ferguson Enterprises"/>
        <s v="First Northern Bank"/>
        <s v="Formation Environmental"/>
        <s v="Freestone Grove Partners, LP"/>
        <s v="Gavilan Joint Community College District"/>
        <s v="GCI General Contractors (GC)"/>
        <s v="Gensler"/>
        <s v="Geremia &amp; Cullen"/>
        <s v="Gilbane Building Company (GC)"/>
        <s v="Global Relay USA Inc."/>
        <s v="Google- Retail"/>
        <s v="Google, LLC"/>
        <s v="Grammarly"/>
        <s v="Greater Sacramento Urban League"/>
        <s v="Gryphon Investors"/>
        <s v="Guidewire Software, Inc."/>
        <s v="Gunderson Dettmer, LLP (Silicon Valley)"/>
        <s v="Heffernan Insurance Brokers"/>
        <s v="Hinge Bio Inc."/>
        <s v="Hitachi Energy"/>
        <s v="Hitachi Vantara LLC."/>
        <s v="Hoge Fenton"/>
        <s v="Intuit E-Commerce Orders"/>
        <s v="Intuit-OR 205"/>
        <s v="Jazz Pharmaceuticals"/>
        <s v="JLL Google"/>
        <s v="Jones Lang Lasalle Americas, Inc."/>
        <s v="Jordan Park Group LLC"/>
        <s v="JPPF 115 Battery, L.P."/>
        <s v="Judicial Council of California"/>
        <s v="KBM-Hogue"/>
        <s v="KBS III Ten Almaden, LLC"/>
        <s v="Kirkland &amp; Ellis"/>
        <s v="Land IQ"/>
        <s v="Legislative Analyst’s Office"/>
        <s v="Levi Strauss &amp; Co"/>
        <s v="Littler Mendelson, P.C."/>
        <s v="Longfellow Real Estate Partners LLC"/>
        <s v="Lucid Motors"/>
        <s v="Mainsail Management Company, LLC"/>
        <s v="Manatt Phelps &amp; Phillips, LLP"/>
        <s v="Maria Laurel"/>
        <s v="Marin County Free Library"/>
        <s v="Matt Denning"/>
        <s v="Matter Venture Partners"/>
        <s v="McLarney Construction Inc. (GC)"/>
        <s v="MG West Company"/>
        <s v="Mintz, Rifkind, Wharton &amp; Garrison LLP"/>
        <s v="MongoDB Inc"/>
        <s v="NetApp"/>
        <s v="Newmark Knight Frank"/>
        <s v="Novo Construction (GC)"/>
        <s v="Office of Legislative Counsel"/>
        <s v="Office Solutions"/>
        <s v="Orrick, Herrington &amp; Sutcliffe LLP"/>
        <s v="Ouro Medicines Inc."/>
        <s v="Owen Cunningham"/>
        <s v="Palmetto Solar, LLC"/>
        <s v="Patient Square Capital"/>
        <s v="Paul Razo"/>
        <s v="Peregrine Technologies, Inc."/>
        <s v="PFM Health Sciences"/>
        <s v="Placer County"/>
        <s v="Plumas District Hospital"/>
        <s v="Plume Design Inc"/>
        <s v="Quanata"/>
        <s v="Quantumscape Battery Inc."/>
        <s v="Raxium, Inc"/>
        <s v="Retinal Consultants Medical Group"/>
        <s v="Robinhood Markets, Inc."/>
        <s v="Rural County Representatives of California"/>
        <s v="Sacramento Area Council of Governments"/>
        <s v="SamTrans"/>
        <s v="Samuel Merritt University"/>
        <s v="San Jose State University"/>
        <s v="San Jose/Evergreen Community College District"/>
        <s v="Sandhill Properties"/>
        <s v="Santa Clara County Library District"/>
        <s v="Santa Clara Valley Water District"/>
        <s v="SBM Management"/>
        <s v="Scale AI"/>
        <s v="Sebastopol Union School District"/>
        <s v="Sequoia Capital Operations, LLC"/>
        <s v="Service West"/>
        <s v="Shorenstein"/>
        <s v="Sidley Austin LLP"/>
        <s v="Silicon Valley Mechanical, Inc"/>
        <s v="Simpson Thacher &amp; Bartlett LLP"/>
        <s v="SingleSource, Inc."/>
        <s v="SkyKnight Capital, L.P."/>
        <s v="Stanford Institute of Economic Policy and Research"/>
        <s v="Stanford Law School"/>
        <s v="Stanford School of Humanities and Sciences"/>
        <s v="Stanford School of Medicine"/>
        <s v="Stanford University"/>
        <s v="Stanislaus County Sheriff’s Office"/>
        <s v="State of California"/>
        <s v="Studio G Architects, Inc"/>
        <s v="Studio W Associates, Inc."/>
        <s v="SuperMicro"/>
        <s v="Takara Bio"/>
        <s v="Tencent America LLC"/>
        <s v="Tri Pointe Homes Holdings, Inc"/>
        <s v="Trousdale Ventures LCC"/>
        <s v="US Bureau of Reclamation"/>
        <s v="Vertex Companies, LLC"/>
        <s v="Vulcraft-Verco Group (GC)"/>
        <s v="WelbeHealth, LLC"/>
        <s v="West Valley-Mission Community College District"/>
        <s v="Western Office LA, Inc"/>
        <s v="Wexford Science and Technology"/>
        <s v="WHA Architects"/>
        <s v="Wilke Fleury LLP"/>
        <s v="Wilson Sonsini Goodrich &amp; Rosati"/>
        <s v="WiZiX Technology Group, Inc"/>
        <s v="WRG LLC"/>
        <s v="Xaira Therapeutics, Inc."/>
        <s v="YouTube, LLC"/>
        <s v="Yuba County"/>
        <s v="Zendesk Inc."/>
        <s v="Zlot Buell + Associates"/>
        <m u="1"/>
        <s v="Aedis Architecture" u="1"/>
        <s v="Didi Labs" u="1"/>
        <s v="Anthony Pantaleoni" u="1"/>
        <s v="Udemy" u="1"/>
        <s v="Boston Properties" u="1"/>
        <s v="Hines West LLC" u="1"/>
        <s v="NVP Associates" u="1"/>
        <s v="Jones Lang Lasalle JLL" u="1"/>
        <s v="Limo Technologies, Inc." u="1"/>
        <s v="Revolution Medicines, Inc" u="1"/>
        <s v="Alex Ethier" u="1"/>
        <s v="Sean Smith" u="1"/>
        <s v="Metro Contract Group" u="1"/>
        <s v="Jeff Everingham" u="1"/>
        <s v="Greenoaks Capital Partners LLC" u="1"/>
        <s v="Medley Partners Management LLC" u="1"/>
        <s v="University of California, Berkeley" u="1"/>
        <s v="KQED, Inc" u="1"/>
        <s v="Creative Office Resources" u="1"/>
        <s v="Milliman" u="1"/>
        <s v="Allergan Sales LLC" u="1"/>
        <s v="East Bay Municipal Utility District" u="1"/>
        <s v="Strattam Capital" u="1"/>
        <s v="CM Capital Corporation" u="1"/>
        <s v="Reuben, Junius &amp; Rose LLP" u="1"/>
        <s v="SMA America" u="1"/>
        <s v="Flint (GC)" u="1"/>
        <s v="ABC10" u="1"/>
        <s v="U.S. Immigration and Customs Enforcement" u="1"/>
        <s v="Laborers Funds Administrative Office of Northern California" u="1"/>
        <s v="Orca Bio" u="1"/>
        <s v="City of Vacaville" u="1"/>
        <s v="Brendan Koon" u="1"/>
        <s v="Adventist" u="1"/>
        <s v="Sutter Amador" u="1"/>
        <s v="Nuseed" u="1"/>
        <s v="Visions in Education" u="1"/>
        <s v="California Earthquake Authority" u="1"/>
        <s v="Peak Design" u="1"/>
        <s v="Crunchyroll LLC" u="1"/>
        <s v="Smith Point Capital Management, LLC" u="1"/>
        <s v="Meritech Capital" u="1"/>
        <s v="Norton Rose Fullbright US LLP" u="1"/>
        <s v="Nextracker, Inc." u="1"/>
        <s v="Cisco Systems, Inc" u="1"/>
        <s v="Hitt Contracting Inc." u="1"/>
        <s v="Calyxo" u="1"/>
        <s v="San Jose Sharks" u="1"/>
        <s v="Intuit- CA" u="1"/>
        <s v="TDK Ventures" u="1"/>
        <s v="Francisco Partners Management" u="1"/>
        <s v="Jenner &amp; Block LLP" u="1"/>
        <s v="Paradise Unified School District" u="1"/>
        <s v="City of Berkeley" u="1"/>
        <s v="Stanford University Land, Buildings and Real Estat" u="1"/>
        <s v="Stanford Libraries" u="1"/>
        <s v="Federal Deposit Insurance Corporation FDIC" u="1"/>
        <s v="Santa Clara County Library System" u="1"/>
        <s v="University of California, Santa Cruz" u="1"/>
        <s v="Jayson Architecture" u="1"/>
        <s v="Macquarie AirFinance" u="1"/>
        <s v="Miltenyi Biotec" u="1"/>
        <s v="Nevro" u="1"/>
        <s v="Western Digital" u="1"/>
        <s v="Qatalyst Partners LP" u="1"/>
        <s v="SKG Texas" u="1"/>
        <s v="CCI Construction (GC)" u="1"/>
        <s v="Union Investment Real Estate GmbH" u="1"/>
        <s v="Jones Lang Lasalle" u="1"/>
        <s v="Garcia Wealth Management" u="1"/>
        <s v="Inside Source" u="1"/>
        <s v="Conrad Edosada" u="1"/>
        <s v="Rudolph and Sletten (GC)" u="1"/>
        <s v="GoFundMe" u="1"/>
        <s v="E-Commerce Orders" u="1"/>
        <s v="Drechsel Business Interiors" u="1"/>
        <s v="HGA Architects" u="1"/>
        <s v="Gibson Dunn &amp; Crutcher" u="1"/>
        <s v="HGGC" u="1"/>
        <s v="Westamerica Bank" u="1"/>
        <s v="Sutter County Courthouse" u="1"/>
        <s v="Kitchell CEM (GC)" u="1"/>
        <s v="United Indian Health Services, Inc" u="1"/>
        <s v="California Society of CPAs" u="1"/>
        <s v="Performance Contracting Inc" u="1"/>
        <s v="Caesar Ho" u="1"/>
        <s v="Kensington Fire Protection District" u="1"/>
        <s v="The Presidio Trust" u="1"/>
        <s v="Cytek Biosciences" u="1"/>
        <s v="Sequoia One PEO LLC" u="1"/>
        <s v="Swinerton Builders (GC)" u="1"/>
        <s v="Willkie Farr &amp; Gallagher LLP" u="1"/>
        <s v="Clearlake Family Office, Inc" u="1"/>
        <s v="Meta Platforms Technologies, LLC" u="1"/>
        <s v="Hensel Phelps (GC)" u="1"/>
        <s v="Boutin Jones, Inc." u="1"/>
        <s v="Knoll, Inc." u="1"/>
        <s v="Helene Rouse" u="1"/>
        <s v="Placer County Water Agency" u="1"/>
        <s v="Third District Court of Appeal" u="1"/>
        <s v="Pillsbury Winthrop Shaw Pittman LLP" u="1"/>
        <s v="City of San Bruno" u="1"/>
        <s v="Navan" u="1"/>
        <s v="McGrath Properties" u="1"/>
        <s v="Jon Lang" u="1"/>
        <s v="William Blair and Company" u="1"/>
        <s v="Legend Construction &amp; Painting Inc. (GC)" u="1"/>
        <s v="County of Santa Cruz Sheriff-Coroner" u="1"/>
        <s v="Dostart" u="1"/>
        <s v="MBI Systems Inc" u="1"/>
        <s v="DataSpan Holdings, Inc" u="1"/>
        <s v="Framework Labs" u="1"/>
        <s v="Liberty Bank NA" u="1"/>
        <s v="Andersen Tax LLC" u="1"/>
        <s v="Sage Therapeutics" u="1"/>
        <s v="Airtable" u="1"/>
        <s v="Lane Partners" u="1"/>
        <s v="Versant Venture Management" u="1"/>
        <s v="Kilroy Realty Corporation" u="1"/>
        <s v="Toyota Town" u="1"/>
        <s v="Harvest Properties, Inc. (GC)" u="1"/>
        <s v="Allied 2904 Corvin L.P. (GC)" u="1"/>
        <s v="Tesla" u="1"/>
        <s v="Phase 3 Real Estate Partners" u="1"/>
        <s v="McGuinn Hillsman and Palefsky" u="1"/>
        <s v="Levi’s Strauss &amp; Co" u="1"/>
        <s v="Roebbelen Contracting, Inc. (GC)" u="1"/>
        <s v="Marin Resource and Recovery" u="1"/>
        <s v="Frazier Life Sciences" u="1"/>
        <s v="Material Security Inc." u="1"/>
        <s v="UC Davis Medical Center" u="1"/>
        <s v="Orion Medicines, Inc." u="1"/>
        <s v="Greylock Management Corporation" u="1"/>
        <s v="Kitchell CEM" u="1"/>
        <s v="Haynes Boone" u="1"/>
        <s v="Lambda Labs" u="1"/>
        <s v="The Castine Group" u="1"/>
        <s v="The Collective" u="1"/>
        <s v="Sutter County Public Health" u="1"/>
        <s v="Folger Levin" u="1"/>
        <s v="Rimini Street, Inc." u="1"/>
        <s v="Stanford School of Engineering" u="1"/>
        <s v="Miller, Morton, Caillat and Nevis" u="1"/>
        <s v="James Sheppard" u="1"/>
        <s v="Sue Ann Schiff" u="1"/>
        <s v="Provident Credit Union" u="1"/>
        <s v="Spencer Fane LLP" u="1"/>
        <s v="Napa Valley Transportation Authority" u="1"/>
        <s v="PAOC LLC" u="1"/>
        <s v="Compass" u="1"/>
        <s v="STMicroelectronics" u="1"/>
        <s v="Nobell Foods" u="1"/>
        <s v="San Francisco State University" u="1"/>
        <s v="Wynne Law Firm" u="1"/>
        <s v="Sophia Risin" u="1"/>
        <s v="Valley Christian Schools" u="1"/>
        <s v="McEnery Convention Center" u="1"/>
        <s v="Muir Orthpedics Specialists" u="1"/>
        <s v="DSR Health Law" u="1"/>
        <s v="Downey Brand LLP" u="1"/>
        <s v="United States Department of Defense" u="1"/>
        <s v="UA Local 38 (GC)" u="1"/>
        <s v="Godfrey Dadich Partners" u="1"/>
        <s v="Coinbase" u="1"/>
        <s v="Commercial Interiors West" u="1"/>
        <s v="BioMed Realty" u="1"/>
        <s v="Stanford University DPM – Traitel Building Project" u="1"/>
        <s v="General Produce Company" u="1"/>
        <s v="Uncork Capital Management LLC" u="1"/>
        <s v="Survey Monkey" u="1"/>
        <s v="Accenture" u="1"/>
        <s v="Truebeck Construction (GC)" u="1"/>
        <s v="Blatteis and Schnur" u="1"/>
        <s v="Corporate Environments of Georgia, Inc." u="1"/>
        <s v="Prime Administration, LLC" u="1"/>
        <s v="California State University, East Bay" u="1"/>
        <s v="AdVal Properties" u="1"/>
        <s v="Phantom AI" u="1"/>
        <s v="Kimi Katsuyoshi" u="1"/>
        <s v="Hercules Capital" u="1"/>
        <s v="Modesto A-1 Glass Company, Inc (GC)" u="1"/>
        <s v="Monterey Peninsula Airport District" u="1"/>
        <s v="Young, Minney &amp; Corr, LLP" u="1"/>
        <s v="Luminary Cloud" u="1"/>
        <s v="Frank Rimerman+Co., LLP" u="1"/>
        <s v="Butte-Glenn Community College District" u="1"/>
        <s v="Union Sanitary District" u="1"/>
        <s v="Stanford IT Services" u="1"/>
        <s v="Westervelt Ecological Services" u="1"/>
        <s v="HG Capital" u="1"/>
        <s v="Hathaway Dinwiddie Construction Company (GC)" u="1"/>
        <s v="AKT Investments, Inc" u="1"/>
        <s v="Pertria" u="1"/>
        <s v="Dauphin" u="1"/>
        <s v="Credit Karma, LLC" u="1"/>
        <s v="Madison Marquette Real Estate Services, Inc" u="1"/>
        <s v="The Moore Foundation" u="1"/>
        <s v="Stanford Graduate School of Business" u="1"/>
        <s v="Yolo County" u="1"/>
        <s v="Alexandria Real Estate" u="1"/>
        <s v="The California Endowment" u="1"/>
        <s v="Office Scapes of Denver LLC dba Slate" u="1"/>
        <s v="Marguerite Buttrick" u="1"/>
        <s v="Baker Botts LLP" u="1"/>
        <s v="McMorgan &amp; Company" u="1"/>
        <s v="Cordova Recreation &amp; Park District" u="1"/>
        <s v="Resources Legacy Fund" u="1"/>
        <s v="Pappas Investments" u="1"/>
        <s v="Folsom Ranch VH Inc." u="1"/>
        <s v="Peninsula Open Space Trust" u="1"/>
        <s v="Barry Mayer" u="1"/>
        <s v="DDRS" u="1"/>
        <s v="Capitol Strategic Advisors" u="1"/>
        <s v="HT Family Physicians" u="1"/>
        <s v="Composite Technology Intern" u="1"/>
        <s v="Sepasoft, Inc." u="1"/>
        <s v="Pulse Signal Solutions" u="1"/>
        <s v="TEF Design" u="1"/>
        <s v="Fremont Management Corp." u="1"/>
        <s v="Scott Feher &amp; Associates" u="1"/>
        <s v="Niello Land Rover" u="1"/>
        <s v="MGO Certified Public Accountant" u="1"/>
        <s v="Haley Berger" u="1"/>
        <s v="ID2 Concepts Interior Design Studio" u="1"/>
        <s v="GPA Consulting" u="1"/>
        <s v="Hudson Pacific Properties, LP" u="1"/>
        <s v="Partner Engineering and Science" u="1"/>
        <s v="Washington Holdings" u="1"/>
        <s v="Soleil Labs, LLC" u="1"/>
        <s v="Bloomberg" u="1"/>
        <s v="Western Growers" u="1"/>
        <s v="Bagatelos Architectural Glass Systems, Inc (GC)" u="1"/>
        <s v="DataStax" u="1"/>
        <s v="Fahrney Group" u="1"/>
        <s v="Dignity Health" u="1"/>
        <s v="Rodrigo Lara" u="1"/>
        <s v="Blue Bottle Coffee" u="1"/>
        <s v="Greystar Management Services, LP" u="1"/>
        <s v="Steelwave CDS, Inc." u="1"/>
        <s v="Spruce Health" u="1"/>
        <s v="Jana Welschmeyer" u="1"/>
        <s v="Scharf Investments" u="1"/>
        <s v="Splice" u="1"/>
        <s v="Cloudflare" u="1"/>
        <s v="Ascend" u="1"/>
        <s v="HMI-Oregon Dealership, Inc" u="1"/>
        <s v="Severin Group LLC" u="1"/>
        <s v="The Econic Company" u="1"/>
        <s v="HID Global" u="1"/>
        <s v="CZS Property Management, LLC" u="1"/>
        <s v="Western Interior Services" u="1"/>
        <s v="10X Genomics" u="1"/>
        <s v="Mispro Biotech Services Corp" u="1"/>
        <s v="CBF Electric (GC)" u="1"/>
        <s v="BSA Architecture" u="1"/>
        <s v="Muir Orthopaedic Specialists" u="1"/>
        <s v="United Auburn Indian Community" u="1"/>
        <s v="Dr. Kwok" u="1"/>
        <s v="RS Company (GC)" u="1"/>
        <s v="Nella Invest, LLC" u="1"/>
        <s v="NIC Management LLC" u="1"/>
        <s v="Community College League of California" u="1"/>
        <s v="Western States Petroleum Association" u="1"/>
        <s v="Iconiq Capital, LLC" u="1"/>
        <s v="Gantry" u="1"/>
        <s v="Bell Electrical Supply, Inc" u="1"/>
        <s v="Lennar Homes, LLC" u="1"/>
        <s v="Walkup, Melodia, Kelly &amp; Schoenberger" u="1"/>
        <s v="Lighthouse For The Blind and Visually Impaired" u="1"/>
        <s v="Rain Oncology" u="1"/>
        <s v="Fidelity Asset Management Inc." u="1"/>
        <s v="Sutter Hill Ventures" u="1"/>
        <s v="Krug" u="1"/>
        <s v="RWE Clean Energy Services, LLC" u="1"/>
        <s v="Irvine Company" u="1"/>
        <s v="First Norcal Credit Union" u="1"/>
        <s v="Graphite Bio" u="1"/>
        <s v="Vertex Ventures" u="1"/>
        <s v="Studio Blitz" u="1"/>
        <s v="Embarcadero Realty Services LP" u="1"/>
        <s v="Softbank" u="1"/>
        <s v="Workspace Elements" u="1"/>
        <s v="Intercom, Inc." u="1"/>
        <s v="K&amp;L Gates" u="1"/>
        <s v="VOP Management Company, Inc" u="1"/>
        <s v="Upgrade" u="1"/>
        <s v="Herman Miller" u="1"/>
        <s v="Capital Bridge Partners" u="1"/>
        <s v="Jordan Keffer" u="1"/>
        <s v="David Gensler" u="1"/>
        <s v="Mally Gardiner" u="1"/>
        <s v="Hunton Andrews Kurth LLP" u="1"/>
        <s v="San Andreas Regional Center" u="1"/>
        <s v="County of Santa Cruz- HSA" u="1"/>
        <s v="San Mateo County Libraries" u="1"/>
        <s v="W.E. Lyons Construction Co. (GC)" u="1"/>
        <s v="Santa Clara University" u="1"/>
        <s v="Bryan Cave Leighton Paisner (BCLP)" u="1"/>
        <s v="Weil, Gotshal &amp; Manges LLP" u="1"/>
        <s v="Berkeley Public Library" u="1"/>
        <s v="Chi Yeung Jonathan Chow" u="1"/>
        <s v="Stations" u="1"/>
        <s v="Talis Biomedical" u="1"/>
        <s v="Cambridge Industries USA, Inc." u="1"/>
        <s v="Kriya Therapeutics, Inc" u="1"/>
        <s v="Wispr AI, Inc" u="1"/>
        <s v="Antioch Toyota" u="1"/>
        <s v="KCK Group" u="1"/>
        <s v="Global Logic Inc." u="1"/>
        <s v="MAI Construction (GC)" u="1"/>
        <s v="Vorticity" u="1"/>
        <s v="Pahl &amp; McCay" u="1"/>
        <s v="Decheng Capital" u="1"/>
        <s v="Toyota Sunnyvale" u="1"/>
        <s v="The Sherer Group" u="1"/>
        <s v="UCSF Genentech Hall" u="1"/>
        <s v="QCA Workplace" u="1"/>
        <s v="Stamford Office Furniture" u="1"/>
        <s v="Symphony AI" u="1"/>
        <s v="Cooper Vega-Hatlen" u="1"/>
        <s v="Skyline Construction" u="1"/>
        <s v="Stephanie Kwan" u="1"/>
        <s v="BCCI Construction Company (GC)" u="1"/>
        <s v="Jasper Ridge Partners" u="1"/>
        <s v="Peninsula Health Care District" u="1"/>
        <s v="OSI Software" u="1"/>
        <s v="Flad Architects" u="1"/>
        <s v="Perkins Eastman Architects" u="1"/>
        <s v="Arastredero Reseach Center" u="1"/>
        <s v="SP Jain Global Leasing Inc" u="1"/>
        <s v="Lindsay Gerber Interiors" u="1"/>
        <s v="Summer Hill Homes" u="1"/>
        <s v="Intuit-OR 214" u="1"/>
        <s v="Stanford Anderson Collection" u="1"/>
        <s v="Lucile Salter Packard Children's Hospital" u="1"/>
        <s v="J David Gladstone" u="1"/>
        <s v="Baker &amp; McKenzie" u="1"/>
        <s v="GIC Real Estate, Inc." u="1"/>
        <s v="Solano Transportation Authority" u="1"/>
        <s v="Covered California CA Health Benefit Exchange" u="1"/>
        <s v="West Coast Brands" u="1"/>
        <s v="Sac Ziggurat, LLC" u="1"/>
        <s v="Venables Bell &amp; Partners" u="1"/>
        <s v="Mill Construction Company (GC)" u="1"/>
        <s v="Sequoia Benefits and Insurance, LLC" u="1"/>
        <s v="Stanford Federal Credit Union" u="1"/>
        <s v="Menlo Equities Management Company LLC" u="1"/>
        <s v="EDAP Technomed Inc" u="1"/>
        <s v="Redwood City School District" u="1"/>
        <s v="San Jose Earthquakes" u="1"/>
        <s v="Colliers International" u="1"/>
        <s v="American Civil Constructors (GC)" u="1"/>
        <s v="Rorze Automation" u="1"/>
        <s v="San Mateo County Community College District" u="1"/>
      </sharedItems>
    </cacheField>
    <cacheField name="Salesperson" numFmtId="0">
      <sharedItems containsBlank="1" count="40">
        <s v="Owen Cunningham"/>
        <s v="Mark Dailey"/>
        <s v="Alex Blangeres"/>
        <s v="Chris Cicisly"/>
        <s v="Shayle Wallis"/>
        <s v="Jill Marsh"/>
        <s v="Kate Ingelstrom"/>
        <s v="Anthony Pantaleoni"/>
        <s v="Olivia Gorfain"/>
        <s v="Paul Razo"/>
        <s v="Simon Sheppard"/>
        <s v="Kimi Katsuyoshi"/>
        <s v="Troy Ocariza"/>
        <s v="Rayna Mitchell"/>
        <s v="Nick Christianson"/>
        <s v="Lela Huenergardt"/>
        <s v="Matt Denning"/>
        <s v="Mary Sparacino"/>
        <s v="Torrey Carroll"/>
        <s v="Norma Lopez"/>
        <s v="Jenni Lombardi"/>
        <s v="Matt Fleming"/>
        <s v="Krissa Collins"/>
        <m u="1"/>
        <s v="Z-Stephanie Hawkins" u="1"/>
        <s v="Genesis Rita" u="1"/>
        <s v="Torrey Crell" u="1"/>
        <s v="Nathasha Cherubin" u="1"/>
        <s v="Z-Brett Volway" u="1"/>
        <s v="Z-Denelle Bourgeois" u="1"/>
        <s v="Lindsay Hanief" u="1"/>
        <s v="SELECT THE SALESPERSON" u="1"/>
        <s v="Jesse Michael" u="1"/>
        <s v="Stephanie Hawkins" u="1"/>
        <s v="Farrah Race" u="1"/>
        <s v="Erika Duarte" u="1"/>
        <s v="Z-Brett Volway Owned" u="1"/>
        <s v="Z-Caitlin Conlin" u="1"/>
        <s v="Steph/Owen" u="1"/>
        <s v="Z-Joe Azzolina" u="1"/>
      </sharedItems>
    </cacheField>
    <cacheField name="Company" numFmtId="0">
      <sharedItems/>
    </cacheField>
    <cacheField name="New Sell" numFmtId="4">
      <sharedItems containsSemiMixedTypes="0" containsString="0" containsNumber="1" minValue="-223.44" maxValue="3494718.72"/>
    </cacheField>
    <cacheField name="Adj Sell" numFmtId="4">
      <sharedItems containsSemiMixedTypes="0" containsString="0" containsNumber="1" minValue="-46200" maxValue="43835"/>
    </cacheField>
    <cacheField name="Total Sell" numFmtId="4">
      <sharedItems containsSemiMixedTypes="0" containsString="0" containsNumber="1" minValue="-46200" maxValue="3494718.72"/>
    </cacheField>
    <cacheField name="Total Cost" numFmtId="4">
      <sharedItems containsSemiMixedTypes="0" containsString="0" containsNumber="1" minValue="-20325" maxValue="2821110.1"/>
    </cacheField>
    <cacheField name="GP" numFmtId="4">
      <sharedItems containsSemiMixedTypes="0" containsString="0" containsNumber="1" minValue="-99929.87" maxValue="673608.62"/>
    </cacheField>
    <cacheField name="GP %" numFmtId="166">
      <sharedItems containsSemiMixedTypes="0" containsString="0" containsNumber="1" minValue="-60.688405799999998" maxValue="21.997973999999999"/>
    </cacheField>
    <cacheField name="Account Manager" numFmtId="0">
      <sharedItems/>
    </cacheField>
    <cacheField name="Director" numFmtId="0">
      <sharedItems/>
    </cacheField>
    <cacheField name="AM" numFmtId="0">
      <sharedItems/>
    </cacheField>
    <cacheField name="Transactio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x v="0"/>
    <n v="185372492"/>
    <s v="Programming"/>
    <x v="0"/>
    <x v="0"/>
    <n v="481818224"/>
    <d v="2025-08-29T00:00:00"/>
    <d v="2025-11-28T00:00:00"/>
    <d v="2025-05-15T00:00:00"/>
    <n v="150000"/>
    <s v="USD"/>
    <n v="70"/>
    <m/>
    <m/>
    <s v="Farrah Race"/>
  </r>
  <r>
    <x v="1"/>
    <n v="185372574"/>
    <s v="Programming"/>
    <x v="0"/>
    <x v="1"/>
    <n v="543379157"/>
    <d v="2025-08-29T00:00:00"/>
    <d v="2025-10-31T00:00:00"/>
    <d v="2025-05-15T00:00:00"/>
    <n v="125000"/>
    <s v="USD"/>
    <n v="70"/>
    <m/>
    <m/>
    <s v="Rayna Mitchell"/>
  </r>
  <r>
    <x v="2"/>
    <n v="183203429"/>
    <s v="Programming"/>
    <x v="1"/>
    <x v="2"/>
    <n v="481821730"/>
    <d v="2025-08-29T00:00:00"/>
    <d v="2025-11-28T00:00:00"/>
    <d v="2025-03-05T00:00:00"/>
    <n v="30000"/>
    <s v="USD"/>
    <n v="70"/>
    <m/>
    <m/>
    <s v="Erika Duarte"/>
  </r>
  <r>
    <x v="3"/>
    <n v="184917268"/>
    <s v="Programming"/>
    <x v="2"/>
    <x v="3"/>
    <n v="542264497"/>
    <d v="2025-08-29T00:00:00"/>
    <d v="2025-09-22T00:00:00"/>
    <d v="2025-04-30T00:00:00"/>
    <n v="200000"/>
    <s v="USD"/>
    <n v="70"/>
    <d v="2025-07-15T21:47:45"/>
    <m/>
    <s v="Maria Estrada"/>
  </r>
  <r>
    <x v="4"/>
    <n v="185878620"/>
    <s v="Awarded"/>
    <x v="3"/>
    <x v="4"/>
    <n v="481818388"/>
    <d v="2025-08-29T00:00:00"/>
    <d v="2025-09-30T00:00:00"/>
    <d v="2025-05-29T00:00:00"/>
    <n v="120000"/>
    <s v="USD"/>
    <n v="70"/>
    <m/>
    <m/>
    <m/>
  </r>
  <r>
    <x v="5"/>
    <n v="186207101"/>
    <s v="Programming"/>
    <x v="4"/>
    <x v="5"/>
    <n v="481817481"/>
    <d v="2025-08-29T00:00:00"/>
    <d v="2025-12-31T00:00:00"/>
    <d v="2025-06-09T00:00:00"/>
    <n v="170000"/>
    <s v="USD"/>
    <n v="70"/>
    <m/>
    <m/>
    <s v="Rayna Mitchell"/>
  </r>
  <r>
    <x v="6"/>
    <n v="185514740"/>
    <s v="Awarded"/>
    <x v="5"/>
    <x v="6"/>
    <n v="545005748"/>
    <d v="2025-08-30T00:00:00"/>
    <d v="2025-12-31T00:00:00"/>
    <d v="2025-05-19T00:00:00"/>
    <n v="1500000"/>
    <s v="USD"/>
    <n v="70"/>
    <m/>
    <m/>
    <s v="Kimi Katsuyoshi"/>
  </r>
  <r>
    <x v="7"/>
    <n v="187415983"/>
    <s v="Awarded"/>
    <x v="6"/>
    <x v="7"/>
    <n v="481817229"/>
    <d v="2025-08-30T00:00:00"/>
    <d v="2025-11-28T00:00:00"/>
    <d v="2025-07-11T00:00:00"/>
    <n v="30000"/>
    <s v="USD"/>
    <n v="70"/>
    <m/>
    <m/>
    <s v="Megan Ewers"/>
  </r>
  <r>
    <x v="8"/>
    <n v="183105912"/>
    <s v="Programming"/>
    <x v="7"/>
    <x v="8"/>
    <n v="481820941"/>
    <d v="2025-08-31T00:00:00"/>
    <d v="2025-06-13T00:00:00"/>
    <d v="2025-03-03T00:00:00"/>
    <n v="110000"/>
    <s v="USD"/>
    <n v="70"/>
    <m/>
    <m/>
    <s v="Maria Estrada"/>
  </r>
  <r>
    <x v="9"/>
    <n v="184917357"/>
    <s v="Programming"/>
    <x v="2"/>
    <x v="9"/>
    <n v="542265280"/>
    <d v="2025-08-31T00:00:00"/>
    <d v="2025-09-22T00:00:00"/>
    <d v="2025-04-30T00:00:00"/>
    <n v="350000"/>
    <s v="USD"/>
    <n v="70"/>
    <d v="2025-07-30T21:41:42"/>
    <m/>
    <s v="Maria Estrada"/>
  </r>
  <r>
    <x v="10"/>
    <n v="186075084"/>
    <s v="Awarded"/>
    <x v="8"/>
    <x v="10"/>
    <n v="481821097"/>
    <d v="2025-08-31T00:00:00"/>
    <d v="2025-07-31T00:00:00"/>
    <d v="2025-06-05T00:00:00"/>
    <n v="339740"/>
    <s v="USD"/>
    <n v="70"/>
    <m/>
    <m/>
    <s v="Anthony Pantaleoni"/>
  </r>
  <r>
    <x v="11"/>
    <n v="169782282"/>
    <s v="Programming"/>
    <x v="8"/>
    <x v="11"/>
    <n v="481819172"/>
    <d v="2025-08-31T00:00:00"/>
    <d v="2026-03-31T00:00:00"/>
    <d v="2024-04-04T00:00:00"/>
    <n v="3000000"/>
    <s v="USD"/>
    <n v="70"/>
    <d v="2024-04-05T00:49:52"/>
    <m/>
    <s v="Anthony Pantaleoni"/>
  </r>
  <r>
    <x v="12"/>
    <n v="185600562"/>
    <s v="Closed/Lost"/>
    <x v="9"/>
    <x v="12"/>
    <n v="543962150"/>
    <d v="2025-08-31T00:00:00"/>
    <d v="2025-09-26T00:00:00"/>
    <d v="2025-05-21T00:00:00"/>
    <n v="100000"/>
    <s v="USD"/>
    <n v="70"/>
    <m/>
    <m/>
    <s v="Lindsay Purdom"/>
  </r>
  <r>
    <x v="13"/>
    <n v="181686854"/>
    <s v="Proposal Presented"/>
    <x v="1"/>
    <x v="2"/>
    <n v="481821730"/>
    <d v="2025-08-29T00:00:00"/>
    <d v="2025-08-01T00:00:00"/>
    <d v="2025-01-21T00:00:00"/>
    <n v="23000"/>
    <s v="USD"/>
    <n v="75"/>
    <m/>
    <m/>
    <s v="Erika Duarte"/>
  </r>
  <r>
    <x v="14"/>
    <n v="184958043"/>
    <s v="Programming"/>
    <x v="9"/>
    <x v="13"/>
    <n v="536836348"/>
    <d v="2025-08-19T00:00:00"/>
    <d v="2025-08-29T00:00:00"/>
    <d v="2025-05-01T00:00:00"/>
    <n v="25000"/>
    <s v="USD"/>
    <n v="80"/>
    <m/>
    <m/>
    <s v="Melissa Avalos"/>
  </r>
  <r>
    <x v="15"/>
    <n v="176020679"/>
    <s v="Programming"/>
    <x v="9"/>
    <x v="14"/>
    <n v="481817326"/>
    <d v="2025-08-21T00:00:00"/>
    <d v="2025-07-31T00:00:00"/>
    <d v="2024-08-19T00:00:00"/>
    <n v="250000"/>
    <s v="USD"/>
    <n v="80"/>
    <m/>
    <s v="Confirm close date and amount please, -Kimi Katsuyoshi"/>
    <s v="Frances Kim"/>
  </r>
  <r>
    <x v="16"/>
    <n v="179901465"/>
    <s v="Programming"/>
    <x v="9"/>
    <x v="15"/>
    <n v="481821587"/>
    <d v="2025-08-22T00:00:00"/>
    <d v="2025-07-31T00:00:00"/>
    <d v="2024-11-27T00:00:00"/>
    <n v="40000"/>
    <s v="USD"/>
    <n v="80"/>
    <m/>
    <m/>
    <s v="Melissa Avalos"/>
  </r>
  <r>
    <x v="17"/>
    <n v="186623552"/>
    <s v="Programming"/>
    <x v="10"/>
    <x v="16"/>
    <n v="511064498"/>
    <d v="2025-08-29T00:00:00"/>
    <d v="2025-09-30T00:00:00"/>
    <d v="2025-06-20T00:00:00"/>
    <n v="5000"/>
    <s v="USD"/>
    <n v="80"/>
    <m/>
    <m/>
    <s v="Mary Sparacino"/>
  </r>
  <r>
    <x v="18"/>
    <n v="187376877"/>
    <s v="Programming"/>
    <x v="11"/>
    <x v="12"/>
    <n v="543962150"/>
    <d v="2025-08-29T00:00:00"/>
    <d v="2025-12-26T00:00:00"/>
    <d v="2025-07-10T00:00:00"/>
    <n v="130000"/>
    <s v="USD"/>
    <n v="80"/>
    <m/>
    <m/>
    <s v="Chryslyn Perkins"/>
  </r>
  <r>
    <x v="19"/>
    <n v="184427013"/>
    <s v="Programming"/>
    <x v="1"/>
    <x v="17"/>
    <n v="481819753"/>
    <d v="2025-08-29T00:00:00"/>
    <d v="2025-09-30T00:00:00"/>
    <d v="2025-04-14T00:00:00"/>
    <n v="35000"/>
    <s v="USD"/>
    <n v="80"/>
    <m/>
    <m/>
    <s v="Erika Duarte"/>
  </r>
  <r>
    <x v="20"/>
    <n v="177742628"/>
    <s v="Programming"/>
    <x v="6"/>
    <x v="18"/>
    <n v="481817878"/>
    <d v="2025-08-29T00:00:00"/>
    <d v="2025-11-28T00:00:00"/>
    <d v="2024-10-04T00:00:00"/>
    <n v="85000"/>
    <s v="USD"/>
    <n v="80"/>
    <m/>
    <m/>
    <s v="Megan Ewers"/>
  </r>
  <r>
    <x v="21"/>
    <n v="183019440"/>
    <s v="Programming"/>
    <x v="6"/>
    <x v="19"/>
    <n v="481820270"/>
    <d v="2025-08-29T00:00:00"/>
    <d v="2025-12-30T00:00:00"/>
    <d v="2025-02-28T00:00:00"/>
    <n v="30000"/>
    <s v="USD"/>
    <n v="80"/>
    <m/>
    <m/>
    <s v="Megan Ewers"/>
  </r>
  <r>
    <x v="22"/>
    <n v="184460337"/>
    <s v="Programming"/>
    <x v="6"/>
    <x v="20"/>
    <n v="481818000"/>
    <d v="2025-08-29T00:00:00"/>
    <d v="2025-11-28T00:00:00"/>
    <d v="2025-04-15T00:00:00"/>
    <n v="40000"/>
    <s v="USD"/>
    <n v="80"/>
    <m/>
    <m/>
    <s v="Megan Ewers"/>
  </r>
  <r>
    <x v="23"/>
    <n v="187415973"/>
    <s v="Programming"/>
    <x v="6"/>
    <x v="21"/>
    <n v="481819053"/>
    <d v="2025-08-29T00:00:00"/>
    <d v="2025-11-28T00:00:00"/>
    <d v="2025-07-11T00:00:00"/>
    <n v="25000"/>
    <s v="USD"/>
    <n v="80"/>
    <m/>
    <m/>
    <s v="Marena Brown"/>
  </r>
  <r>
    <x v="24"/>
    <n v="177835900"/>
    <s v="Programming"/>
    <x v="10"/>
    <x v="22"/>
    <n v="520272043"/>
    <d v="2025-08-30T00:00:00"/>
    <d v="2025-08-30T00:00:00"/>
    <d v="2024-10-07T00:00:00"/>
    <n v="1500000"/>
    <s v="USD"/>
    <n v="80"/>
    <m/>
    <m/>
    <s v="Genesis Rita"/>
  </r>
  <r>
    <x v="25"/>
    <n v="180639502"/>
    <s v="Programming"/>
    <x v="6"/>
    <x v="7"/>
    <n v="481817229"/>
    <d v="2025-08-30T00:00:00"/>
    <d v="2025-10-31T00:00:00"/>
    <d v="2024-12-18T00:00:00"/>
    <n v="50000"/>
    <s v="USD"/>
    <n v="80"/>
    <m/>
    <m/>
    <s v="Megan Ewers"/>
  </r>
  <r>
    <x v="26"/>
    <n v="185678657"/>
    <s v="Programming"/>
    <x v="6"/>
    <x v="23"/>
    <n v="530250010"/>
    <d v="2025-08-30T00:00:00"/>
    <d v="2025-11-28T00:00:00"/>
    <d v="2025-05-23T00:00:00"/>
    <n v="30000"/>
    <s v="USD"/>
    <n v="80"/>
    <m/>
    <m/>
    <s v="Marena Brown"/>
  </r>
  <r>
    <x v="27"/>
    <n v="187294539"/>
    <s v="Programming"/>
    <x v="6"/>
    <x v="7"/>
    <n v="481817229"/>
    <d v="2025-08-30T00:00:00"/>
    <d v="2025-11-28T00:00:00"/>
    <d v="2025-07-08T00:00:00"/>
    <n v="10000"/>
    <s v="USD"/>
    <n v="80"/>
    <m/>
    <m/>
    <s v="Gina Ortis"/>
  </r>
  <r>
    <x v="28"/>
    <n v="187248687"/>
    <s v="Programming"/>
    <x v="8"/>
    <x v="24"/>
    <n v="548680394"/>
    <d v="2025-08-30T00:00:00"/>
    <d v="2025-11-28T00:00:00"/>
    <d v="2025-07-07T00:00:00"/>
    <n v="96000"/>
    <s v="USD"/>
    <n v="80"/>
    <m/>
    <m/>
    <s v="Chryslyn Perkins"/>
  </r>
  <r>
    <x v="29"/>
    <n v="184090153"/>
    <s v="Programming"/>
    <x v="0"/>
    <x v="25"/>
    <n v="481817206"/>
    <d v="2025-08-31T00:00:00"/>
    <d v="2025-09-01T00:00:00"/>
    <d v="2025-04-02T00:00:00"/>
    <n v="60000"/>
    <s v="USD"/>
    <n v="80"/>
    <m/>
    <m/>
    <s v="Andrea Greever"/>
  </r>
  <r>
    <x v="30"/>
    <n v="175199320"/>
    <s v="Programming"/>
    <x v="5"/>
    <x v="26"/>
    <n v="481817240"/>
    <d v="2025-08-31T00:00:00"/>
    <d v="2025-10-31T00:00:00"/>
    <d v="2024-07-29T00:00:00"/>
    <n v="80000"/>
    <s v="USD"/>
    <n v="80"/>
    <m/>
    <m/>
    <s v="Patty Medina"/>
  </r>
  <r>
    <x v="31"/>
    <n v="185344637"/>
    <s v="Programming"/>
    <x v="6"/>
    <x v="27"/>
    <n v="543303345"/>
    <d v="2025-08-31T00:00:00"/>
    <d v="2025-09-30T00:00:00"/>
    <d v="2025-05-14T00:00:00"/>
    <n v="150000"/>
    <s v="USD"/>
    <n v="80"/>
    <m/>
    <m/>
    <s v="Andrea Greever"/>
  </r>
  <r>
    <x v="32"/>
    <n v="188169926"/>
    <s v="Programming"/>
    <x v="12"/>
    <x v="28"/>
    <n v="481819270"/>
    <d v="2025-08-31T00:00:00"/>
    <d v="2025-09-30T00:00:00"/>
    <d v="2025-07-31T00:00:00"/>
    <n v="4000"/>
    <s v="USD"/>
    <n v="80"/>
    <m/>
    <m/>
    <s v="Lindsay Hanief"/>
  </r>
  <r>
    <x v="33"/>
    <n v="186389201"/>
    <s v="Programming"/>
    <x v="12"/>
    <x v="28"/>
    <n v="481819270"/>
    <d v="2025-08-31T00:00:00"/>
    <d v="2025-08-31T00:00:00"/>
    <d v="2025-06-14T00:00:00"/>
    <n v="13795"/>
    <s v="USD"/>
    <n v="80"/>
    <m/>
    <m/>
    <s v="Lindsay Hanief"/>
  </r>
  <r>
    <x v="34"/>
    <n v="162878993"/>
    <s v="Closed/Lost"/>
    <x v="12"/>
    <x v="26"/>
    <n v="481817240"/>
    <d v="2025-08-31T00:00:00"/>
    <d v="2025-09-30T00:00:00"/>
    <d v="2023-06-05T00:00:00"/>
    <n v="70000"/>
    <s v="USD"/>
    <n v="80"/>
    <m/>
    <m/>
    <s v="Lindsay Hanief"/>
  </r>
  <r>
    <x v="35"/>
    <n v="185883061"/>
    <s v="Programming"/>
    <x v="12"/>
    <x v="28"/>
    <n v="481819270"/>
    <d v="2025-08-31T00:00:00"/>
    <d v="2025-09-30T00:00:00"/>
    <d v="2025-05-29T00:00:00"/>
    <n v="1200"/>
    <s v="USD"/>
    <n v="80"/>
    <m/>
    <m/>
    <s v="Lindsay Hanief"/>
  </r>
  <r>
    <x v="36"/>
    <n v="182402496"/>
    <s v="Programming"/>
    <x v="12"/>
    <x v="28"/>
    <n v="481819270"/>
    <d v="2025-08-31T00:00:00"/>
    <d v="2025-09-30T00:00:00"/>
    <d v="2025-02-11T00:00:00"/>
    <n v="3000"/>
    <s v="USD"/>
    <n v="80"/>
    <m/>
    <m/>
    <s v="Lindsay Hanief"/>
  </r>
  <r>
    <x v="37"/>
    <n v="187693711"/>
    <s v="Programming"/>
    <x v="12"/>
    <x v="26"/>
    <n v="481817240"/>
    <d v="2025-08-31T00:00:00"/>
    <d v="2025-09-30T00:00:00"/>
    <d v="2025-07-19T00:00:00"/>
    <n v="5555"/>
    <s v="USD"/>
    <n v="80"/>
    <m/>
    <m/>
    <s v="Lindsay Hanief"/>
  </r>
  <r>
    <x v="38"/>
    <n v="185882960"/>
    <s v="Programming"/>
    <x v="12"/>
    <x v="29"/>
    <n v="481819717"/>
    <d v="2025-08-31T00:00:00"/>
    <d v="2025-10-10T00:00:00"/>
    <d v="2025-05-29T00:00:00"/>
    <n v="50000"/>
    <s v="USD"/>
    <n v="80"/>
    <m/>
    <m/>
    <s v="Lindsay Hanief"/>
  </r>
  <r>
    <x v="39"/>
    <n v="181562098"/>
    <s v="Programming"/>
    <x v="12"/>
    <x v="26"/>
    <n v="481817240"/>
    <d v="2025-08-31T00:00:00"/>
    <d v="2025-09-30T00:00:00"/>
    <d v="2025-01-17T00:00:00"/>
    <n v="27000"/>
    <s v="USD"/>
    <n v="80"/>
    <m/>
    <m/>
    <s v="Lindsay Hanief"/>
  </r>
  <r>
    <x v="40"/>
    <n v="188092293"/>
    <s v="Programming"/>
    <x v="8"/>
    <x v="30"/>
    <n v="481819160"/>
    <d v="2025-08-31T00:00:00"/>
    <d v="2026-01-31T00:00:00"/>
    <d v="2025-07-29T00:00:00"/>
    <n v="1900000"/>
    <s v="USD"/>
    <n v="80"/>
    <m/>
    <s v="Lunch, Michelle Hatton-Olivia Gorfain"/>
    <s v="Torrey Crell"/>
  </r>
  <r>
    <x v="41"/>
    <n v="163121035"/>
    <s v="Programming"/>
    <x v="8"/>
    <x v="30"/>
    <n v="481819160"/>
    <d v="2025-08-31T00:00:00"/>
    <d v="2026-01-31T00:00:00"/>
    <d v="2023-11-01T00:00:00"/>
    <n v="650000"/>
    <s v="USD"/>
    <n v="80"/>
    <d v="2025-01-23T17:49:07"/>
    <s v="Lunch, Michelle Hatton-Olivia Gorfain"/>
    <s v="Torrey Crell"/>
  </r>
  <r>
    <x v="42"/>
    <n v="188092230"/>
    <s v="Programming"/>
    <x v="8"/>
    <x v="30"/>
    <n v="481819160"/>
    <d v="2025-08-31T00:00:00"/>
    <d v="2026-01-31T00:00:00"/>
    <d v="2025-07-29T00:00:00"/>
    <n v="1000000"/>
    <s v="USD"/>
    <n v="80"/>
    <m/>
    <s v="Lunch, Michelle Hatton-Olivia Gorfain"/>
    <s v="Torrey Crell"/>
  </r>
  <r>
    <x v="43"/>
    <n v="185958603"/>
    <s v="Programming"/>
    <x v="8"/>
    <x v="11"/>
    <n v="481819172"/>
    <d v="2025-08-31T00:00:00"/>
    <d v="2026-03-31T00:00:00"/>
    <d v="2025-06-02T00:00:00"/>
    <n v="1500000"/>
    <s v="USD"/>
    <n v="80"/>
    <m/>
    <m/>
    <s v="Anthony Pantaleoni"/>
  </r>
  <r>
    <x v="44"/>
    <n v="183016659"/>
    <s v="Closed/Lost"/>
    <x v="13"/>
    <x v="31"/>
    <n v="481821384"/>
    <d v="2025-08-31T00:00:00"/>
    <d v="2025-04-30T00:00:00"/>
    <d v="2025-02-28T00:00:00"/>
    <n v="7000"/>
    <s v="USD"/>
    <n v="80"/>
    <m/>
    <m/>
    <s v="Casey Fleming"/>
  </r>
  <r>
    <x v="45"/>
    <n v="185260539"/>
    <s v="Proposal Presented"/>
    <x v="10"/>
    <x v="32"/>
    <n v="543109518"/>
    <d v="2025-08-29T00:00:00"/>
    <d v="2025-09-30T00:00:00"/>
    <d v="2025-05-12T00:00:00"/>
    <n v="45000"/>
    <s v="USD"/>
    <n v="85"/>
    <m/>
    <m/>
    <s v="Mary Sparacino"/>
  </r>
  <r>
    <x v="46"/>
    <n v="187832117"/>
    <s v="Proposal Presented"/>
    <x v="10"/>
    <x v="32"/>
    <n v="543109518"/>
    <d v="2025-08-29T00:00:00"/>
    <d v="2025-09-30T00:00:00"/>
    <d v="2025-07-22T00:00:00"/>
    <n v="40000"/>
    <s v="USD"/>
    <n v="90"/>
    <m/>
    <m/>
    <s v="Mary Sparacino"/>
  </r>
  <r>
    <x v="47"/>
    <n v="187683066"/>
    <s v="Proposal Presented"/>
    <x v="6"/>
    <x v="33"/>
    <n v="481819704"/>
    <d v="2025-08-29T00:00:00"/>
    <d v="2025-11-28T00:00:00"/>
    <d v="2025-07-18T00:00:00"/>
    <n v="6000"/>
    <s v="USD"/>
    <n v="90"/>
    <m/>
    <m/>
    <s v="Marena Brown"/>
  </r>
  <r>
    <x v="48"/>
    <n v="187428024"/>
    <s v="Proposal Presented"/>
    <x v="6"/>
    <x v="21"/>
    <n v="481819053"/>
    <d v="2025-08-29T00:00:00"/>
    <d v="2025-11-28T00:00:00"/>
    <d v="2025-07-11T00:00:00"/>
    <n v="10000"/>
    <s v="USD"/>
    <n v="90"/>
    <m/>
    <m/>
    <s v="Marena Brown"/>
  </r>
  <r>
    <x v="49"/>
    <n v="187860848"/>
    <s v="Proposal Presented"/>
    <x v="14"/>
    <x v="34"/>
    <n v="481819353"/>
    <d v="2025-08-29T00:00:00"/>
    <d v="2025-10-31T00:00:00"/>
    <d v="2025-07-23T00:00:00"/>
    <n v="90000"/>
    <s v="USD"/>
    <n v="90"/>
    <m/>
    <m/>
    <s v="Casey Fleming"/>
  </r>
  <r>
    <x v="50"/>
    <n v="187596112"/>
    <s v="Proposal Presented"/>
    <x v="15"/>
    <x v="35"/>
    <n v="524170934"/>
    <d v="2025-08-30T00:00:00"/>
    <d v="2025-10-20T00:00:00"/>
    <d v="2025-07-16T00:00:00"/>
    <n v="365000"/>
    <s v="USD"/>
    <n v="90"/>
    <m/>
    <m/>
    <s v="Farrah Race"/>
  </r>
  <r>
    <x v="51"/>
    <n v="183513639"/>
    <s v="Proposal Presented"/>
    <x v="16"/>
    <x v="36"/>
    <n v="542266186"/>
    <d v="2025-08-30T00:00:00"/>
    <d v="2025-12-31T00:00:00"/>
    <d v="2025-03-14T00:00:00"/>
    <n v="42000"/>
    <s v="USD"/>
    <n v="90"/>
    <m/>
    <m/>
    <s v="Farrah Race"/>
  </r>
  <r>
    <x v="52"/>
    <n v="182167850"/>
    <s v="Proposal Presented"/>
    <x v="6"/>
    <x v="37"/>
    <n v="481816139"/>
    <d v="2025-08-30T00:00:00"/>
    <d v="2025-11-28T00:00:00"/>
    <d v="2025-02-04T00:00:00"/>
    <n v="60000"/>
    <s v="USD"/>
    <n v="90"/>
    <m/>
    <m/>
    <s v="Marena Brown"/>
  </r>
  <r>
    <x v="53"/>
    <n v="185417196"/>
    <s v="Proposal Presented"/>
    <x v="6"/>
    <x v="21"/>
    <n v="481819053"/>
    <d v="2025-08-30T00:00:00"/>
    <d v="2025-10-31T00:00:00"/>
    <d v="2025-05-16T00:00:00"/>
    <n v="180000"/>
    <s v="USD"/>
    <n v="90"/>
    <m/>
    <m/>
    <s v="Marena Brown"/>
  </r>
  <r>
    <x v="54"/>
    <n v="186838797"/>
    <s v="Proposal Presented"/>
    <x v="6"/>
    <x v="21"/>
    <n v="481819053"/>
    <d v="2025-08-30T00:00:00"/>
    <d v="2025-11-28T00:00:00"/>
    <d v="2025-06-26T00:00:00"/>
    <n v="150000"/>
    <s v="USD"/>
    <n v="90"/>
    <m/>
    <m/>
    <s v="Marena Brown"/>
  </r>
  <r>
    <x v="55"/>
    <n v="187821751"/>
    <s v="Proposal Presented"/>
    <x v="0"/>
    <x v="38"/>
    <n v="481819786"/>
    <d v="2025-08-31T00:00:00"/>
    <d v="2025-08-31T00:00:00"/>
    <d v="2025-07-22T00:00:00"/>
    <n v="15000"/>
    <s v="USD"/>
    <n v="90"/>
    <m/>
    <m/>
    <s v="Andrea Greever"/>
  </r>
  <r>
    <x v="56"/>
    <n v="184836630"/>
    <s v="Programming"/>
    <x v="0"/>
    <x v="39"/>
    <n v="542044714"/>
    <d v="2025-08-31T00:00:00"/>
    <d v="2025-09-30T00:00:00"/>
    <d v="2025-04-28T00:00:00"/>
    <n v="75000"/>
    <s v="USD"/>
    <n v="90"/>
    <m/>
    <m/>
    <s v="Andrea Greever"/>
  </r>
  <r>
    <x v="57"/>
    <n v="178955517"/>
    <s v="Awarded"/>
    <x v="17"/>
    <x v="40"/>
    <n v="481819601"/>
    <d v="2025-08-31T00:00:00"/>
    <d v="2025-08-29T00:00:00"/>
    <d v="2024-11-04T00:00:00"/>
    <n v="130000"/>
    <s v="USD"/>
    <n v="90"/>
    <m/>
    <m/>
    <s v="Jennifer Lombardi"/>
  </r>
  <r>
    <x v="58"/>
    <n v="187564262"/>
    <s v="Proposal Presented"/>
    <x v="5"/>
    <x v="41"/>
    <n v="481821212"/>
    <d v="2025-08-31T00:00:00"/>
    <d v="2025-10-31T00:00:00"/>
    <d v="2025-07-15T00:00:00"/>
    <n v="11000"/>
    <s v="USD"/>
    <n v="90"/>
    <m/>
    <m/>
    <s v="Patty Medina"/>
  </r>
  <r>
    <x v="59"/>
    <n v="188136248"/>
    <s v="Proposal Presented"/>
    <x v="5"/>
    <x v="42"/>
    <n v="481819234"/>
    <d v="2025-08-31T00:00:00"/>
    <d v="2025-10-31T00:00:00"/>
    <d v="2025-07-30T00:00:00"/>
    <n v="16000"/>
    <s v="USD"/>
    <n v="90"/>
    <m/>
    <m/>
    <s v="Patty Medina"/>
  </r>
  <r>
    <x v="60"/>
    <n v="184957112"/>
    <s v="Awarded"/>
    <x v="3"/>
    <x v="4"/>
    <n v="481818388"/>
    <d v="2025-08-31T00:00:00"/>
    <d v="2025-10-15T00:00:00"/>
    <d v="2025-05-01T00:00:00"/>
    <n v="450000"/>
    <s v="USD"/>
    <n v="90"/>
    <m/>
    <m/>
    <s v="Norma Lopez"/>
  </r>
  <r>
    <x v="61"/>
    <n v="185183800"/>
    <s v="Awarded"/>
    <x v="8"/>
    <x v="43"/>
    <n v="542901881"/>
    <d v="2025-08-31T00:00:00"/>
    <d v="2025-11-28T00:00:00"/>
    <d v="2025-05-08T00:00:00"/>
    <n v="163000"/>
    <s v="USD"/>
    <n v="90"/>
    <m/>
    <m/>
    <s v="Jennifer Lombardi"/>
  </r>
  <r>
    <x v="62"/>
    <n v="184695451"/>
    <s v="Proposal Presented"/>
    <x v="8"/>
    <x v="30"/>
    <n v="481819160"/>
    <d v="2025-08-31T00:00:00"/>
    <d v="2026-01-31T00:00:00"/>
    <d v="2025-04-23T00:00:00"/>
    <n v="869000"/>
    <s v="USD"/>
    <n v="90"/>
    <m/>
    <s v="Lunch, Michelle Hatton-Olivia Gorfain"/>
    <s v="Torrey Crell"/>
  </r>
  <r>
    <x v="63"/>
    <n v="186475427"/>
    <s v="Proposal Presented"/>
    <x v="4"/>
    <x v="44"/>
    <n v="481818437"/>
    <d v="2025-08-31T00:00:00"/>
    <d v="2026-02-05T00:00:00"/>
    <d v="2025-06-16T00:00:00"/>
    <n v="60000"/>
    <s v="USD"/>
    <n v="90"/>
    <m/>
    <m/>
    <s v="Rayna Mitchell"/>
  </r>
  <r>
    <x v="64"/>
    <n v="172901721"/>
    <s v="Proposal Presented"/>
    <x v="13"/>
    <x v="31"/>
    <n v="481821384"/>
    <d v="2025-08-31T00:00:00"/>
    <d v="2025-11-28T00:00:00"/>
    <d v="2024-06-05T00:00:00"/>
    <n v="50000"/>
    <s v="USD"/>
    <n v="90"/>
    <m/>
    <m/>
    <s v="Casey Fleming"/>
  </r>
  <r>
    <x v="65"/>
    <n v="172946561"/>
    <s v="Proposal Presented"/>
    <x v="1"/>
    <x v="45"/>
    <n v="494885285"/>
    <d v="2025-08-30T00:00:00"/>
    <d v="2026-04-30T00:00:00"/>
    <d v="2024-06-06T00:00:00"/>
    <n v="35307"/>
    <s v="USD"/>
    <n v="100"/>
    <m/>
    <m/>
    <s v="Erika Duarte"/>
  </r>
  <r>
    <x v="66"/>
    <n v="187257581"/>
    <s v="Proposal Presented"/>
    <x v="8"/>
    <x v="46"/>
    <n v="481816702"/>
    <d v="2025-08-31T00:00:00"/>
    <d v="2025-08-31T00:00:00"/>
    <d v="2025-07-08T00:00:00"/>
    <n v="250264"/>
    <s v="USD"/>
    <n v="100"/>
    <m/>
    <m/>
    <s v="Anthony Pantaleon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s v="92356"/>
    <d v="2025-08-08T00:00:00"/>
    <x v="0"/>
    <x v="0"/>
    <s v="San Francisco"/>
    <n v="0"/>
    <n v="0"/>
    <n v="0"/>
    <n v="19.989999999999998"/>
    <n v="-19.989999999999998"/>
    <n v="0"/>
    <s v="Frances Kim"/>
    <s v="Owen Cunningham"/>
    <s v="Frances Kim"/>
    <n v="0"/>
  </r>
  <r>
    <s v="92356"/>
    <d v="2025-08-15T00:00:00"/>
    <x v="0"/>
    <x v="0"/>
    <s v="San Francisco"/>
    <n v="0"/>
    <n v="0"/>
    <n v="0"/>
    <n v="929.63"/>
    <n v="-929.63"/>
    <n v="0"/>
    <s v="Frances Kim"/>
    <s v="Owen Cunningham"/>
    <s v="Frances Kim"/>
    <n v="0"/>
  </r>
  <r>
    <s v="92356"/>
    <d v="2025-08-18T00:00:00"/>
    <x v="0"/>
    <x v="0"/>
    <s v="San Francisco"/>
    <n v="0"/>
    <n v="0"/>
    <n v="0"/>
    <n v="-780"/>
    <n v="780"/>
    <n v="0"/>
    <s v="Frances Kim"/>
    <s v="Owen Cunningham"/>
    <s v="Frances Kim"/>
    <n v="0"/>
  </r>
  <r>
    <s v="94139"/>
    <d v="2025-08-21T00:00:00"/>
    <x v="0"/>
    <x v="0"/>
    <s v="San Francisco"/>
    <n v="2040"/>
    <n v="0"/>
    <n v="2040"/>
    <n v="1000.03"/>
    <n v="1039.97"/>
    <n v="0.50978922000000004"/>
    <s v="Frances Kim"/>
    <s v="Owen Cunningham"/>
    <s v="Frances Kim"/>
    <n v="1"/>
  </r>
  <r>
    <s v="92356"/>
    <d v="2025-08-22T00:00:00"/>
    <x v="0"/>
    <x v="0"/>
    <s v="San Francisco"/>
    <n v="0"/>
    <n v="0"/>
    <n v="0"/>
    <n v="-160"/>
    <n v="160"/>
    <n v="0"/>
    <s v="Frances Kim"/>
    <s v="Owen Cunningham"/>
    <s v="Frances Kim"/>
    <n v="0"/>
  </r>
  <r>
    <s v="91013"/>
    <d v="2025-08-28T00:00:00"/>
    <x v="0"/>
    <x v="0"/>
    <s v="San Francisco"/>
    <n v="0"/>
    <n v="0"/>
    <n v="0"/>
    <n v="6805"/>
    <n v="-6805"/>
    <n v="0"/>
    <s v="Frances Kim"/>
    <s v="Owen Cunningham"/>
    <s v="Frances Kim"/>
    <n v="0"/>
  </r>
  <r>
    <s v="92356"/>
    <d v="2025-08-28T00:00:00"/>
    <x v="0"/>
    <x v="0"/>
    <s v="San Francisco"/>
    <n v="0"/>
    <n v="0"/>
    <n v="0"/>
    <n v="8.68"/>
    <n v="-8.68"/>
    <n v="0"/>
    <s v="Frances Kim"/>
    <s v="Owen Cunningham"/>
    <s v="Frances Kim"/>
    <n v="0"/>
  </r>
  <r>
    <s v="93868"/>
    <d v="2025-08-28T00:00:00"/>
    <x v="1"/>
    <x v="0"/>
    <s v="San Francisco"/>
    <n v="6786"/>
    <n v="0"/>
    <n v="6786"/>
    <n v="5588.38"/>
    <n v="1197.6199999999999"/>
    <n v="0.17648394000000001"/>
    <s v="Lindsay Purdom"/>
    <s v="Owen Cunningham"/>
    <s v="Lindsay Purdom"/>
    <n v="1"/>
  </r>
  <r>
    <s v="93863"/>
    <d v="2025-08-01T00:00:00"/>
    <x v="2"/>
    <x v="1"/>
    <s v="Sacramento"/>
    <n v="1107"/>
    <n v="0"/>
    <n v="1107"/>
    <n v="917.67"/>
    <n v="189.33"/>
    <n v="0.17102981"/>
    <s v="Rayna Mitchell"/>
    <s v="Kate Ingelstrom"/>
    <s v="Rayna Mitchell"/>
    <n v="1"/>
  </r>
  <r>
    <s v="90396"/>
    <d v="2025-08-04T00:00:00"/>
    <x v="2"/>
    <x v="1"/>
    <s v="Sacramento"/>
    <n v="0"/>
    <n v="280"/>
    <n v="280"/>
    <n v="230"/>
    <n v="50"/>
    <n v="0.17857143"/>
    <s v="Rayna Mitchell"/>
    <s v="Kate Ingelstrom"/>
    <s v="Rayna Mitchell"/>
    <n v="0"/>
  </r>
  <r>
    <s v="93768"/>
    <d v="2025-08-04T00:00:00"/>
    <x v="2"/>
    <x v="1"/>
    <s v="Sacramento"/>
    <n v="4514.49"/>
    <n v="0"/>
    <n v="4514.49"/>
    <n v="3898.71"/>
    <n v="615.78"/>
    <n v="0.13640078999999999"/>
    <s v="Rayna Mitchell"/>
    <s v="Kate Ingelstrom"/>
    <s v="Rayna Mitchell"/>
    <n v="1"/>
  </r>
  <r>
    <s v="90396"/>
    <d v="2025-08-06T00:00:00"/>
    <x v="2"/>
    <x v="1"/>
    <s v="Sacramento"/>
    <n v="0"/>
    <n v="126"/>
    <n v="126"/>
    <n v="105"/>
    <n v="21"/>
    <n v="0.16666666999999999"/>
    <s v="Rayna Mitchell"/>
    <s v="Kate Ingelstrom"/>
    <s v="Rayna Mitchell"/>
    <n v="0"/>
  </r>
  <r>
    <s v="93952"/>
    <d v="2025-08-07T00:00:00"/>
    <x v="2"/>
    <x v="1"/>
    <s v="Sacramento"/>
    <n v="5520.6"/>
    <n v="0"/>
    <n v="5520.6"/>
    <n v="4448.42"/>
    <n v="1072.18"/>
    <n v="0.19421440000000001"/>
    <s v="Rayna Mitchell"/>
    <s v="Kate Ingelstrom"/>
    <s v="Rayna Mitchell"/>
    <n v="1"/>
  </r>
  <r>
    <s v="93600"/>
    <d v="2025-08-08T00:00:00"/>
    <x v="2"/>
    <x v="1"/>
    <s v="Sacramento"/>
    <n v="10388.75"/>
    <n v="0"/>
    <n v="10388.75"/>
    <n v="8338.19"/>
    <n v="2050.56"/>
    <n v="0.19738275"/>
    <s v="Rayna Mitchell"/>
    <s v="Kate Ingelstrom"/>
    <s v="Rayna Mitchell"/>
    <n v="1"/>
  </r>
  <r>
    <s v="89421"/>
    <d v="2025-08-11T00:00:00"/>
    <x v="2"/>
    <x v="1"/>
    <s v="Sacramento"/>
    <n v="0"/>
    <n v="0"/>
    <n v="0"/>
    <n v="617.66"/>
    <n v="-617.66"/>
    <n v="0"/>
    <s v="Rayna Mitchell"/>
    <s v="Kate Ingelstrom"/>
    <s v="Rayna Mitchell"/>
    <n v="0"/>
  </r>
  <r>
    <s v="93044"/>
    <d v="2025-08-15T00:00:00"/>
    <x v="2"/>
    <x v="1"/>
    <s v="Sacramento"/>
    <n v="0"/>
    <n v="0"/>
    <n v="0"/>
    <n v="-0.01"/>
    <n v="0.01"/>
    <n v="0"/>
    <s v="Rayna Mitchell"/>
    <s v="Kate Ingelstrom"/>
    <s v="Rayna Mitchell"/>
    <n v="0"/>
  </r>
  <r>
    <s v="90396"/>
    <d v="2025-08-18T00:00:00"/>
    <x v="2"/>
    <x v="1"/>
    <s v="Sacramento"/>
    <n v="0"/>
    <n v="560"/>
    <n v="560"/>
    <n v="465"/>
    <n v="95"/>
    <n v="0.16964286000000001"/>
    <s v="Rayna Mitchell"/>
    <s v="Kate Ingelstrom"/>
    <s v="Rayna Mitchell"/>
    <n v="0"/>
  </r>
  <r>
    <s v="92663"/>
    <d v="2025-08-20T00:00:00"/>
    <x v="2"/>
    <x v="1"/>
    <s v="Sacramento"/>
    <n v="0"/>
    <n v="0"/>
    <n v="0"/>
    <n v="-0.01"/>
    <n v="0.01"/>
    <n v="0"/>
    <s v="Rayna Mitchell"/>
    <s v="Kate Ingelstrom"/>
    <s v="Rayna Mitchell"/>
    <n v="0"/>
  </r>
  <r>
    <s v="94153"/>
    <d v="2025-08-22T00:00:00"/>
    <x v="2"/>
    <x v="1"/>
    <s v="Sacramento"/>
    <n v="917.87"/>
    <n v="0"/>
    <n v="917.87"/>
    <n v="792.11"/>
    <n v="125.76"/>
    <n v="0.13701287000000001"/>
    <s v="Rayna Mitchell"/>
    <s v="Kate Ingelstrom"/>
    <s v="Rayna Mitchell"/>
    <n v="1"/>
  </r>
  <r>
    <s v="87642"/>
    <d v="2025-08-26T00:00:00"/>
    <x v="2"/>
    <x v="1"/>
    <s v="Sacramento"/>
    <n v="0"/>
    <n v="0"/>
    <n v="0"/>
    <n v="-2750"/>
    <n v="2750"/>
    <n v="0"/>
    <s v="Rayna Mitchell"/>
    <s v="Kate Ingelstrom"/>
    <s v="Rayna Mitchell"/>
    <n v="0"/>
  </r>
  <r>
    <s v="94232"/>
    <d v="2025-08-27T00:00:00"/>
    <x v="2"/>
    <x v="1"/>
    <s v="Sacramento"/>
    <n v="425"/>
    <n v="0"/>
    <n v="425"/>
    <n v="352.95"/>
    <n v="72.05"/>
    <n v="0.16952940999999999"/>
    <s v="Rayna Mitchell"/>
    <s v="Kate Ingelstrom"/>
    <s v="Rayna Mitchell"/>
    <n v="1"/>
  </r>
  <r>
    <s v="94218"/>
    <d v="2025-08-28T00:00:00"/>
    <x v="2"/>
    <x v="1"/>
    <s v="Sacramento"/>
    <n v="9806.7000000000007"/>
    <n v="0"/>
    <n v="9806.7000000000007"/>
    <n v="7896.76"/>
    <n v="1909.94"/>
    <n v="0.19475869000000001"/>
    <s v="Rayna Mitchell"/>
    <s v="Kate Ingelstrom"/>
    <s v="Rayna Mitchell"/>
    <n v="1"/>
  </r>
  <r>
    <s v="94233"/>
    <d v="2025-08-28T00:00:00"/>
    <x v="2"/>
    <x v="1"/>
    <s v="Sacramento"/>
    <n v="13407.2"/>
    <n v="0"/>
    <n v="13407.2"/>
    <n v="10686.41"/>
    <n v="2720.79"/>
    <n v="0.20293499000000001"/>
    <s v="Rayna Mitchell"/>
    <s v="Kate Ingelstrom"/>
    <s v="Rayna Mitchell"/>
    <n v="1"/>
  </r>
  <r>
    <s v="94269"/>
    <d v="2025-08-28T00:00:00"/>
    <x v="2"/>
    <x v="1"/>
    <s v="Sacramento"/>
    <n v="1469"/>
    <n v="0"/>
    <n v="1469"/>
    <n v="1223.56"/>
    <n v="245.44"/>
    <n v="0.16707965"/>
    <s v="Rayna Mitchell"/>
    <s v="Kate Ingelstrom"/>
    <s v="Rayna Mitchell"/>
    <n v="1"/>
  </r>
  <r>
    <s v="93056"/>
    <d v="2025-08-29T00:00:00"/>
    <x v="2"/>
    <x v="1"/>
    <s v="Sacramento"/>
    <n v="191131.16"/>
    <n v="0"/>
    <n v="191131.16"/>
    <n v="158829.32"/>
    <n v="32301.84"/>
    <n v="0.16900353000000001"/>
    <s v="Rayna Mitchell"/>
    <s v="Kate Ingelstrom"/>
    <s v="Rayna Mitchell"/>
    <n v="1"/>
  </r>
  <r>
    <s v="93821"/>
    <d v="2025-08-15T00:00:00"/>
    <x v="3"/>
    <x v="0"/>
    <s v="San Francisco"/>
    <n v="13357"/>
    <n v="0"/>
    <n v="13357"/>
    <n v="9853.84"/>
    <n v="3503.16"/>
    <n v="0.26227147000000001"/>
    <s v="Melissa Avalos"/>
    <s v="Owen Cunningham"/>
    <s v="Melissa Avalos"/>
    <n v="1"/>
  </r>
  <r>
    <s v="94060"/>
    <d v="2025-08-15T00:00:00"/>
    <x v="3"/>
    <x v="0"/>
    <s v="San Francisco"/>
    <n v="2217"/>
    <n v="0"/>
    <n v="2217"/>
    <n v="1583.86"/>
    <n v="633.14"/>
    <n v="0.28558412"/>
    <s v="Melissa Avalos"/>
    <s v="Owen Cunningham"/>
    <s v="Melissa Avalos"/>
    <n v="1"/>
  </r>
  <r>
    <s v="93266"/>
    <d v="2025-08-19T00:00:00"/>
    <x v="3"/>
    <x v="0"/>
    <s v="San Francisco"/>
    <n v="0"/>
    <n v="-1584"/>
    <n v="-1584"/>
    <n v="-931.79"/>
    <n v="-652.21"/>
    <n v="0.41174874"/>
    <s v="Melissa Avalos"/>
    <s v="Owen Cunningham"/>
    <s v="Melissa Avalos"/>
    <n v="0"/>
  </r>
  <r>
    <s v="94060"/>
    <d v="2025-08-26T00:00:00"/>
    <x v="3"/>
    <x v="0"/>
    <s v="San Francisco"/>
    <n v="0"/>
    <n v="0"/>
    <n v="0"/>
    <n v="-65.56"/>
    <n v="65.56"/>
    <n v="0"/>
    <s v="Melissa Avalos"/>
    <s v="Owen Cunningham"/>
    <s v="Melissa Avalos"/>
    <n v="0"/>
  </r>
  <r>
    <s v="93266"/>
    <d v="2025-08-28T00:00:00"/>
    <x v="3"/>
    <x v="0"/>
    <s v="San Francisco"/>
    <n v="0"/>
    <n v="0"/>
    <n v="0"/>
    <n v="-1072.96"/>
    <n v="1072.96"/>
    <n v="0"/>
    <s v="Melissa Avalos"/>
    <s v="Owen Cunningham"/>
    <s v="Melissa Avalos"/>
    <n v="0"/>
  </r>
  <r>
    <s v="93991"/>
    <d v="2025-08-18T00:00:00"/>
    <x v="4"/>
    <x v="2"/>
    <s v="Sacramento"/>
    <n v="645.14"/>
    <n v="0"/>
    <n v="645.14"/>
    <n v="451.83"/>
    <n v="193.31"/>
    <n v="0.29964038999999998"/>
    <s v="Rayna Mitchell"/>
    <s v="Alex Blangeres"/>
    <s v="Rayna Mitchell"/>
    <n v="1"/>
  </r>
  <r>
    <s v="85649"/>
    <d v="2025-08-01T00:00:00"/>
    <x v="5"/>
    <x v="0"/>
    <s v="San Francisco"/>
    <n v="0"/>
    <n v="0"/>
    <n v="0"/>
    <n v="13.58"/>
    <n v="-13.58"/>
    <n v="0"/>
    <s v="Carina Collison"/>
    <s v="Owen Cunningham"/>
    <s v="Carina Collison"/>
    <n v="0"/>
  </r>
  <r>
    <s v="93440"/>
    <d v="2025-08-01T00:00:00"/>
    <x v="5"/>
    <x v="0"/>
    <s v="San Francisco"/>
    <n v="0"/>
    <n v="-358.69"/>
    <n v="-358.69"/>
    <n v="-294.13"/>
    <n v="-64.56"/>
    <n v="0.17998829"/>
    <s v="Carina Collison"/>
    <s v="Owen Cunningham"/>
    <s v="Carina Collison"/>
    <n v="0"/>
  </r>
  <r>
    <s v="91206"/>
    <d v="2025-08-06T00:00:00"/>
    <x v="5"/>
    <x v="0"/>
    <s v="San Francisco"/>
    <n v="0"/>
    <n v="0"/>
    <n v="0"/>
    <n v="454.56"/>
    <n v="-454.56"/>
    <n v="0"/>
    <s v="Carina Collison"/>
    <s v="Owen Cunningham"/>
    <s v="Carina Collison"/>
    <n v="0"/>
  </r>
  <r>
    <s v="92956"/>
    <d v="2025-08-06T00:00:00"/>
    <x v="5"/>
    <x v="0"/>
    <s v="San Francisco"/>
    <n v="0"/>
    <n v="0"/>
    <n v="0"/>
    <n v="235.3"/>
    <n v="-235.3"/>
    <n v="0"/>
    <s v="Carina Collison"/>
    <s v="Owen Cunningham"/>
    <s v="Carina Collison"/>
    <n v="0"/>
  </r>
  <r>
    <s v="93881"/>
    <d v="2025-08-13T00:00:00"/>
    <x v="5"/>
    <x v="0"/>
    <s v="San Jose"/>
    <n v="7943.77"/>
    <n v="0"/>
    <n v="7943.77"/>
    <n v="5741.79"/>
    <n v="2201.98"/>
    <n v="0.27719584000000003"/>
    <s v="Carina Collison"/>
    <s v="Owen Cunningham"/>
    <s v="Carina Collison"/>
    <n v="1"/>
  </r>
  <r>
    <s v="91202"/>
    <d v="2025-08-22T00:00:00"/>
    <x v="5"/>
    <x v="0"/>
    <s v="San Francisco"/>
    <n v="1731.11"/>
    <n v="0"/>
    <n v="1731.11"/>
    <n v="1298.33"/>
    <n v="432.78"/>
    <n v="0.25000144000000002"/>
    <s v="Carina Collison"/>
    <s v="Owen Cunningham"/>
    <s v="Carina Collison"/>
    <n v="1"/>
  </r>
  <r>
    <s v="91202"/>
    <d v="2025-08-25T00:00:00"/>
    <x v="5"/>
    <x v="0"/>
    <s v="San Francisco"/>
    <n v="0"/>
    <n v="0"/>
    <n v="0"/>
    <n v="389.83"/>
    <n v="-389.83"/>
    <n v="0"/>
    <s v="Carina Collison"/>
    <s v="Owen Cunningham"/>
    <s v="Carina Collison"/>
    <n v="0"/>
  </r>
  <r>
    <s v="91206"/>
    <d v="2025-08-25T00:00:00"/>
    <x v="5"/>
    <x v="0"/>
    <s v="San Francisco"/>
    <n v="0"/>
    <n v="0"/>
    <n v="0"/>
    <n v="389.83"/>
    <n v="-389.83"/>
    <n v="0"/>
    <s v="Carina Collison"/>
    <s v="Owen Cunningham"/>
    <s v="Carina Collison"/>
    <n v="0"/>
  </r>
  <r>
    <s v="91202"/>
    <d v="2025-08-26T00:00:00"/>
    <x v="5"/>
    <x v="0"/>
    <s v="San Francisco"/>
    <n v="0"/>
    <n v="0"/>
    <n v="0"/>
    <n v="0.01"/>
    <n v="-0.01"/>
    <n v="0"/>
    <s v="Carina Collison"/>
    <s v="Owen Cunningham"/>
    <s v="Carina Collison"/>
    <n v="0"/>
  </r>
  <r>
    <s v="91346"/>
    <d v="2025-08-27T00:00:00"/>
    <x v="5"/>
    <x v="0"/>
    <s v="San Francisco"/>
    <n v="0"/>
    <n v="0"/>
    <n v="0"/>
    <n v="-300"/>
    <n v="300"/>
    <n v="0"/>
    <s v="Carina Collison"/>
    <s v="Owen Cunningham"/>
    <s v="Carina Collison"/>
    <n v="0"/>
  </r>
  <r>
    <s v="89703"/>
    <d v="2025-08-21T00:00:00"/>
    <x v="6"/>
    <x v="3"/>
    <s v="San Jose"/>
    <n v="0"/>
    <n v="0"/>
    <n v="0"/>
    <n v="95"/>
    <n v="-95"/>
    <n v="0"/>
    <s v="Mary Sparacino"/>
    <s v="Chris Cicisly"/>
    <s v="Mary Sparacino"/>
    <n v="0"/>
  </r>
  <r>
    <s v="93070"/>
    <d v="2025-08-04T00:00:00"/>
    <x v="7"/>
    <x v="4"/>
    <s v="Sacramento"/>
    <n v="0"/>
    <n v="0"/>
    <n v="0"/>
    <n v="120.36"/>
    <n v="-120.36"/>
    <n v="0"/>
    <s v="Farrah Race"/>
    <s v="Alex Blangeres"/>
    <s v="Farrah Race"/>
    <n v="0"/>
  </r>
  <r>
    <s v="93764"/>
    <d v="2025-08-04T00:00:00"/>
    <x v="8"/>
    <x v="5"/>
    <s v="San Francisco"/>
    <n v="379"/>
    <n v="0"/>
    <n v="379"/>
    <n v="265.07"/>
    <n v="113.93"/>
    <n v="0.30060685999999998"/>
    <s v="Chryslyn Perkins,Lovina Vasudeva"/>
    <s v="Jill Marsh"/>
    <s v="Chryslyn Perkins"/>
    <n v="1"/>
  </r>
  <r>
    <s v="94041"/>
    <d v="2025-08-18T00:00:00"/>
    <x v="8"/>
    <x v="6"/>
    <s v="Sacramento"/>
    <n v="4344.32"/>
    <n v="0"/>
    <n v="4344.32"/>
    <n v="3275.45"/>
    <n v="1068.8699999999999"/>
    <n v="0.24603850999999999"/>
    <s v="Erika Duarte"/>
    <s v="Kate Ingelstrom"/>
    <s v="Erika Duarte"/>
    <n v="1"/>
  </r>
  <r>
    <s v="92994"/>
    <d v="2025-08-01T00:00:00"/>
    <x v="9"/>
    <x v="3"/>
    <s v="San Jose"/>
    <n v="5770"/>
    <n v="0"/>
    <n v="5770"/>
    <n v="4276.83"/>
    <n v="1493.17"/>
    <n v="0.25878162999999998"/>
    <s v="Mary Sparacino"/>
    <s v="Chris Cicisly"/>
    <s v="Mary Sparacino"/>
    <n v="1"/>
  </r>
  <r>
    <s v="92436"/>
    <d v="2025-08-27T00:00:00"/>
    <x v="10"/>
    <x v="7"/>
    <s v="San Francisco"/>
    <n v="0"/>
    <n v="0"/>
    <n v="0"/>
    <n v="1752.98"/>
    <n v="-1752.98"/>
    <n v="0"/>
    <s v="Hana Estrada"/>
    <s v="Jill Marsh"/>
    <s v="Hana Estrada"/>
    <n v="0"/>
  </r>
  <r>
    <s v="94063"/>
    <d v="2025-08-18T00:00:00"/>
    <x v="11"/>
    <x v="3"/>
    <s v="San Jose"/>
    <n v="6152"/>
    <n v="0"/>
    <n v="6152"/>
    <n v="4586.7"/>
    <n v="1565.3"/>
    <n v="0.25443758"/>
    <s v="Maria Estrada"/>
    <s v="Chris Cicisly"/>
    <s v="Maria Estrada"/>
    <n v="1"/>
  </r>
  <r>
    <s v="94063"/>
    <d v="2025-08-21T00:00:00"/>
    <x v="11"/>
    <x v="3"/>
    <s v="San Jose"/>
    <n v="0"/>
    <n v="0"/>
    <n v="0"/>
    <n v="85.5"/>
    <n v="-85.5"/>
    <n v="0"/>
    <s v="Maria Estrada"/>
    <s v="Chris Cicisly"/>
    <s v="Maria Estrada"/>
    <n v="0"/>
  </r>
  <r>
    <s v="92656"/>
    <d v="2025-08-26T00:00:00"/>
    <x v="11"/>
    <x v="3"/>
    <s v="San Jose"/>
    <n v="0"/>
    <n v="0"/>
    <n v="0"/>
    <n v="235.3"/>
    <n v="-235.3"/>
    <n v="0"/>
    <s v="Maria Estrada"/>
    <s v="Chris Cicisly"/>
    <s v="Maria Estrada"/>
    <n v="0"/>
  </r>
  <r>
    <s v="94160"/>
    <d v="2025-08-26T00:00:00"/>
    <x v="11"/>
    <x v="3"/>
    <s v="San Jose"/>
    <n v="4088.14"/>
    <n v="0"/>
    <n v="4088.14"/>
    <n v="2633.6"/>
    <n v="1454.54"/>
    <n v="0.35579506"/>
    <s v="Maria Estrada"/>
    <s v="Chris Cicisly"/>
    <s v="Maria Estrada"/>
    <n v="1"/>
  </r>
  <r>
    <s v="90669"/>
    <d v="2025-08-01T00:00:00"/>
    <x v="12"/>
    <x v="3"/>
    <s v="San Jose"/>
    <n v="0"/>
    <n v="-1316.41"/>
    <n v="-1316.41"/>
    <n v="0"/>
    <n v="-1316.41"/>
    <n v="1"/>
    <s v="Nathasha Cherubin"/>
    <s v="Chris Cicisly"/>
    <s v="Other"/>
    <n v="0"/>
  </r>
  <r>
    <s v="93621"/>
    <d v="2025-08-04T00:00:00"/>
    <x v="13"/>
    <x v="6"/>
    <s v="San Jose"/>
    <n v="39195.39"/>
    <n v="0"/>
    <n v="39195.39"/>
    <n v="29396.59"/>
    <n v="9798.7999999999993"/>
    <n v="0.24999879"/>
    <s v="Carina Collison"/>
    <s v="Kate Ingelstrom"/>
    <s v="Carina Collison"/>
    <n v="1"/>
  </r>
  <r>
    <s v="91951"/>
    <d v="2025-08-06T00:00:00"/>
    <x v="14"/>
    <x v="8"/>
    <s v="San Francisco"/>
    <n v="0"/>
    <n v="0"/>
    <n v="0"/>
    <n v="1187.1600000000001"/>
    <n v="-1187.1600000000001"/>
    <n v="0"/>
    <s v="Paul Razo,Saoirse O'Connor"/>
    <s v="Olivia Gorfain"/>
    <s v="Paul Razo"/>
    <n v="0"/>
  </r>
  <r>
    <s v="91951"/>
    <d v="2025-08-13T00:00:00"/>
    <x v="14"/>
    <x v="8"/>
    <s v="San Francisco"/>
    <n v="0"/>
    <n v="0"/>
    <n v="0"/>
    <n v="-413.87"/>
    <n v="413.87"/>
    <n v="0"/>
    <s v="Paul Razo,Saoirse O'Connor"/>
    <s v="Olivia Gorfain"/>
    <s v="Paul Razo"/>
    <n v="0"/>
  </r>
  <r>
    <s v="93138"/>
    <d v="2025-08-05T00:00:00"/>
    <x v="15"/>
    <x v="9"/>
    <s v="San Francisco"/>
    <n v="15018.3"/>
    <n v="0"/>
    <n v="15018.3"/>
    <n v="11554.37"/>
    <n v="3463.93"/>
    <n v="0.23064728000000001"/>
    <s v="Hana Estrada,Paul Razo"/>
    <s v="Jill Marsh"/>
    <s v="Hana Estrada"/>
    <n v="1"/>
  </r>
  <r>
    <s v="93138"/>
    <d v="2025-08-09T00:00:00"/>
    <x v="15"/>
    <x v="9"/>
    <s v="San Francisco"/>
    <n v="0"/>
    <n v="0"/>
    <n v="0"/>
    <n v="-84"/>
    <n v="84"/>
    <n v="0"/>
    <s v="Hana Estrada,Paul Razo"/>
    <s v="Jill Marsh"/>
    <s v="Hana Estrada"/>
    <n v="0"/>
  </r>
  <r>
    <s v="94100"/>
    <d v="2025-08-19T00:00:00"/>
    <x v="16"/>
    <x v="9"/>
    <s v="San Francisco"/>
    <n v="961.54"/>
    <n v="0"/>
    <n v="961.54"/>
    <n v="735.31"/>
    <n v="226.23"/>
    <n v="0.23527882"/>
    <s v="Hana Estrada,Paul Razo"/>
    <s v="Jill Marsh"/>
    <s v="Hana Estrada"/>
    <n v="1"/>
  </r>
  <r>
    <s v="93624"/>
    <d v="2025-08-25T00:00:00"/>
    <x v="16"/>
    <x v="9"/>
    <s v="San Francisco"/>
    <n v="3997.69"/>
    <n v="0"/>
    <n v="3997.69"/>
    <n v="3112.82"/>
    <n v="884.87"/>
    <n v="0.22134533000000001"/>
    <s v="Hana Estrada,Paul Razo"/>
    <s v="Jill Marsh"/>
    <s v="Hana Estrada"/>
    <n v="1"/>
  </r>
  <r>
    <s v="92563"/>
    <d v="2025-08-27T00:00:00"/>
    <x v="16"/>
    <x v="9"/>
    <s v="San Francisco"/>
    <n v="60990.57"/>
    <n v="0"/>
    <n v="60990.57"/>
    <n v="49160.53"/>
    <n v="11830.04"/>
    <n v="0.19396506999999999"/>
    <s v="Hana Estrada,Paul Razo"/>
    <s v="Jill Marsh"/>
    <s v="Hana Estrada"/>
    <n v="1"/>
  </r>
  <r>
    <s v="92563"/>
    <d v="2025-08-29T00:00:00"/>
    <x v="16"/>
    <x v="9"/>
    <s v="San Francisco"/>
    <n v="0"/>
    <n v="0"/>
    <n v="0"/>
    <n v="-3547.15"/>
    <n v="3547.15"/>
    <n v="0"/>
    <s v="Hana Estrada,Paul Razo"/>
    <s v="Jill Marsh"/>
    <s v="Hana Estrada"/>
    <n v="0"/>
  </r>
  <r>
    <s v="90447"/>
    <d v="2025-08-29T00:00:00"/>
    <x v="16"/>
    <x v="9"/>
    <s v="San Francisco"/>
    <n v="0"/>
    <n v="0"/>
    <n v="0"/>
    <n v="-76.47"/>
    <n v="76.47"/>
    <n v="0"/>
    <s v="Paul Razo"/>
    <s v="Jill Marsh"/>
    <s v="Paul Razo"/>
    <n v="0"/>
  </r>
  <r>
    <s v="93823"/>
    <d v="2025-08-16T00:00:00"/>
    <x v="17"/>
    <x v="10"/>
    <s v="Sacramento"/>
    <n v="16708.48"/>
    <n v="0"/>
    <n v="16708.48"/>
    <n v="13366.78"/>
    <n v="3341.7"/>
    <n v="0.20000024"/>
    <s v="Erika Duarte"/>
    <s v="Simon Sheppard"/>
    <s v="Erika Duarte"/>
    <n v="1"/>
  </r>
  <r>
    <s v="89105"/>
    <d v="2025-08-26T00:00:00"/>
    <x v="18"/>
    <x v="11"/>
    <s v="San Francisco"/>
    <n v="0"/>
    <n v="0"/>
    <n v="0"/>
    <n v="205.89"/>
    <n v="-205.89"/>
    <n v="0"/>
    <s v="Chryslyn Perkins,Frances Kim"/>
    <s v="Jill Marsh"/>
    <s v="Frances Kim"/>
    <n v="0"/>
  </r>
  <r>
    <s v="92504"/>
    <d v="2025-08-20T00:00:00"/>
    <x v="19"/>
    <x v="12"/>
    <s v="San Jose"/>
    <n v="2356.15"/>
    <n v="0"/>
    <n v="2356.15"/>
    <n v="1822.3"/>
    <n v="533.85"/>
    <n v="0.22657726"/>
    <s v="Troy Ocariza"/>
    <s v="Troy Ocariza"/>
    <s v="Troy Ocariza"/>
    <n v="1"/>
  </r>
  <r>
    <s v="92504"/>
    <d v="2025-08-22T00:00:00"/>
    <x v="19"/>
    <x v="12"/>
    <s v="San Jose"/>
    <n v="0"/>
    <n v="0"/>
    <n v="0"/>
    <n v="11.24"/>
    <n v="-11.24"/>
    <n v="0"/>
    <s v="Troy Ocariza"/>
    <s v="Troy Ocariza"/>
    <s v="Troy Ocariza"/>
    <n v="0"/>
  </r>
  <r>
    <s v="93759"/>
    <d v="2025-08-07T00:00:00"/>
    <x v="20"/>
    <x v="8"/>
    <s v="San Francisco"/>
    <n v="8839.06"/>
    <n v="0"/>
    <n v="8839.06"/>
    <n v="6839.98"/>
    <n v="1999.08"/>
    <n v="0.22616432"/>
    <s v="Josie Maitlen"/>
    <s v="Olivia Gorfain"/>
    <s v="Josie Maitlen"/>
    <n v="1"/>
  </r>
  <r>
    <s v="93911"/>
    <d v="2025-08-12T00:00:00"/>
    <x v="20"/>
    <x v="8"/>
    <s v="San Francisco"/>
    <n v="56207.519999999997"/>
    <n v="0"/>
    <n v="56207.519999999997"/>
    <n v="42076.3"/>
    <n v="14131.22"/>
    <n v="0.25141154999999998"/>
    <s v="Josie Maitlen"/>
    <s v="Olivia Gorfain"/>
    <s v="Josie Maitlen"/>
    <n v="1"/>
  </r>
  <r>
    <s v="93911"/>
    <d v="2025-08-15T00:00:00"/>
    <x v="20"/>
    <x v="8"/>
    <s v="San Francisco"/>
    <n v="0"/>
    <n v="0"/>
    <n v="0"/>
    <n v="-300"/>
    <n v="300"/>
    <n v="0"/>
    <s v="Josie Maitlen"/>
    <s v="Olivia Gorfain"/>
    <s v="Josie Maitlen"/>
    <n v="0"/>
  </r>
  <r>
    <s v="89645"/>
    <d v="2025-08-18T00:00:00"/>
    <x v="20"/>
    <x v="8"/>
    <s v="San Francisco"/>
    <n v="0"/>
    <n v="1403.47"/>
    <n v="1403.47"/>
    <n v="1192.95"/>
    <n v="210.52"/>
    <n v="0.14999963999999999"/>
    <s v="Josie Maitlen"/>
    <s v="Olivia Gorfain"/>
    <s v="Josie Maitlen"/>
    <n v="0"/>
  </r>
  <r>
    <s v="93911"/>
    <d v="2025-08-18T00:00:00"/>
    <x v="20"/>
    <x v="8"/>
    <s v="San Francisco"/>
    <n v="0"/>
    <n v="0"/>
    <n v="0"/>
    <n v="99.2"/>
    <n v="-99.2"/>
    <n v="0"/>
    <s v="Josie Maitlen"/>
    <s v="Olivia Gorfain"/>
    <s v="Josie Maitlen"/>
    <n v="0"/>
  </r>
  <r>
    <s v="93759"/>
    <d v="2025-08-21T00:00:00"/>
    <x v="20"/>
    <x v="8"/>
    <s v="San Francisco"/>
    <n v="0"/>
    <n v="0"/>
    <n v="0"/>
    <n v="72.010000000000005"/>
    <n v="-72.010000000000005"/>
    <n v="0"/>
    <s v="Josie Maitlen"/>
    <s v="Olivia Gorfain"/>
    <s v="Josie Maitlen"/>
    <n v="0"/>
  </r>
  <r>
    <s v="89645"/>
    <d v="2025-08-22T00:00:00"/>
    <x v="20"/>
    <x v="8"/>
    <s v="San Francisco"/>
    <n v="0"/>
    <n v="0"/>
    <n v="0"/>
    <n v="217.5"/>
    <n v="-217.5"/>
    <n v="0"/>
    <s v="Josie Maitlen"/>
    <s v="Olivia Gorfain"/>
    <s v="Josie Maitlen"/>
    <n v="0"/>
  </r>
  <r>
    <s v="93776"/>
    <d v="2025-08-22T00:00:00"/>
    <x v="21"/>
    <x v="3"/>
    <s v="San Jose"/>
    <n v="660"/>
    <n v="0"/>
    <n v="660"/>
    <n v="400"/>
    <n v="260"/>
    <n v="0.39393939"/>
    <s v="Mary Sparacino"/>
    <s v="Chris Cicisly"/>
    <s v="Mary Sparacino"/>
    <n v="1"/>
  </r>
  <r>
    <s v="93406"/>
    <d v="2025-08-08T00:00:00"/>
    <x v="22"/>
    <x v="6"/>
    <s v="San Jose"/>
    <n v="0"/>
    <n v="0"/>
    <n v="0"/>
    <n v="3527.44"/>
    <n v="-3527.44"/>
    <n v="0"/>
    <s v="Erika Duarte"/>
    <s v="Kate Ingelstrom"/>
    <s v="Erika Duarte"/>
    <n v="0"/>
  </r>
  <r>
    <s v="93406"/>
    <d v="2025-08-13T00:00:00"/>
    <x v="22"/>
    <x v="6"/>
    <s v="San Jose"/>
    <n v="0"/>
    <n v="0"/>
    <n v="0"/>
    <n v="1294.74"/>
    <n v="-1294.74"/>
    <n v="0"/>
    <s v="Erika Duarte"/>
    <s v="Kate Ingelstrom"/>
    <s v="Erika Duarte"/>
    <n v="0"/>
  </r>
  <r>
    <s v="90129"/>
    <d v="2025-08-12T00:00:00"/>
    <x v="23"/>
    <x v="2"/>
    <s v="Sacramento"/>
    <n v="15589.85"/>
    <n v="0"/>
    <n v="15589.85"/>
    <n v="12088.07"/>
    <n v="3501.78"/>
    <n v="0.22461922000000001"/>
    <s v="Andrea Greever"/>
    <s v="Alex Blangeres"/>
    <s v="Andrea Greever"/>
    <n v="1"/>
  </r>
  <r>
    <s v="90129"/>
    <d v="2025-08-18T00:00:00"/>
    <x v="23"/>
    <x v="2"/>
    <s v="Sacramento"/>
    <n v="0"/>
    <n v="0"/>
    <n v="0"/>
    <n v="-1.34"/>
    <n v="1.34"/>
    <n v="0"/>
    <s v="Andrea Greever"/>
    <s v="Alex Blangeres"/>
    <s v="Andrea Greever"/>
    <n v="0"/>
  </r>
  <r>
    <s v="93928"/>
    <d v="2025-08-27T00:00:00"/>
    <x v="24"/>
    <x v="5"/>
    <s v="San Francisco"/>
    <n v="731"/>
    <n v="0"/>
    <n v="731"/>
    <n v="528.77"/>
    <n v="202.23"/>
    <n v="0.27664843"/>
    <s v="Chryslyn Perkins"/>
    <s v="Jill Marsh"/>
    <s v="Chryslyn Perkins"/>
    <n v="1"/>
  </r>
  <r>
    <s v="93234"/>
    <d v="2025-08-01T00:00:00"/>
    <x v="25"/>
    <x v="10"/>
    <s v="Sacramento"/>
    <n v="0"/>
    <n v="0"/>
    <n v="0"/>
    <n v="-2451.4499999999998"/>
    <n v="2451.4499999999998"/>
    <n v="0"/>
    <s v="Andrea Greever"/>
    <s v="Simon Sheppard"/>
    <s v="Andrea Greever"/>
    <n v="0"/>
  </r>
  <r>
    <s v="93234"/>
    <d v="2025-08-04T00:00:00"/>
    <x v="25"/>
    <x v="10"/>
    <s v="Sacramento"/>
    <n v="0"/>
    <n v="0"/>
    <n v="0"/>
    <n v="-273.63"/>
    <n v="273.63"/>
    <n v="0"/>
    <s v="Andrea Greever"/>
    <s v="Simon Sheppard"/>
    <s v="Andrea Greever"/>
    <n v="0"/>
  </r>
  <r>
    <s v="93226"/>
    <d v="2025-08-07T00:00:00"/>
    <x v="25"/>
    <x v="10"/>
    <s v="Sacramento"/>
    <n v="0"/>
    <n v="0"/>
    <n v="0"/>
    <n v="-1344"/>
    <n v="1344"/>
    <n v="0"/>
    <s v="Andrea Greever"/>
    <s v="Simon Sheppard"/>
    <s v="Andrea Greever"/>
    <n v="0"/>
  </r>
  <r>
    <s v="93234"/>
    <d v="2025-08-07T00:00:00"/>
    <x v="25"/>
    <x v="10"/>
    <s v="Sacramento"/>
    <n v="0"/>
    <n v="0"/>
    <n v="0"/>
    <n v="-149.01"/>
    <n v="149.01"/>
    <n v="0"/>
    <s v="Andrea Greever"/>
    <s v="Simon Sheppard"/>
    <s v="Andrea Greever"/>
    <n v="0"/>
  </r>
  <r>
    <s v="93226"/>
    <d v="2025-08-08T00:00:00"/>
    <x v="25"/>
    <x v="10"/>
    <s v="Sacramento"/>
    <n v="0"/>
    <n v="-1280"/>
    <n v="-1280"/>
    <n v="-229.73"/>
    <n v="-1050.27"/>
    <n v="0.82052343999999999"/>
    <s v="Andrea Greever"/>
    <s v="Simon Sheppard"/>
    <s v="Andrea Greever"/>
    <n v="0"/>
  </r>
  <r>
    <s v="93226"/>
    <d v="2025-08-11T00:00:00"/>
    <x v="25"/>
    <x v="10"/>
    <s v="Sacramento"/>
    <n v="0"/>
    <n v="0"/>
    <n v="0"/>
    <n v="34.44"/>
    <n v="-34.44"/>
    <n v="0"/>
    <s v="Andrea Greever"/>
    <s v="Simon Sheppard"/>
    <s v="Andrea Greever"/>
    <n v="0"/>
  </r>
  <r>
    <s v="93226"/>
    <d v="2025-08-12T00:00:00"/>
    <x v="25"/>
    <x v="10"/>
    <s v="Sacramento"/>
    <n v="0"/>
    <n v="0"/>
    <n v="0"/>
    <n v="1517.33"/>
    <n v="-1517.33"/>
    <n v="0"/>
    <s v="Andrea Greever"/>
    <s v="Simon Sheppard"/>
    <s v="Andrea Greever"/>
    <n v="0"/>
  </r>
  <r>
    <s v="93477"/>
    <d v="2025-08-18T00:00:00"/>
    <x v="25"/>
    <x v="10"/>
    <s v="Sacramento"/>
    <n v="4178.25"/>
    <n v="0"/>
    <n v="4178.25"/>
    <n v="3270.94"/>
    <n v="907.31"/>
    <n v="0.21715071999999999"/>
    <s v="Andrea Greever"/>
    <s v="Simon Sheppard"/>
    <s v="Andrea Greever"/>
    <n v="1"/>
  </r>
  <r>
    <s v="93226"/>
    <d v="2025-08-19T00:00:00"/>
    <x v="25"/>
    <x v="10"/>
    <s v="Sacramento"/>
    <n v="0"/>
    <n v="0"/>
    <n v="0"/>
    <n v="-2850.64"/>
    <n v="2850.64"/>
    <n v="0"/>
    <s v="Andrea Greever"/>
    <s v="Simon Sheppard"/>
    <s v="Andrea Greever"/>
    <n v="0"/>
  </r>
  <r>
    <s v="91517"/>
    <d v="2025-08-28T00:00:00"/>
    <x v="26"/>
    <x v="10"/>
    <s v="Sacramento"/>
    <n v="8570"/>
    <n v="0"/>
    <n v="8570"/>
    <n v="3641"/>
    <n v="4929"/>
    <n v="0.57514586000000001"/>
    <s v="Andrea Greever"/>
    <s v="Simon Sheppard"/>
    <s v="Andrea Greever"/>
    <n v="1"/>
  </r>
  <r>
    <s v="91517"/>
    <d v="2025-08-30T00:00:00"/>
    <x v="26"/>
    <x v="10"/>
    <s v="Sacramento"/>
    <n v="0"/>
    <n v="0"/>
    <n v="0"/>
    <n v="42.5"/>
    <n v="-42.5"/>
    <n v="0"/>
    <s v="Andrea Greever"/>
    <s v="Simon Sheppard"/>
    <s v="Andrea Greever"/>
    <n v="0"/>
  </r>
  <r>
    <s v="93655"/>
    <d v="2025-08-04T00:00:00"/>
    <x v="27"/>
    <x v="13"/>
    <s v="Sacramento"/>
    <n v="3240"/>
    <n v="0"/>
    <n v="3240"/>
    <n v="2101.5"/>
    <n v="1138.5"/>
    <n v="0.35138889000000001"/>
    <s v="Rayna Mitchell"/>
    <s v="Alex Blangeres"/>
    <s v="Rayna Mitchell"/>
    <n v="1"/>
  </r>
  <r>
    <s v="93933"/>
    <d v="2025-08-27T00:00:00"/>
    <x v="28"/>
    <x v="14"/>
    <s v="San Jose"/>
    <n v="204483.95"/>
    <n v="0"/>
    <n v="204483.95"/>
    <n v="170090"/>
    <n v="34393.949999999997"/>
    <n v="0.16819877999999999"/>
    <s v="Jillian Galla"/>
    <s v="Kate Ingelstrom"/>
    <s v="Other"/>
    <n v="1"/>
  </r>
  <r>
    <s v="93933"/>
    <d v="2025-08-28T00:00:00"/>
    <x v="28"/>
    <x v="14"/>
    <s v="San Jose"/>
    <n v="0"/>
    <n v="2474"/>
    <n v="2474"/>
    <n v="1979.33"/>
    <n v="494.67"/>
    <n v="0.19994745"/>
    <s v="Jillian Galla"/>
    <s v="Kate Ingelstrom"/>
    <s v="Other"/>
    <n v="0"/>
  </r>
  <r>
    <s v="93933"/>
    <d v="2025-08-29T00:00:00"/>
    <x v="28"/>
    <x v="14"/>
    <s v="San Jose"/>
    <n v="0"/>
    <n v="0"/>
    <n v="0"/>
    <n v="-92.82"/>
    <n v="92.82"/>
    <n v="0"/>
    <s v="Jillian Galla"/>
    <s v="Kate Ingelstrom"/>
    <s v="Other"/>
    <n v="0"/>
  </r>
  <r>
    <s v="92506"/>
    <d v="2025-08-04T00:00:00"/>
    <x v="29"/>
    <x v="12"/>
    <s v="San Jose"/>
    <n v="0"/>
    <n v="0"/>
    <n v="0"/>
    <n v="164.85"/>
    <n v="-164.85"/>
    <n v="0"/>
    <s v="Maria Estrada"/>
    <s v="Troy Ocariza"/>
    <s v="Maria Estrada"/>
    <n v="0"/>
  </r>
  <r>
    <s v="91870"/>
    <d v="2025-08-11T00:00:00"/>
    <x v="29"/>
    <x v="12"/>
    <s v="San Jose"/>
    <n v="0"/>
    <n v="0"/>
    <n v="0"/>
    <n v="411.77"/>
    <n v="-411.77"/>
    <n v="0"/>
    <s v="Maria Estrada"/>
    <s v="Troy Ocariza"/>
    <s v="Maria Estrada"/>
    <n v="0"/>
  </r>
  <r>
    <s v="93887"/>
    <d v="2025-08-14T00:00:00"/>
    <x v="29"/>
    <x v="12"/>
    <s v="San Jose"/>
    <n v="1165"/>
    <n v="0"/>
    <n v="1165"/>
    <n v="873.55"/>
    <n v="291.45"/>
    <n v="0.25017167000000001"/>
    <s v="Maria Estrada"/>
    <s v="Troy Ocariza"/>
    <s v="Maria Estrada"/>
    <n v="1"/>
  </r>
  <r>
    <s v="90381"/>
    <d v="2025-08-18T00:00:00"/>
    <x v="29"/>
    <x v="12"/>
    <s v="San Jose"/>
    <n v="0"/>
    <n v="0"/>
    <n v="0"/>
    <n v="339.4"/>
    <n v="-339.4"/>
    <n v="0"/>
    <s v="Maria Estrada"/>
    <s v="Troy Ocariza"/>
    <s v="Maria Estrada"/>
    <n v="0"/>
  </r>
  <r>
    <s v="90381"/>
    <d v="2025-08-21T00:00:00"/>
    <x v="29"/>
    <x v="12"/>
    <s v="San Jose"/>
    <n v="0"/>
    <n v="0"/>
    <n v="0"/>
    <n v="3037.5"/>
    <n v="-3037.5"/>
    <n v="0"/>
    <s v="Maria Estrada"/>
    <s v="Troy Ocariza"/>
    <s v="Maria Estrada"/>
    <n v="0"/>
  </r>
  <r>
    <s v="90382"/>
    <d v="2025-08-21T00:00:00"/>
    <x v="29"/>
    <x v="12"/>
    <s v="San Jose"/>
    <n v="0"/>
    <n v="0"/>
    <n v="0"/>
    <n v="2370"/>
    <n v="-2370"/>
    <n v="0"/>
    <s v="Maria Estrada"/>
    <s v="Troy Ocariza"/>
    <s v="Maria Estrada"/>
    <n v="0"/>
  </r>
  <r>
    <s v="90577"/>
    <d v="2025-08-21T00:00:00"/>
    <x v="29"/>
    <x v="12"/>
    <s v="San Jose"/>
    <n v="0"/>
    <n v="0"/>
    <n v="0"/>
    <n v="-274.13"/>
    <n v="274.13"/>
    <n v="0"/>
    <s v="Maria Estrada"/>
    <s v="Troy Ocariza"/>
    <s v="Maria Estrada"/>
    <n v="0"/>
  </r>
  <r>
    <s v="92506"/>
    <d v="2025-08-21T00:00:00"/>
    <x v="29"/>
    <x v="12"/>
    <s v="San Jose"/>
    <n v="0"/>
    <n v="0"/>
    <n v="0"/>
    <n v="96.69"/>
    <n v="-96.69"/>
    <n v="0"/>
    <s v="Maria Estrada"/>
    <s v="Troy Ocariza"/>
    <s v="Maria Estrada"/>
    <n v="0"/>
  </r>
  <r>
    <s v="93342"/>
    <d v="2025-08-21T00:00:00"/>
    <x v="29"/>
    <x v="12"/>
    <s v="San Jose"/>
    <n v="0"/>
    <n v="0"/>
    <n v="0"/>
    <n v="-793.97"/>
    <n v="793.97"/>
    <n v="0"/>
    <s v="Maria Estrada"/>
    <s v="Troy Ocariza"/>
    <s v="Maria Estrada"/>
    <n v="0"/>
  </r>
  <r>
    <s v="93342"/>
    <d v="2025-08-26T00:00:00"/>
    <x v="29"/>
    <x v="12"/>
    <s v="San Jose"/>
    <n v="0"/>
    <n v="-510"/>
    <n v="-510"/>
    <n v="411.78"/>
    <n v="-921.78"/>
    <n v="1.8074117599999999"/>
    <s v="Maria Estrada"/>
    <s v="Troy Ocariza"/>
    <s v="Maria Estrada"/>
    <n v="0"/>
  </r>
  <r>
    <s v="90577"/>
    <d v="2025-08-27T00:00:00"/>
    <x v="29"/>
    <x v="12"/>
    <s v="San Jose"/>
    <n v="0"/>
    <n v="0"/>
    <n v="0"/>
    <n v="561.54999999999995"/>
    <n v="-561.54999999999995"/>
    <n v="0"/>
    <s v="Maria Estrada"/>
    <s v="Troy Ocariza"/>
    <s v="Maria Estrada"/>
    <n v="0"/>
  </r>
  <r>
    <s v="90577"/>
    <d v="2025-08-29T00:00:00"/>
    <x v="29"/>
    <x v="12"/>
    <s v="San Jose"/>
    <n v="0"/>
    <n v="393"/>
    <n v="393"/>
    <n v="115.86"/>
    <n v="277.14"/>
    <n v="0.70519083999999999"/>
    <s v="Maria Estrada"/>
    <s v="Troy Ocariza"/>
    <s v="Maria Estrada"/>
    <n v="0"/>
  </r>
  <r>
    <s v="89560"/>
    <d v="2025-08-20T00:00:00"/>
    <x v="30"/>
    <x v="8"/>
    <s v="San Francisco"/>
    <n v="0"/>
    <n v="0"/>
    <n v="0"/>
    <n v="-20325"/>
    <n v="20325"/>
    <n v="0"/>
    <s v="Anthony Pantaleoni"/>
    <s v="Olivia Gorfain"/>
    <s v="Anthony Pantaleoni"/>
    <n v="0"/>
  </r>
  <r>
    <s v="89560"/>
    <d v="2025-08-22T00:00:00"/>
    <x v="30"/>
    <x v="8"/>
    <s v="San Francisco"/>
    <n v="0"/>
    <n v="0"/>
    <n v="0"/>
    <n v="50.45"/>
    <n v="-50.45"/>
    <n v="0"/>
    <s v="Anthony Pantaleoni"/>
    <s v="Olivia Gorfain"/>
    <s v="Anthony Pantaleoni"/>
    <n v="0"/>
  </r>
  <r>
    <s v="93597"/>
    <d v="2025-08-26T00:00:00"/>
    <x v="31"/>
    <x v="2"/>
    <s v="Sacramento"/>
    <n v="138107.74"/>
    <n v="0"/>
    <n v="138107.74"/>
    <n v="110701.96"/>
    <n v="27405.78"/>
    <n v="0.19843768000000001"/>
    <s v="Rayna Mitchell"/>
    <s v="Alex Blangeres"/>
    <s v="Rayna Mitchell"/>
    <n v="1"/>
  </r>
  <r>
    <s v="93537"/>
    <d v="2025-08-04T00:00:00"/>
    <x v="32"/>
    <x v="0"/>
    <s v="San Francisco"/>
    <n v="0"/>
    <n v="0"/>
    <n v="0"/>
    <n v="3.65"/>
    <n v="-3.65"/>
    <n v="0"/>
    <s v="Frances Kim,Kimi Katsuyoshi"/>
    <s v="Owen Cunningham"/>
    <s v="Frances Kim"/>
    <n v="0"/>
  </r>
  <r>
    <s v="93537"/>
    <d v="2025-08-05T00:00:00"/>
    <x v="32"/>
    <x v="0"/>
    <s v="San Francisco"/>
    <n v="0"/>
    <n v="-4.5"/>
    <n v="-4.5"/>
    <n v="7.85"/>
    <n v="-12.35"/>
    <n v="2.7444444400000001"/>
    <s v="Frances Kim,Kimi Katsuyoshi"/>
    <s v="Owen Cunningham"/>
    <s v="Frances Kim"/>
    <n v="0"/>
  </r>
  <r>
    <s v="93537"/>
    <d v="2025-08-06T00:00:00"/>
    <x v="32"/>
    <x v="0"/>
    <s v="San Francisco"/>
    <n v="0"/>
    <n v="0"/>
    <n v="0"/>
    <n v="13.5"/>
    <n v="-13.5"/>
    <n v="0"/>
    <s v="Frances Kim,Kimi Katsuyoshi"/>
    <s v="Owen Cunningham"/>
    <s v="Frances Kim"/>
    <n v="0"/>
  </r>
  <r>
    <s v="94117"/>
    <d v="2025-08-19T00:00:00"/>
    <x v="32"/>
    <x v="0"/>
    <s v="San Francisco"/>
    <n v="962"/>
    <n v="0"/>
    <n v="962"/>
    <n v="735.31"/>
    <n v="226.69"/>
    <n v="0.23564449000000001"/>
    <s v="Frances Kim,Kimi Katsuyoshi"/>
    <s v="Owen Cunningham"/>
    <s v="Frances Kim"/>
    <n v="1"/>
  </r>
  <r>
    <s v="94117"/>
    <d v="2025-08-25T00:00:00"/>
    <x v="32"/>
    <x v="0"/>
    <s v="San Francisco"/>
    <n v="0"/>
    <n v="0"/>
    <n v="0"/>
    <n v="-670.6"/>
    <n v="670.6"/>
    <n v="0"/>
    <s v="Frances Kim,Kimi Katsuyoshi"/>
    <s v="Owen Cunningham"/>
    <s v="Frances Kim"/>
    <n v="0"/>
  </r>
  <r>
    <s v="94240"/>
    <d v="2025-08-27T00:00:00"/>
    <x v="33"/>
    <x v="4"/>
    <s v="Sacramento"/>
    <n v="0"/>
    <n v="0"/>
    <n v="0"/>
    <n v="1319.7"/>
    <n v="-1319.7"/>
    <n v="0"/>
    <s v="Farrah Race,Shayle Wallis"/>
    <s v="Alex Blangeres"/>
    <s v="Farrah Race"/>
    <n v="0"/>
  </r>
  <r>
    <s v="89637"/>
    <d v="2025-08-20T00:00:00"/>
    <x v="34"/>
    <x v="15"/>
    <s v="San Jose"/>
    <n v="0"/>
    <n v="0"/>
    <n v="0"/>
    <n v="1593.75"/>
    <n v="-1593.75"/>
    <n v="0"/>
    <s v="Megan Ewers"/>
    <s v="Lela Huenergardt"/>
    <s v="Megan Ewers"/>
    <n v="0"/>
  </r>
  <r>
    <s v="93133"/>
    <d v="2025-08-20T00:00:00"/>
    <x v="34"/>
    <x v="15"/>
    <s v="San Jose"/>
    <n v="84058.72"/>
    <n v="0"/>
    <n v="84058.72"/>
    <n v="71241.75"/>
    <n v="12816.97"/>
    <n v="0.15247638999999999"/>
    <s v="Megan Ewers"/>
    <s v="Lela Huenergardt"/>
    <s v="Megan Ewers"/>
    <n v="1"/>
  </r>
  <r>
    <s v="94125"/>
    <d v="2025-08-20T00:00:00"/>
    <x v="34"/>
    <x v="15"/>
    <s v="San Jose"/>
    <n v="901.8"/>
    <n v="0"/>
    <n v="901.8"/>
    <n v="0"/>
    <n v="901.8"/>
    <n v="1"/>
    <s v="Megan Ewers"/>
    <s v="Lela Huenergardt"/>
    <s v="Megan Ewers"/>
    <n v="1"/>
  </r>
  <r>
    <s v="93133"/>
    <d v="2025-08-21T00:00:00"/>
    <x v="34"/>
    <x v="15"/>
    <s v="San Jose"/>
    <n v="0"/>
    <n v="-411.79"/>
    <n v="-411.79"/>
    <n v="17.489999999999998"/>
    <n v="-429.28"/>
    <n v="1.04247311"/>
    <s v="Megan Ewers"/>
    <s v="Lela Huenergardt"/>
    <s v="Megan Ewers"/>
    <n v="0"/>
  </r>
  <r>
    <s v="93133"/>
    <d v="2025-08-25T00:00:00"/>
    <x v="34"/>
    <x v="15"/>
    <s v="San Jose"/>
    <n v="0"/>
    <n v="0"/>
    <n v="0"/>
    <n v="-30.31"/>
    <n v="30.31"/>
    <n v="0"/>
    <s v="Megan Ewers"/>
    <s v="Lela Huenergardt"/>
    <s v="Megan Ewers"/>
    <n v="0"/>
  </r>
  <r>
    <s v="93133"/>
    <d v="2025-08-26T00:00:00"/>
    <x v="34"/>
    <x v="15"/>
    <s v="San Jose"/>
    <n v="0"/>
    <n v="0"/>
    <n v="0"/>
    <n v="-2943.36"/>
    <n v="2943.36"/>
    <n v="0"/>
    <s v="Megan Ewers"/>
    <s v="Lela Huenergardt"/>
    <s v="Megan Ewers"/>
    <n v="0"/>
  </r>
  <r>
    <s v="88837"/>
    <d v="2025-08-15T00:00:00"/>
    <x v="35"/>
    <x v="5"/>
    <s v="San Francisco"/>
    <n v="6500"/>
    <n v="0"/>
    <n v="6500"/>
    <n v="4875"/>
    <n v="1625"/>
    <n v="0.25"/>
    <s v="Hana Estrada,Paul Razo"/>
    <s v="Jill Marsh"/>
    <s v="Hana Estrada"/>
    <n v="1"/>
  </r>
  <r>
    <s v="90488"/>
    <d v="2025-08-15T00:00:00"/>
    <x v="35"/>
    <x v="5"/>
    <s v="San Francisco"/>
    <n v="21639.53"/>
    <n v="0"/>
    <n v="21639.53"/>
    <n v="18447.52"/>
    <n v="3192.01"/>
    <n v="0.14750828999999999"/>
    <s v="Hana Estrada,Paul Razo"/>
    <s v="Jill Marsh"/>
    <s v="Hana Estrada"/>
    <n v="1"/>
  </r>
  <r>
    <s v="90486"/>
    <d v="2025-08-15T00:00:00"/>
    <x v="35"/>
    <x v="5"/>
    <s v="San Francisco"/>
    <n v="48826.94"/>
    <n v="0"/>
    <n v="48826.94"/>
    <n v="41624.57"/>
    <n v="7202.37"/>
    <n v="0.14750811999999999"/>
    <s v="Hana Estrada,Paul Razo"/>
    <s v="Jill Marsh"/>
    <s v="Hana Estrada"/>
    <n v="1"/>
  </r>
  <r>
    <s v="90486"/>
    <d v="2025-08-18T00:00:00"/>
    <x v="35"/>
    <x v="5"/>
    <s v="San Francisco"/>
    <n v="0"/>
    <n v="0"/>
    <n v="0"/>
    <n v="101.23"/>
    <n v="-101.23"/>
    <n v="0"/>
    <s v="Hana Estrada,Paul Razo"/>
    <s v="Jill Marsh"/>
    <s v="Hana Estrada"/>
    <n v="0"/>
  </r>
  <r>
    <s v="89827"/>
    <d v="2025-08-20T00:00:00"/>
    <x v="36"/>
    <x v="3"/>
    <s v="Sacramento"/>
    <n v="0"/>
    <n v="-900"/>
    <n v="-900"/>
    <n v="0"/>
    <n v="-900"/>
    <n v="1"/>
    <s v="Farrah Race"/>
    <s v="Chris Cicisly"/>
    <s v="Farrah Race"/>
    <n v="0"/>
  </r>
  <r>
    <s v="89827"/>
    <d v="2025-08-29T00:00:00"/>
    <x v="36"/>
    <x v="3"/>
    <s v="Sacramento"/>
    <n v="0"/>
    <n v="0"/>
    <n v="0"/>
    <n v="1319.1"/>
    <n v="-1319.1"/>
    <n v="0"/>
    <s v="Farrah Race"/>
    <s v="Chris Cicisly"/>
    <s v="Farrah Race"/>
    <n v="0"/>
  </r>
  <r>
    <s v="93229"/>
    <d v="2025-08-29T00:00:00"/>
    <x v="37"/>
    <x v="15"/>
    <s v="San Jose"/>
    <n v="90263.13"/>
    <n v="0"/>
    <n v="90263.13"/>
    <n v="68598.14"/>
    <n v="21664.99"/>
    <n v="0.24002037000000001"/>
    <s v="Gina Ortis"/>
    <s v="Lela Huenergardt"/>
    <s v="Gina Ortis"/>
    <n v="1"/>
  </r>
  <r>
    <s v="94305"/>
    <d v="2025-08-29T00:00:00"/>
    <x v="37"/>
    <x v="15"/>
    <s v="San Jose"/>
    <n v="2225.1799999999998"/>
    <n v="0"/>
    <n v="2225.1799999999998"/>
    <n v="0"/>
    <n v="2225.1799999999998"/>
    <n v="1"/>
    <s v="Gina Ortis"/>
    <s v="Lela Huenergardt"/>
    <s v="Gina Ortis"/>
    <n v="1"/>
  </r>
  <r>
    <s v="90318"/>
    <d v="2025-08-13T00:00:00"/>
    <x v="38"/>
    <x v="15"/>
    <s v="San Jose"/>
    <n v="0"/>
    <n v="0"/>
    <n v="0"/>
    <n v="-534.65"/>
    <n v="534.65"/>
    <n v="0"/>
    <s v="Megan Ewers"/>
    <s v="Lela Huenergardt"/>
    <s v="Megan Ewers"/>
    <n v="0"/>
  </r>
  <r>
    <s v="93824"/>
    <d v="2025-08-21T00:00:00"/>
    <x v="39"/>
    <x v="5"/>
    <s v="San Francisco"/>
    <n v="4454.05"/>
    <n v="0"/>
    <n v="4454.05"/>
    <n v="10011.24"/>
    <n v="-5557.19"/>
    <n v="-1.24767122"/>
    <s v="Lovina Vasudeva"/>
    <s v="Jill Marsh"/>
    <s v="Lovina Vasudeva"/>
    <n v="1"/>
  </r>
  <r>
    <s v="93859"/>
    <d v="2025-08-21T00:00:00"/>
    <x v="39"/>
    <x v="5"/>
    <s v="San Francisco"/>
    <n v="4454.05"/>
    <n v="0"/>
    <n v="4454.05"/>
    <n v="0"/>
    <n v="4454.05"/>
    <n v="1"/>
    <s v="Lovina Vasudeva"/>
    <s v="Jill Marsh"/>
    <s v="Lovina Vasudeva"/>
    <n v="1"/>
  </r>
  <r>
    <s v="93860"/>
    <d v="2025-08-21T00:00:00"/>
    <x v="39"/>
    <x v="5"/>
    <s v="San Francisco"/>
    <n v="4454.05"/>
    <n v="0"/>
    <n v="4454.05"/>
    <n v="0"/>
    <n v="4454.05"/>
    <n v="1"/>
    <s v="Lovina Vasudeva"/>
    <s v="Jill Marsh"/>
    <s v="Lovina Vasudeva"/>
    <n v="1"/>
  </r>
  <r>
    <s v="93460"/>
    <d v="2025-08-04T00:00:00"/>
    <x v="40"/>
    <x v="5"/>
    <s v="San Francisco"/>
    <n v="348.62"/>
    <n v="0"/>
    <n v="348.62"/>
    <n v="257.41000000000003"/>
    <n v="91.21"/>
    <n v="0.26163157999999997"/>
    <s v="Chryslyn Perkins"/>
    <s v="Jill Marsh"/>
    <s v="Chryslyn Perkins"/>
    <n v="1"/>
  </r>
  <r>
    <s v="93460"/>
    <d v="2025-08-08T00:00:00"/>
    <x v="40"/>
    <x v="5"/>
    <s v="San Francisco"/>
    <n v="0"/>
    <n v="0"/>
    <n v="0"/>
    <n v="202.7"/>
    <n v="-202.7"/>
    <n v="0"/>
    <s v="Chryslyn Perkins"/>
    <s v="Jill Marsh"/>
    <s v="Chryslyn Perkins"/>
    <n v="0"/>
  </r>
  <r>
    <s v="92992"/>
    <d v="2025-08-01T00:00:00"/>
    <x v="41"/>
    <x v="15"/>
    <s v="San Jose"/>
    <n v="0"/>
    <n v="0"/>
    <n v="0"/>
    <n v="-187.5"/>
    <n v="187.5"/>
    <n v="0"/>
    <s v="Lela Huenergardt"/>
    <s v="Lela Huenergardt"/>
    <s v="Other"/>
    <n v="0"/>
  </r>
  <r>
    <s v="92216"/>
    <d v="2025-08-26T00:00:00"/>
    <x v="42"/>
    <x v="15"/>
    <s v="San Jose"/>
    <n v="0"/>
    <n v="0"/>
    <n v="0"/>
    <n v="514.35"/>
    <n v="-514.35"/>
    <n v="0"/>
    <s v="Megan Ewers"/>
    <s v="Lela Huenergardt"/>
    <s v="Megan Ewers"/>
    <n v="0"/>
  </r>
  <r>
    <s v="94227"/>
    <d v="2025-08-27T00:00:00"/>
    <x v="43"/>
    <x v="10"/>
    <s v="Sacramento"/>
    <n v="3064.52"/>
    <n v="0"/>
    <n v="3064.52"/>
    <n v="2384.8000000000002"/>
    <n v="679.72"/>
    <n v="0.22180309000000001"/>
    <s v="Andrea Greever"/>
    <s v="Simon Sheppard"/>
    <s v="Andrea Greever"/>
    <n v="1"/>
  </r>
  <r>
    <s v="93938"/>
    <d v="2025-08-07T00:00:00"/>
    <x v="43"/>
    <x v="10"/>
    <s v="Sacramento"/>
    <n v="3040"/>
    <n v="0"/>
    <n v="3040"/>
    <n v="2730.76"/>
    <n v="309.24"/>
    <n v="0.10172368"/>
    <s v="Farrah Race"/>
    <s v="Simon Sheppard"/>
    <s v="Farrah Race"/>
    <n v="1"/>
  </r>
  <r>
    <s v="93557"/>
    <d v="2025-08-11T00:00:00"/>
    <x v="43"/>
    <x v="10"/>
    <s v="Sacramento"/>
    <n v="0"/>
    <n v="8453.6"/>
    <n v="8453.6"/>
    <n v="6894"/>
    <n v="1559.6"/>
    <n v="0.18448945"/>
    <s v="Farrah Race"/>
    <s v="Simon Sheppard"/>
    <s v="Farrah Race"/>
    <n v="0"/>
  </r>
  <r>
    <s v="92722"/>
    <d v="2025-08-14T00:00:00"/>
    <x v="43"/>
    <x v="10"/>
    <s v="Sacramento"/>
    <n v="0"/>
    <n v="371.22"/>
    <n v="371.22"/>
    <n v="0"/>
    <n v="371.22"/>
    <n v="1"/>
    <s v="Farrah Race"/>
    <s v="Simon Sheppard"/>
    <s v="Farrah Race"/>
    <n v="0"/>
  </r>
  <r>
    <s v="93557"/>
    <d v="2025-08-29T00:00:00"/>
    <x v="43"/>
    <x v="10"/>
    <s v="Sacramento"/>
    <n v="0"/>
    <n v="-2459.8000000000002"/>
    <n v="-2459.8000000000002"/>
    <n v="-2005.4"/>
    <n v="-454.4"/>
    <n v="0.18473047000000001"/>
    <s v="Farrah Race"/>
    <s v="Simon Sheppard"/>
    <s v="Farrah Race"/>
    <n v="0"/>
  </r>
  <r>
    <s v="93557"/>
    <d v="2025-08-30T00:00:00"/>
    <x v="43"/>
    <x v="10"/>
    <s v="Sacramento"/>
    <n v="0"/>
    <n v="0"/>
    <n v="0"/>
    <n v="120"/>
    <n v="-120"/>
    <n v="0"/>
    <s v="Farrah Race"/>
    <s v="Simon Sheppard"/>
    <s v="Farrah Race"/>
    <n v="0"/>
  </r>
  <r>
    <s v="93736"/>
    <d v="2025-08-04T00:00:00"/>
    <x v="44"/>
    <x v="15"/>
    <s v="San Jose"/>
    <n v="1054.92"/>
    <n v="0"/>
    <n v="1054.92"/>
    <n v="857.98"/>
    <n v="196.94"/>
    <n v="0.18668714"/>
    <s v="Gina Ortis"/>
    <s v="Lela Huenergardt"/>
    <s v="Gina Ortis"/>
    <n v="1"/>
  </r>
  <r>
    <s v="92140"/>
    <d v="2025-08-05T00:00:00"/>
    <x v="44"/>
    <x v="15"/>
    <s v="San Jose"/>
    <n v="11794.23"/>
    <n v="0"/>
    <n v="11794.23"/>
    <n v="9652.49"/>
    <n v="2141.7399999999998"/>
    <n v="0.18159218999999999"/>
    <s v="Gina Ortis,Megan Ewers"/>
    <s v="Lela Huenergardt"/>
    <s v="Gina Ortis"/>
    <n v="1"/>
  </r>
  <r>
    <s v="92140"/>
    <d v="2025-08-06T00:00:00"/>
    <x v="44"/>
    <x v="15"/>
    <s v="San Jose"/>
    <n v="0"/>
    <n v="0"/>
    <n v="0"/>
    <n v="-6.63"/>
    <n v="6.63"/>
    <n v="0"/>
    <s v="Gina Ortis,Megan Ewers"/>
    <s v="Lela Huenergardt"/>
    <s v="Gina Ortis"/>
    <n v="0"/>
  </r>
  <r>
    <s v="92140"/>
    <d v="2025-08-08T00:00:00"/>
    <x v="44"/>
    <x v="15"/>
    <s v="San Jose"/>
    <n v="0"/>
    <n v="0"/>
    <n v="0"/>
    <n v="7.0000000000000007E-2"/>
    <n v="-7.0000000000000007E-2"/>
    <n v="0"/>
    <s v="Gina Ortis,Megan Ewers"/>
    <s v="Lela Huenergardt"/>
    <s v="Gina Ortis"/>
    <n v="0"/>
  </r>
  <r>
    <s v="93888"/>
    <d v="2025-08-11T00:00:00"/>
    <x v="44"/>
    <x v="15"/>
    <s v="San Jose"/>
    <n v="2168.6"/>
    <n v="0"/>
    <n v="2168.6"/>
    <n v="1951.7"/>
    <n v="216.9"/>
    <n v="0.10001844999999999"/>
    <s v="Gina Ortis,Megan Ewers"/>
    <s v="Lela Huenergardt"/>
    <s v="Gina Ortis"/>
    <n v="1"/>
  </r>
  <r>
    <s v="93204"/>
    <d v="2025-08-07T00:00:00"/>
    <x v="44"/>
    <x v="15"/>
    <s v="San Jose"/>
    <n v="0"/>
    <n v="0"/>
    <n v="0"/>
    <n v="-1250.96"/>
    <n v="1250.96"/>
    <n v="0"/>
    <s v="Lela Huenergardt"/>
    <s v="Lela Huenergardt"/>
    <s v="Other"/>
    <n v="0"/>
  </r>
  <r>
    <s v="91995"/>
    <d v="2025-08-12T00:00:00"/>
    <x v="44"/>
    <x v="15"/>
    <s v="San Jose"/>
    <n v="1177.5"/>
    <n v="0"/>
    <n v="1177.5"/>
    <n v="1034.32"/>
    <n v="143.18"/>
    <n v="0.1215966"/>
    <s v="Lela Huenergardt"/>
    <s v="Lela Huenergardt"/>
    <s v="Other"/>
    <n v="1"/>
  </r>
  <r>
    <s v="91749"/>
    <d v="2025-08-01T00:00:00"/>
    <x v="44"/>
    <x v="15"/>
    <s v="San Jose"/>
    <n v="0"/>
    <n v="0"/>
    <n v="0"/>
    <n v="-225.89"/>
    <n v="225.89"/>
    <n v="0"/>
    <s v="Megan Ewers"/>
    <s v="Lela Huenergardt"/>
    <s v="Megan Ewers"/>
    <n v="0"/>
  </r>
  <r>
    <s v="93851"/>
    <d v="2025-08-01T00:00:00"/>
    <x v="44"/>
    <x v="15"/>
    <s v="San Jose"/>
    <n v="334.69"/>
    <n v="0"/>
    <n v="334.69"/>
    <n v="218.42"/>
    <n v="116.27"/>
    <n v="0.34739609999999999"/>
    <s v="Megan Ewers"/>
    <s v="Lela Huenergardt"/>
    <s v="Megan Ewers"/>
    <n v="1"/>
  </r>
  <r>
    <s v="93843"/>
    <d v="2025-08-04T00:00:00"/>
    <x v="44"/>
    <x v="15"/>
    <s v="San Jose"/>
    <n v="334.69"/>
    <n v="0"/>
    <n v="334.69"/>
    <n v="218.42"/>
    <n v="116.27"/>
    <n v="0.34739609999999999"/>
    <s v="Megan Ewers"/>
    <s v="Lela Huenergardt"/>
    <s v="Megan Ewers"/>
    <n v="1"/>
  </r>
  <r>
    <s v="90472"/>
    <d v="2025-08-08T00:00:00"/>
    <x v="44"/>
    <x v="15"/>
    <s v="San Jose"/>
    <n v="0"/>
    <n v="0"/>
    <n v="0"/>
    <n v="244.71"/>
    <n v="-244.71"/>
    <n v="0"/>
    <s v="Megan Ewers"/>
    <s v="Lela Huenergardt"/>
    <s v="Megan Ewers"/>
    <n v="0"/>
  </r>
  <r>
    <s v="93923"/>
    <d v="2025-08-08T00:00:00"/>
    <x v="44"/>
    <x v="15"/>
    <s v="San Jose"/>
    <n v="656.11"/>
    <n v="0"/>
    <n v="656.11"/>
    <n v="511.78"/>
    <n v="144.33000000000001"/>
    <n v="0.21997836000000001"/>
    <s v="Megan Ewers"/>
    <s v="Lela Huenergardt"/>
    <s v="Megan Ewers"/>
    <n v="1"/>
  </r>
  <r>
    <s v="89374"/>
    <d v="2025-08-13T00:00:00"/>
    <x v="44"/>
    <x v="15"/>
    <s v="San Jose"/>
    <n v="0"/>
    <n v="0"/>
    <n v="0"/>
    <n v="611.78"/>
    <n v="-611.78"/>
    <n v="0"/>
    <s v="Megan Ewers"/>
    <s v="Lela Huenergardt"/>
    <s v="Megan Ewers"/>
    <n v="0"/>
  </r>
  <r>
    <s v="93141"/>
    <d v="2025-08-19T00:00:00"/>
    <x v="44"/>
    <x v="15"/>
    <s v="San Jose"/>
    <n v="0"/>
    <n v="0"/>
    <n v="0"/>
    <n v="305.89"/>
    <n v="-305.89"/>
    <n v="0"/>
    <s v="Megan Ewers"/>
    <s v="Lela Huenergardt"/>
    <s v="Megan Ewers"/>
    <n v="0"/>
  </r>
  <r>
    <s v="92135"/>
    <d v="2025-08-22T00:00:00"/>
    <x v="44"/>
    <x v="15"/>
    <s v="San Jose"/>
    <n v="0"/>
    <n v="0"/>
    <n v="0"/>
    <n v="512.54999999999995"/>
    <n v="-512.54999999999995"/>
    <n v="0"/>
    <s v="Megan Ewers"/>
    <s v="Lela Huenergardt"/>
    <s v="Megan Ewers"/>
    <n v="0"/>
  </r>
  <r>
    <s v="89374"/>
    <d v="2025-08-22T00:00:00"/>
    <x v="44"/>
    <x v="15"/>
    <s v="San Jose"/>
    <n v="0"/>
    <n v="0"/>
    <n v="0"/>
    <n v="-586.25"/>
    <n v="586.25"/>
    <n v="0"/>
    <s v="Megan Ewers"/>
    <s v="Lela Huenergardt"/>
    <s v="Megan Ewers"/>
    <n v="0"/>
  </r>
  <r>
    <s v="90569"/>
    <d v="2025-08-26T00:00:00"/>
    <x v="44"/>
    <x v="15"/>
    <s v="San Jose"/>
    <n v="22662.15"/>
    <n v="0"/>
    <n v="22662.15"/>
    <n v="18706.830000000002"/>
    <n v="3955.32"/>
    <n v="0.17453419000000001"/>
    <s v="Megan Ewers"/>
    <s v="Lela Huenergardt"/>
    <s v="Megan Ewers"/>
    <n v="1"/>
  </r>
  <r>
    <s v="90569"/>
    <d v="2025-08-27T00:00:00"/>
    <x v="44"/>
    <x v="15"/>
    <s v="San Jose"/>
    <n v="0"/>
    <n v="0"/>
    <n v="0"/>
    <n v="-2303"/>
    <n v="2303"/>
    <n v="0"/>
    <s v="Megan Ewers"/>
    <s v="Lela Huenergardt"/>
    <s v="Megan Ewers"/>
    <n v="0"/>
  </r>
  <r>
    <s v="93451"/>
    <d v="2025-08-27T00:00:00"/>
    <x v="44"/>
    <x v="15"/>
    <s v="San Jose"/>
    <n v="0"/>
    <n v="0"/>
    <n v="0"/>
    <n v="-137.65"/>
    <n v="137.65"/>
    <n v="0"/>
    <s v="Megan Ewers"/>
    <s v="Lela Huenergardt"/>
    <s v="Megan Ewers"/>
    <n v="0"/>
  </r>
  <r>
    <s v="87807"/>
    <d v="2025-08-27T00:00:00"/>
    <x v="44"/>
    <x v="15"/>
    <s v="San Jose"/>
    <n v="0"/>
    <n v="0"/>
    <n v="0"/>
    <n v="2854.5"/>
    <n v="-2854.5"/>
    <n v="0"/>
    <s v="Megan Ewers"/>
    <s v="Lela Huenergardt"/>
    <s v="Megan Ewers"/>
    <n v="0"/>
  </r>
  <r>
    <s v="93760"/>
    <d v="2025-08-29T00:00:00"/>
    <x v="44"/>
    <x v="15"/>
    <s v="San Jose"/>
    <n v="1926.16"/>
    <n v="0"/>
    <n v="1926.16"/>
    <n v="1600.1"/>
    <n v="326.06"/>
    <n v="0.16927981"/>
    <s v="Megan Ewers"/>
    <s v="Lela Huenergardt"/>
    <s v="Megan Ewers"/>
    <n v="1"/>
  </r>
  <r>
    <s v="94163"/>
    <d v="2025-08-29T00:00:00"/>
    <x v="44"/>
    <x v="15"/>
    <s v="San Jose"/>
    <n v="1963.66"/>
    <n v="0"/>
    <n v="1963.66"/>
    <n v="1602.74"/>
    <n v="360.92"/>
    <n v="0.18379963999999999"/>
    <s v="Megan Ewers"/>
    <s v="Lela Huenergardt"/>
    <s v="Megan Ewers"/>
    <n v="1"/>
  </r>
  <r>
    <s v="94254"/>
    <d v="2025-08-29T00:00:00"/>
    <x v="44"/>
    <x v="15"/>
    <s v="San Jose"/>
    <n v="407.24"/>
    <n v="0"/>
    <n v="407.24"/>
    <n v="317.66000000000003"/>
    <n v="89.58"/>
    <n v="0.21996857"/>
    <s v="Megan Ewers"/>
    <s v="Lela Huenergardt"/>
    <s v="Megan Ewers"/>
    <n v="1"/>
  </r>
  <r>
    <s v="85671"/>
    <d v="2025-08-30T00:00:00"/>
    <x v="44"/>
    <x v="15"/>
    <s v="San Jose"/>
    <n v="0"/>
    <n v="0"/>
    <n v="0"/>
    <n v="5207.5"/>
    <n v="-5207.5"/>
    <n v="0"/>
    <s v="Megan Ewers"/>
    <s v="Lela Huenergardt"/>
    <s v="Megan Ewers"/>
    <n v="0"/>
  </r>
  <r>
    <s v="89684"/>
    <d v="2025-08-30T00:00:00"/>
    <x v="44"/>
    <x v="15"/>
    <s v="San Jose"/>
    <n v="0"/>
    <n v="0"/>
    <n v="0"/>
    <n v="150"/>
    <n v="-150"/>
    <n v="0"/>
    <s v="Megan Ewers"/>
    <s v="Lela Huenergardt"/>
    <s v="Megan Ewers"/>
    <n v="0"/>
  </r>
  <r>
    <s v="92909"/>
    <d v="2025-08-30T00:00:00"/>
    <x v="44"/>
    <x v="15"/>
    <s v="San Jose"/>
    <n v="0"/>
    <n v="0"/>
    <n v="0"/>
    <n v="300"/>
    <n v="-300"/>
    <n v="0"/>
    <s v="Megan Ewers"/>
    <s v="Lela Huenergardt"/>
    <s v="Megan Ewers"/>
    <n v="0"/>
  </r>
  <r>
    <s v="89997"/>
    <d v="2025-08-12T00:00:00"/>
    <x v="45"/>
    <x v="15"/>
    <s v="San Jose"/>
    <n v="0"/>
    <n v="0"/>
    <n v="0"/>
    <n v="86.8"/>
    <n v="-86.8"/>
    <n v="0"/>
    <s v="Marena Brown"/>
    <s v="Lela Huenergardt"/>
    <s v="Marena Brown"/>
    <n v="0"/>
  </r>
  <r>
    <s v="92805"/>
    <d v="2025-08-12T00:00:00"/>
    <x v="45"/>
    <x v="15"/>
    <s v="San Jose"/>
    <n v="0"/>
    <n v="0"/>
    <n v="0"/>
    <n v="109.44"/>
    <n v="-109.44"/>
    <n v="0"/>
    <s v="Marena Brown"/>
    <s v="Lela Huenergardt"/>
    <s v="Marena Brown"/>
    <n v="0"/>
  </r>
  <r>
    <s v="92805"/>
    <d v="2025-08-13T00:00:00"/>
    <x v="45"/>
    <x v="15"/>
    <s v="San Jose"/>
    <n v="0"/>
    <n v="0"/>
    <n v="0"/>
    <n v="-7.94"/>
    <n v="7.94"/>
    <n v="0"/>
    <s v="Marena Brown"/>
    <s v="Lela Huenergardt"/>
    <s v="Marena Brown"/>
    <n v="0"/>
  </r>
  <r>
    <s v="89997"/>
    <d v="2025-08-14T00:00:00"/>
    <x v="45"/>
    <x v="15"/>
    <s v="San Jose"/>
    <n v="0"/>
    <n v="0"/>
    <n v="0"/>
    <n v="250.88"/>
    <n v="-250.88"/>
    <n v="0"/>
    <s v="Marena Brown"/>
    <s v="Lela Huenergardt"/>
    <s v="Marena Brown"/>
    <n v="0"/>
  </r>
  <r>
    <s v="89997"/>
    <d v="2025-08-15T00:00:00"/>
    <x v="45"/>
    <x v="15"/>
    <s v="San Jose"/>
    <n v="0"/>
    <n v="0"/>
    <n v="0"/>
    <n v="74.72"/>
    <n v="-74.72"/>
    <n v="0"/>
    <s v="Marena Brown"/>
    <s v="Lela Huenergardt"/>
    <s v="Marena Brown"/>
    <n v="0"/>
  </r>
  <r>
    <s v="92805"/>
    <d v="2025-08-28T00:00:00"/>
    <x v="45"/>
    <x v="15"/>
    <s v="San Jose"/>
    <n v="0"/>
    <n v="0"/>
    <n v="0"/>
    <n v="38"/>
    <n v="-38"/>
    <n v="0"/>
    <s v="Marena Brown"/>
    <s v="Lela Huenergardt"/>
    <s v="Marena Brown"/>
    <n v="0"/>
  </r>
  <r>
    <s v="91742"/>
    <d v="2025-08-03T00:00:00"/>
    <x v="46"/>
    <x v="3"/>
    <s v="San Jose"/>
    <n v="0"/>
    <n v="0"/>
    <n v="0"/>
    <n v="-0.01"/>
    <n v="0.01"/>
    <n v="0"/>
    <s v="Mary Sparacino"/>
    <s v="Chris Cicisly"/>
    <s v="Mary Sparacino"/>
    <n v="0"/>
  </r>
  <r>
    <s v="91742"/>
    <d v="2025-08-06T00:00:00"/>
    <x v="46"/>
    <x v="3"/>
    <s v="San Jose"/>
    <n v="0"/>
    <n v="625"/>
    <n v="625"/>
    <n v="580"/>
    <n v="45"/>
    <n v="7.1999999999999995E-2"/>
    <s v="Mary Sparacino"/>
    <s v="Chris Cicisly"/>
    <s v="Mary Sparacino"/>
    <n v="0"/>
  </r>
  <r>
    <s v="90995"/>
    <d v="2025-08-07T00:00:00"/>
    <x v="46"/>
    <x v="3"/>
    <s v="San Jose"/>
    <n v="0"/>
    <n v="0"/>
    <n v="0"/>
    <n v="-756.48"/>
    <n v="756.48"/>
    <n v="0"/>
    <s v="Mary Sparacino"/>
    <s v="Chris Cicisly"/>
    <s v="Mary Sparacino"/>
    <n v="0"/>
  </r>
  <r>
    <s v="90995"/>
    <d v="2025-08-08T00:00:00"/>
    <x v="46"/>
    <x v="3"/>
    <s v="San Jose"/>
    <n v="0"/>
    <n v="-1114"/>
    <n v="-1114"/>
    <n v="-835.5"/>
    <n v="-278.5"/>
    <n v="0.25"/>
    <s v="Mary Sparacino"/>
    <s v="Chris Cicisly"/>
    <s v="Mary Sparacino"/>
    <n v="0"/>
  </r>
  <r>
    <s v="90995"/>
    <d v="2025-08-12T00:00:00"/>
    <x v="46"/>
    <x v="3"/>
    <s v="San Jose"/>
    <n v="0"/>
    <n v="1114"/>
    <n v="1114"/>
    <n v="-0.54"/>
    <n v="1114.54"/>
    <n v="1.0004847400000001"/>
    <s v="Mary Sparacino"/>
    <s v="Chris Cicisly"/>
    <s v="Mary Sparacino"/>
    <n v="0"/>
  </r>
  <r>
    <s v="94081"/>
    <d v="2025-08-18T00:00:00"/>
    <x v="46"/>
    <x v="3"/>
    <s v="San Jose"/>
    <n v="225"/>
    <n v="0"/>
    <n v="225"/>
    <n v="100"/>
    <n v="125"/>
    <n v="0.55555555999999995"/>
    <s v="Mary Sparacino"/>
    <s v="Chris Cicisly"/>
    <s v="Mary Sparacino"/>
    <n v="1"/>
  </r>
  <r>
    <s v="93954"/>
    <d v="2025-08-21T00:00:00"/>
    <x v="46"/>
    <x v="3"/>
    <s v="San Jose"/>
    <n v="800"/>
    <n v="0"/>
    <n v="800"/>
    <n v="610"/>
    <n v="190"/>
    <n v="0.23749999999999999"/>
    <s v="Mary Sparacino"/>
    <s v="Chris Cicisly"/>
    <s v="Mary Sparacino"/>
    <n v="1"/>
  </r>
  <r>
    <s v="92816"/>
    <d v="2025-08-26T00:00:00"/>
    <x v="47"/>
    <x v="8"/>
    <s v="San Francisco"/>
    <n v="0"/>
    <n v="0"/>
    <n v="0"/>
    <n v="-4259.7299999999996"/>
    <n v="4259.7299999999996"/>
    <n v="0"/>
    <s v="Melissa Rokes,Torrey Carroll"/>
    <s v="Olivia Gorfain"/>
    <s v="Torrey Carroll"/>
    <n v="0"/>
  </r>
  <r>
    <s v="91373"/>
    <d v="2025-08-05T00:00:00"/>
    <x v="47"/>
    <x v="8"/>
    <s v="San Francisco"/>
    <n v="0"/>
    <n v="315"/>
    <n v="315"/>
    <n v="220.5"/>
    <n v="94.5"/>
    <n v="0.3"/>
    <s v="Torrey Carroll"/>
    <s v="Olivia Gorfain"/>
    <s v="Torrey Carroll"/>
    <n v="0"/>
  </r>
  <r>
    <s v="91373"/>
    <d v="2025-08-06T00:00:00"/>
    <x v="47"/>
    <x v="8"/>
    <s v="San Francisco"/>
    <n v="0"/>
    <n v="0"/>
    <n v="0"/>
    <n v="62.05"/>
    <n v="-62.05"/>
    <n v="0"/>
    <s v="Torrey Carroll"/>
    <s v="Olivia Gorfain"/>
    <s v="Torrey Carroll"/>
    <n v="0"/>
  </r>
  <r>
    <s v="91373"/>
    <d v="2025-08-09T00:00:00"/>
    <x v="47"/>
    <x v="8"/>
    <s v="San Francisco"/>
    <n v="0"/>
    <n v="4511.24"/>
    <n v="4511.24"/>
    <n v="3095.82"/>
    <n v="1415.42"/>
    <n v="0.31375408999999999"/>
    <s v="Torrey Carroll"/>
    <s v="Olivia Gorfain"/>
    <s v="Torrey Carroll"/>
    <n v="0"/>
  </r>
  <r>
    <s v="91373"/>
    <d v="2025-08-29T00:00:00"/>
    <x v="47"/>
    <x v="8"/>
    <s v="San Francisco"/>
    <n v="0"/>
    <n v="4843.8"/>
    <n v="4843.8"/>
    <n v="3390.66"/>
    <n v="1453.14"/>
    <n v="0.3"/>
    <s v="Torrey Carroll"/>
    <s v="Olivia Gorfain"/>
    <s v="Torrey Carroll"/>
    <n v="0"/>
  </r>
  <r>
    <s v="91882"/>
    <d v="2025-08-05T00:00:00"/>
    <x v="48"/>
    <x v="16"/>
    <s v="San Francisco"/>
    <n v="0"/>
    <n v="75"/>
    <n v="75"/>
    <n v="75"/>
    <n v="0"/>
    <n v="0"/>
    <s v="Matt Denning"/>
    <s v="Jill Marsh"/>
    <s v="Other"/>
    <n v="0"/>
  </r>
  <r>
    <s v="91630"/>
    <d v="2025-08-08T00:00:00"/>
    <x v="49"/>
    <x v="2"/>
    <s v="Sacramento"/>
    <n v="0"/>
    <n v="0"/>
    <n v="0"/>
    <n v="-1.78"/>
    <n v="1.78"/>
    <n v="0"/>
    <s v="Farrah Race"/>
    <s v="Alex Blangeres"/>
    <s v="Farrah Race"/>
    <n v="0"/>
  </r>
  <r>
    <s v="91630"/>
    <d v="2025-08-30T00:00:00"/>
    <x v="49"/>
    <x v="2"/>
    <s v="Sacramento"/>
    <n v="0"/>
    <n v="0"/>
    <n v="0"/>
    <n v="675"/>
    <n v="-675"/>
    <n v="0"/>
    <s v="Farrah Race"/>
    <s v="Alex Blangeres"/>
    <s v="Farrah Race"/>
    <n v="0"/>
  </r>
  <r>
    <s v="93775"/>
    <d v="2025-08-14T00:00:00"/>
    <x v="50"/>
    <x v="2"/>
    <s v="Sacramento"/>
    <n v="3430.72"/>
    <n v="0"/>
    <n v="3430.72"/>
    <n v="3044.16"/>
    <n v="386.56"/>
    <n v="0.11267605999999999"/>
    <s v="Andrea Greever"/>
    <s v="Alex Blangeres"/>
    <s v="Andrea Greever"/>
    <n v="1"/>
  </r>
  <r>
    <s v="93975"/>
    <d v="2025-08-14T00:00:00"/>
    <x v="50"/>
    <x v="2"/>
    <s v="Sacramento"/>
    <n v="275.29000000000002"/>
    <n v="0"/>
    <n v="275.29000000000002"/>
    <n v="220.24"/>
    <n v="55.05"/>
    <n v="0.19997094000000001"/>
    <s v="Andrea Greever"/>
    <s v="Alex Blangeres"/>
    <s v="Andrea Greever"/>
    <n v="1"/>
  </r>
  <r>
    <s v="93775"/>
    <d v="2025-08-15T00:00:00"/>
    <x v="50"/>
    <x v="2"/>
    <s v="Sacramento"/>
    <n v="3430.72"/>
    <n v="0"/>
    <n v="3430.72"/>
    <n v="3044.16"/>
    <n v="386.56"/>
    <n v="0.11267605999999999"/>
    <s v="Andrea Greever"/>
    <s v="Alex Blangeres"/>
    <s v="Andrea Greever"/>
    <n v="1"/>
  </r>
  <r>
    <s v="93775"/>
    <d v="2025-08-21T00:00:00"/>
    <x v="50"/>
    <x v="2"/>
    <s v="Sacramento"/>
    <n v="0"/>
    <n v="-112.16"/>
    <n v="-112.16"/>
    <n v="0"/>
    <n v="-112.16"/>
    <n v="1"/>
    <s v="Andrea Greever"/>
    <s v="Alex Blangeres"/>
    <s v="Andrea Greever"/>
    <n v="0"/>
  </r>
  <r>
    <s v="93775"/>
    <d v="2025-08-26T00:00:00"/>
    <x v="50"/>
    <x v="2"/>
    <s v="Sacramento"/>
    <n v="0"/>
    <n v="0"/>
    <n v="0"/>
    <n v="274.39999999999998"/>
    <n v="-274.39999999999998"/>
    <n v="0"/>
    <s v="Andrea Greever"/>
    <s v="Alex Blangeres"/>
    <s v="Andrea Greever"/>
    <n v="0"/>
  </r>
  <r>
    <s v="94228"/>
    <d v="2025-08-27T00:00:00"/>
    <x v="50"/>
    <x v="2"/>
    <s v="Sacramento"/>
    <n v="132.74"/>
    <n v="0"/>
    <n v="132.74"/>
    <n v="0"/>
    <n v="132.74"/>
    <n v="1"/>
    <s v="Andrea Greever"/>
    <s v="Alex Blangeres"/>
    <s v="Andrea Greever"/>
    <n v="1"/>
  </r>
  <r>
    <s v="93650"/>
    <d v="2025-08-18T00:00:00"/>
    <x v="51"/>
    <x v="0"/>
    <s v="Sacramento"/>
    <n v="2258.1"/>
    <n v="0"/>
    <n v="2258.1"/>
    <n v="1806.49"/>
    <n v="451.61"/>
    <n v="0.19999557000000001"/>
    <s v="Erika Duarte"/>
    <s v="Owen Cunningham"/>
    <s v="Erika Duarte"/>
    <n v="1"/>
  </r>
  <r>
    <s v="91420"/>
    <d v="2025-08-29T00:00:00"/>
    <x v="51"/>
    <x v="0"/>
    <s v="Sacramento"/>
    <n v="0"/>
    <n v="0"/>
    <n v="0"/>
    <n v="91.6"/>
    <n v="-91.6"/>
    <n v="0"/>
    <s v="Erika Duarte"/>
    <s v="Owen Cunningham"/>
    <s v="Erika Duarte"/>
    <n v="0"/>
  </r>
  <r>
    <s v="90819"/>
    <d v="2025-08-11T00:00:00"/>
    <x v="52"/>
    <x v="5"/>
    <s v="San Francisco"/>
    <n v="0"/>
    <n v="660"/>
    <n v="660"/>
    <n v="465.9"/>
    <n v="194.1"/>
    <n v="0.29409090999999998"/>
    <s v="Frances Kim"/>
    <s v="Jill Marsh"/>
    <s v="Frances Kim"/>
    <n v="0"/>
  </r>
  <r>
    <s v="90822"/>
    <d v="2025-08-27T00:00:00"/>
    <x v="52"/>
    <x v="5"/>
    <s v="San Francisco"/>
    <n v="0"/>
    <n v="1445"/>
    <n v="1445"/>
    <n v="1004.64"/>
    <n v="440.36"/>
    <n v="0.3047474"/>
    <s v="Frances Kim"/>
    <s v="Jill Marsh"/>
    <s v="Frances Kim"/>
    <n v="0"/>
  </r>
  <r>
    <s v="93820"/>
    <d v="2025-08-01T00:00:00"/>
    <x v="53"/>
    <x v="13"/>
    <s v="Sacramento"/>
    <n v="3055"/>
    <n v="0"/>
    <n v="3055"/>
    <n v="2455.54"/>
    <n v="599.46"/>
    <n v="0.19622259"/>
    <s v="Rayna Mitchell"/>
    <s v="Alex Blangeres"/>
    <s v="Rayna Mitchell"/>
    <n v="1"/>
  </r>
  <r>
    <s v="93897"/>
    <d v="2025-08-07T00:00:00"/>
    <x v="53"/>
    <x v="13"/>
    <s v="Sacramento"/>
    <n v="645"/>
    <n v="0"/>
    <n v="645"/>
    <n v="478.6"/>
    <n v="166.4"/>
    <n v="0.25798450000000001"/>
    <s v="Rayna Mitchell"/>
    <s v="Alex Blangeres"/>
    <s v="Rayna Mitchell"/>
    <n v="1"/>
  </r>
  <r>
    <s v="92376"/>
    <d v="2025-08-13T00:00:00"/>
    <x v="53"/>
    <x v="13"/>
    <s v="Sacramento"/>
    <n v="0"/>
    <n v="0"/>
    <n v="0"/>
    <n v="155.16"/>
    <n v="-155.16"/>
    <n v="0"/>
    <s v="Rayna Mitchell"/>
    <s v="Alex Blangeres"/>
    <s v="Rayna Mitchell"/>
    <n v="0"/>
  </r>
  <r>
    <s v="93879"/>
    <d v="2025-08-13T00:00:00"/>
    <x v="53"/>
    <x v="13"/>
    <s v="Sacramento"/>
    <n v="12579.68"/>
    <n v="0"/>
    <n v="12579.68"/>
    <n v="10738.29"/>
    <n v="1841.39"/>
    <n v="0.14637813"/>
    <s v="Rayna Mitchell"/>
    <s v="Alex Blangeres"/>
    <s v="Rayna Mitchell"/>
    <n v="1"/>
  </r>
  <r>
    <s v="93879"/>
    <d v="2025-08-18T00:00:00"/>
    <x v="53"/>
    <x v="13"/>
    <s v="Sacramento"/>
    <n v="0"/>
    <n v="0"/>
    <n v="0"/>
    <n v="-3.88"/>
    <n v="3.88"/>
    <n v="0"/>
    <s v="Rayna Mitchell"/>
    <s v="Alex Blangeres"/>
    <s v="Rayna Mitchell"/>
    <n v="0"/>
  </r>
  <r>
    <s v="93721"/>
    <d v="2025-08-18T00:00:00"/>
    <x v="53"/>
    <x v="13"/>
    <s v="Sacramento"/>
    <n v="19568.8"/>
    <n v="0"/>
    <n v="19568.8"/>
    <n v="16246.24"/>
    <n v="3322.56"/>
    <n v="0.16978863999999999"/>
    <s v="Rayna Mitchell"/>
    <s v="Alex Blangeres"/>
    <s v="Rayna Mitchell"/>
    <n v="1"/>
  </r>
  <r>
    <s v="93721"/>
    <d v="2025-08-19T00:00:00"/>
    <x v="53"/>
    <x v="13"/>
    <s v="Sacramento"/>
    <n v="0"/>
    <n v="0"/>
    <n v="0"/>
    <n v="30"/>
    <n v="-30"/>
    <n v="0"/>
    <s v="Rayna Mitchell"/>
    <s v="Alex Blangeres"/>
    <s v="Rayna Mitchell"/>
    <n v="0"/>
  </r>
  <r>
    <s v="93721"/>
    <d v="2025-08-20T00:00:00"/>
    <x v="53"/>
    <x v="13"/>
    <s v="Sacramento"/>
    <n v="0"/>
    <n v="0"/>
    <n v="0"/>
    <n v="-768.5"/>
    <n v="768.5"/>
    <n v="0"/>
    <s v="Rayna Mitchell"/>
    <s v="Alex Blangeres"/>
    <s v="Rayna Mitchell"/>
    <n v="0"/>
  </r>
  <r>
    <s v="92514"/>
    <d v="2025-08-08T00:00:00"/>
    <x v="54"/>
    <x v="12"/>
    <s v="San Jose"/>
    <n v="0"/>
    <n v="0"/>
    <n v="0"/>
    <n v="-0.01"/>
    <n v="0.01"/>
    <n v="0"/>
    <s v="Casey Fleming"/>
    <s v="Troy Ocariza"/>
    <s v="Casey Fleming"/>
    <n v="0"/>
  </r>
  <r>
    <s v="93224"/>
    <d v="2025-08-28T00:00:00"/>
    <x v="54"/>
    <x v="12"/>
    <s v="San Jose"/>
    <n v="15977.85"/>
    <n v="0"/>
    <n v="15977.85"/>
    <n v="12179.28"/>
    <n v="3798.57"/>
    <n v="0.23773975"/>
    <s v="Casey Fleming"/>
    <s v="Troy Ocariza"/>
    <s v="Casey Fleming"/>
    <n v="1"/>
  </r>
  <r>
    <s v="93883"/>
    <d v="2025-08-28T00:00:00"/>
    <x v="54"/>
    <x v="12"/>
    <s v="San Jose"/>
    <n v="44071.56"/>
    <n v="0"/>
    <n v="44071.56"/>
    <n v="34243.980000000003"/>
    <n v="9827.58"/>
    <n v="0.22299142999999999"/>
    <s v="Casey Fleming"/>
    <s v="Troy Ocariza"/>
    <s v="Casey Fleming"/>
    <n v="1"/>
  </r>
  <r>
    <s v="89144"/>
    <d v="2025-08-21T00:00:00"/>
    <x v="54"/>
    <x v="12"/>
    <s v="San Jose"/>
    <n v="0"/>
    <n v="0"/>
    <n v="0"/>
    <n v="529.42999999999995"/>
    <n v="-529.42999999999995"/>
    <n v="0"/>
    <s v="Casey Fleming,Troy Ocariza"/>
    <s v="Troy Ocariza"/>
    <s v="Troy Ocariza"/>
    <n v="0"/>
  </r>
  <r>
    <s v="92761"/>
    <d v="2025-08-01T00:00:00"/>
    <x v="55"/>
    <x v="8"/>
    <s v="San Francisco"/>
    <n v="0"/>
    <n v="0"/>
    <n v="0"/>
    <n v="-4.7300000000000004"/>
    <n v="4.7300000000000004"/>
    <n v="0"/>
    <s v="Paul Razo"/>
    <s v="Olivia Gorfain"/>
    <s v="Paul Razo"/>
    <n v="0"/>
  </r>
  <r>
    <s v="93571"/>
    <d v="2025-08-01T00:00:00"/>
    <x v="55"/>
    <x v="8"/>
    <s v="San Francisco"/>
    <n v="0"/>
    <n v="0"/>
    <n v="0"/>
    <n v="-244.74"/>
    <n v="244.74"/>
    <n v="0"/>
    <s v="Paul Razo"/>
    <s v="Olivia Gorfain"/>
    <s v="Paul Razo"/>
    <n v="0"/>
  </r>
  <r>
    <s v="93263"/>
    <d v="2025-08-01T00:00:00"/>
    <x v="55"/>
    <x v="8"/>
    <s v="San Francisco"/>
    <n v="0"/>
    <n v="0"/>
    <n v="0"/>
    <n v="32.380000000000003"/>
    <n v="-32.380000000000003"/>
    <n v="0"/>
    <s v="Paul Razo"/>
    <s v="Olivia Gorfain"/>
    <s v="Paul Razo"/>
    <n v="0"/>
  </r>
  <r>
    <s v="93376"/>
    <d v="2025-08-05T00:00:00"/>
    <x v="55"/>
    <x v="8"/>
    <s v="San Francisco"/>
    <n v="0"/>
    <n v="0"/>
    <n v="0"/>
    <n v="-0.05"/>
    <n v="0.05"/>
    <n v="0"/>
    <s v="Paul Razo"/>
    <s v="Olivia Gorfain"/>
    <s v="Paul Razo"/>
    <n v="0"/>
  </r>
  <r>
    <s v="93263"/>
    <d v="2025-08-05T00:00:00"/>
    <x v="55"/>
    <x v="8"/>
    <s v="San Francisco"/>
    <n v="0"/>
    <n v="1020"/>
    <n v="1020"/>
    <n v="711"/>
    <n v="309"/>
    <n v="0.30294117999999998"/>
    <s v="Paul Razo"/>
    <s v="Olivia Gorfain"/>
    <s v="Paul Razo"/>
    <n v="0"/>
  </r>
  <r>
    <s v="93570"/>
    <d v="2025-08-05T00:00:00"/>
    <x v="55"/>
    <x v="8"/>
    <s v="San Francisco"/>
    <n v="0"/>
    <n v="0"/>
    <n v="0"/>
    <n v="33.69"/>
    <n v="-33.69"/>
    <n v="0"/>
    <s v="Paul Razo"/>
    <s v="Olivia Gorfain"/>
    <s v="Paul Razo"/>
    <n v="0"/>
  </r>
  <r>
    <s v="93858"/>
    <d v="2025-08-20T00:00:00"/>
    <x v="55"/>
    <x v="8"/>
    <s v="San Francisco"/>
    <n v="159190.22"/>
    <n v="0"/>
    <n v="159190.22"/>
    <n v="122579.54"/>
    <n v="36610.68"/>
    <n v="0.22998071"/>
    <s v="Paul Razo"/>
    <s v="Olivia Gorfain"/>
    <s v="Paul Razo"/>
    <n v="1"/>
  </r>
  <r>
    <s v="93874"/>
    <d v="2025-08-20T00:00:00"/>
    <x v="55"/>
    <x v="8"/>
    <s v="San Francisco"/>
    <n v="88816.3"/>
    <n v="0"/>
    <n v="88816.3"/>
    <n v="68452.94"/>
    <n v="20363.36"/>
    <n v="0.22927502999999999"/>
    <s v="Paul Razo"/>
    <s v="Olivia Gorfain"/>
    <s v="Paul Razo"/>
    <n v="1"/>
  </r>
  <r>
    <s v="93876"/>
    <d v="2025-08-20T00:00:00"/>
    <x v="55"/>
    <x v="8"/>
    <s v="San Francisco"/>
    <n v="33717.339999999997"/>
    <n v="0"/>
    <n v="33717.339999999997"/>
    <n v="25963"/>
    <n v="7754.34"/>
    <n v="0.22998078"/>
    <s v="Paul Razo"/>
    <s v="Olivia Gorfain"/>
    <s v="Paul Razo"/>
    <n v="1"/>
  </r>
  <r>
    <s v="94118"/>
    <d v="2025-08-25T00:00:00"/>
    <x v="56"/>
    <x v="1"/>
    <s v="San Jose"/>
    <n v="3111.78"/>
    <n v="0"/>
    <n v="3111.78"/>
    <n v="2214.9"/>
    <n v="896.88"/>
    <n v="0.28822089000000001"/>
    <s v="Carina Collison,Casey Fleming"/>
    <s v="Kate Ingelstrom"/>
    <s v="Carina Collison"/>
    <n v="1"/>
  </r>
  <r>
    <s v="94294"/>
    <d v="2025-08-29T00:00:00"/>
    <x v="56"/>
    <x v="6"/>
    <s v="San Jose"/>
    <n v="1241.6400000000001"/>
    <n v="0"/>
    <n v="1241.6400000000001"/>
    <n v="931.23"/>
    <n v="310.41000000000003"/>
    <n v="0.25"/>
    <s v="Carina Collison,Casey Fleming"/>
    <s v="Kate Ingelstrom"/>
    <s v="Carina Collison"/>
    <n v="1"/>
  </r>
  <r>
    <s v="94295"/>
    <d v="2025-08-29T00:00:00"/>
    <x v="56"/>
    <x v="6"/>
    <s v="San Jose"/>
    <n v="1160.07"/>
    <n v="0"/>
    <n v="1160.07"/>
    <n v="870.05"/>
    <n v="290.02"/>
    <n v="0.25000215999999997"/>
    <s v="Carina Collison,Casey Fleming"/>
    <s v="Kate Ingelstrom"/>
    <s v="Carina Collison"/>
    <n v="1"/>
  </r>
  <r>
    <s v="93990"/>
    <d v="2025-08-14T00:00:00"/>
    <x v="57"/>
    <x v="6"/>
    <s v="San Jose"/>
    <n v="1404.71"/>
    <n v="0"/>
    <n v="1404.71"/>
    <n v="1049.96"/>
    <n v="354.75"/>
    <n v="0.25254323000000001"/>
    <s v="Carina Collison"/>
    <s v="Kate Ingelstrom"/>
    <s v="Carina Collison"/>
    <n v="1"/>
  </r>
  <r>
    <s v="93990"/>
    <d v="2025-08-15T00:00:00"/>
    <x v="57"/>
    <x v="6"/>
    <s v="San Jose"/>
    <n v="0"/>
    <n v="0"/>
    <n v="0"/>
    <n v="-35.590000000000003"/>
    <n v="35.590000000000003"/>
    <n v="0"/>
    <s v="Carina Collison"/>
    <s v="Kate Ingelstrom"/>
    <s v="Carina Collison"/>
    <n v="0"/>
  </r>
  <r>
    <s v="93549"/>
    <d v="2025-08-01T00:00:00"/>
    <x v="58"/>
    <x v="8"/>
    <s v="San Francisco"/>
    <n v="0"/>
    <n v="0"/>
    <n v="0"/>
    <n v="-8458.01"/>
    <n v="8458.01"/>
    <n v="0"/>
    <s v="Anthony Pantaleoni"/>
    <s v="Olivia Gorfain"/>
    <s v="Anthony Pantaleoni"/>
    <n v="0"/>
  </r>
  <r>
    <s v="91943"/>
    <d v="2025-08-01T00:00:00"/>
    <x v="58"/>
    <x v="8"/>
    <s v="San Francisco"/>
    <n v="0"/>
    <n v="0"/>
    <n v="0"/>
    <n v="1923.58"/>
    <n v="-1923.58"/>
    <n v="0"/>
    <s v="Anthony Pantaleoni"/>
    <s v="Olivia Gorfain"/>
    <s v="Anthony Pantaleoni"/>
    <n v="0"/>
  </r>
  <r>
    <s v="93753"/>
    <d v="2025-08-01T00:00:00"/>
    <x v="58"/>
    <x v="8"/>
    <s v="San Francisco"/>
    <n v="65613.710000000006"/>
    <n v="0"/>
    <n v="65613.710000000006"/>
    <n v="48042.79"/>
    <n v="17570.919999999998"/>
    <n v="0.26779342"/>
    <s v="Anthony Pantaleoni"/>
    <s v="Olivia Gorfain"/>
    <s v="Anthony Pantaleoni"/>
    <n v="1"/>
  </r>
  <r>
    <s v="93549"/>
    <d v="2025-08-04T00:00:00"/>
    <x v="58"/>
    <x v="8"/>
    <s v="San Francisco"/>
    <n v="0"/>
    <n v="0"/>
    <n v="0"/>
    <n v="212.69"/>
    <n v="-212.69"/>
    <n v="0"/>
    <s v="Anthony Pantaleoni"/>
    <s v="Olivia Gorfain"/>
    <s v="Anthony Pantaleoni"/>
    <n v="0"/>
  </r>
  <r>
    <s v="91943"/>
    <d v="2025-08-05T00:00:00"/>
    <x v="58"/>
    <x v="8"/>
    <s v="San Francisco"/>
    <n v="0"/>
    <n v="0"/>
    <n v="0"/>
    <n v="145.52000000000001"/>
    <n v="-145.52000000000001"/>
    <n v="0"/>
    <s v="Anthony Pantaleoni"/>
    <s v="Olivia Gorfain"/>
    <s v="Anthony Pantaleoni"/>
    <n v="0"/>
  </r>
  <r>
    <s v="91943"/>
    <d v="2025-08-06T00:00:00"/>
    <x v="58"/>
    <x v="8"/>
    <s v="San Francisco"/>
    <n v="0"/>
    <n v="0"/>
    <n v="0"/>
    <n v="1187.1199999999999"/>
    <n v="-1187.1199999999999"/>
    <n v="0"/>
    <s v="Anthony Pantaleoni"/>
    <s v="Olivia Gorfain"/>
    <s v="Anthony Pantaleoni"/>
    <n v="0"/>
  </r>
  <r>
    <s v="93549"/>
    <d v="2025-08-06T00:00:00"/>
    <x v="58"/>
    <x v="8"/>
    <s v="San Francisco"/>
    <n v="0"/>
    <n v="0"/>
    <n v="0"/>
    <n v="2670.98"/>
    <n v="-2670.98"/>
    <n v="0"/>
    <s v="Anthony Pantaleoni"/>
    <s v="Olivia Gorfain"/>
    <s v="Anthony Pantaleoni"/>
    <n v="0"/>
  </r>
  <r>
    <s v="93549"/>
    <d v="2025-08-07T00:00:00"/>
    <x v="58"/>
    <x v="8"/>
    <s v="San Francisco"/>
    <n v="0"/>
    <n v="0"/>
    <n v="0"/>
    <n v="-3006.19"/>
    <n v="3006.19"/>
    <n v="0"/>
    <s v="Anthony Pantaleoni"/>
    <s v="Olivia Gorfain"/>
    <s v="Anthony Pantaleoni"/>
    <n v="0"/>
  </r>
  <r>
    <s v="93753"/>
    <d v="2025-08-07T00:00:00"/>
    <x v="58"/>
    <x v="8"/>
    <s v="San Francisco"/>
    <n v="0"/>
    <n v="0"/>
    <n v="0"/>
    <n v="245.7"/>
    <n v="-245.7"/>
    <n v="0"/>
    <s v="Anthony Pantaleoni"/>
    <s v="Olivia Gorfain"/>
    <s v="Anthony Pantaleoni"/>
    <n v="0"/>
  </r>
  <r>
    <s v="93753"/>
    <d v="2025-08-09T00:00:00"/>
    <x v="58"/>
    <x v="8"/>
    <s v="San Francisco"/>
    <n v="0"/>
    <n v="0"/>
    <n v="0"/>
    <n v="0.01"/>
    <n v="-0.01"/>
    <n v="0"/>
    <s v="Anthony Pantaleoni"/>
    <s v="Olivia Gorfain"/>
    <s v="Anthony Pantaleoni"/>
    <n v="0"/>
  </r>
  <r>
    <s v="93549"/>
    <d v="2025-08-11T00:00:00"/>
    <x v="58"/>
    <x v="8"/>
    <s v="San Francisco"/>
    <n v="0"/>
    <n v="0"/>
    <n v="0"/>
    <n v="-100"/>
    <n v="100"/>
    <n v="0"/>
    <s v="Anthony Pantaleoni"/>
    <s v="Olivia Gorfain"/>
    <s v="Anthony Pantaleoni"/>
    <n v="0"/>
  </r>
  <r>
    <s v="91943"/>
    <d v="2025-08-12T00:00:00"/>
    <x v="58"/>
    <x v="8"/>
    <s v="San Francisco"/>
    <n v="0"/>
    <n v="0"/>
    <n v="0"/>
    <n v="-86"/>
    <n v="86"/>
    <n v="0"/>
    <s v="Anthony Pantaleoni"/>
    <s v="Olivia Gorfain"/>
    <s v="Anthony Pantaleoni"/>
    <n v="0"/>
  </r>
  <r>
    <s v="93549"/>
    <d v="2025-08-13T00:00:00"/>
    <x v="58"/>
    <x v="8"/>
    <s v="San Francisco"/>
    <n v="0"/>
    <n v="0"/>
    <n v="0"/>
    <n v="-33"/>
    <n v="33"/>
    <n v="0"/>
    <s v="Anthony Pantaleoni"/>
    <s v="Olivia Gorfain"/>
    <s v="Anthony Pantaleoni"/>
    <n v="0"/>
  </r>
  <r>
    <s v="93753"/>
    <d v="2025-08-13T00:00:00"/>
    <x v="58"/>
    <x v="8"/>
    <s v="San Francisco"/>
    <n v="0"/>
    <n v="0"/>
    <n v="0"/>
    <n v="33"/>
    <n v="-33"/>
    <n v="0"/>
    <s v="Anthony Pantaleoni"/>
    <s v="Olivia Gorfain"/>
    <s v="Anthony Pantaleoni"/>
    <n v="0"/>
  </r>
  <r>
    <s v="91943"/>
    <d v="2025-08-18T00:00:00"/>
    <x v="58"/>
    <x v="8"/>
    <s v="San Francisco"/>
    <n v="0"/>
    <n v="144.68"/>
    <n v="144.68"/>
    <n v="144.68"/>
    <n v="0"/>
    <n v="0"/>
    <s v="Anthony Pantaleoni"/>
    <s v="Olivia Gorfain"/>
    <s v="Anthony Pantaleoni"/>
    <n v="0"/>
  </r>
  <r>
    <s v="93753"/>
    <d v="2025-08-19T00:00:00"/>
    <x v="58"/>
    <x v="8"/>
    <s v="San Francisco"/>
    <n v="0"/>
    <n v="0"/>
    <n v="0"/>
    <n v="559.41"/>
    <n v="-559.41"/>
    <n v="0"/>
    <s v="Anthony Pantaleoni"/>
    <s v="Olivia Gorfain"/>
    <s v="Anthony Pantaleoni"/>
    <n v="0"/>
  </r>
  <r>
    <s v="91943"/>
    <d v="2025-08-21T00:00:00"/>
    <x v="58"/>
    <x v="8"/>
    <s v="San Francisco"/>
    <n v="0"/>
    <n v="0"/>
    <n v="0"/>
    <n v="593.91999999999996"/>
    <n v="-593.91999999999996"/>
    <n v="0"/>
    <s v="Anthony Pantaleoni"/>
    <s v="Olivia Gorfain"/>
    <s v="Anthony Pantaleoni"/>
    <n v="0"/>
  </r>
  <r>
    <s v="91943"/>
    <d v="2025-08-22T00:00:00"/>
    <x v="58"/>
    <x v="8"/>
    <s v="San Francisco"/>
    <n v="0"/>
    <n v="0"/>
    <n v="0"/>
    <n v="7.11"/>
    <n v="-7.11"/>
    <n v="0"/>
    <s v="Anthony Pantaleoni"/>
    <s v="Olivia Gorfain"/>
    <s v="Anthony Pantaleoni"/>
    <n v="0"/>
  </r>
  <r>
    <s v="93549"/>
    <d v="2025-08-26T00:00:00"/>
    <x v="58"/>
    <x v="8"/>
    <s v="San Francisco"/>
    <n v="0"/>
    <n v="0"/>
    <n v="0"/>
    <n v="100"/>
    <n v="-100"/>
    <n v="0"/>
    <s v="Anthony Pantaleoni"/>
    <s v="Olivia Gorfain"/>
    <s v="Anthony Pantaleoni"/>
    <n v="0"/>
  </r>
  <r>
    <s v="93753"/>
    <d v="2025-08-26T00:00:00"/>
    <x v="58"/>
    <x v="8"/>
    <s v="San Francisco"/>
    <n v="0"/>
    <n v="0"/>
    <n v="0"/>
    <n v="38.229999999999997"/>
    <n v="-38.229999999999997"/>
    <n v="0"/>
    <s v="Anthony Pantaleoni"/>
    <s v="Olivia Gorfain"/>
    <s v="Anthony Pantaleoni"/>
    <n v="0"/>
  </r>
  <r>
    <s v="94225"/>
    <d v="2025-08-29T00:00:00"/>
    <x v="58"/>
    <x v="8"/>
    <s v="San Francisco"/>
    <n v="10981.63"/>
    <n v="0"/>
    <n v="10981.63"/>
    <n v="7515.77"/>
    <n v="3465.86"/>
    <n v="0.31560524000000001"/>
    <s v="Anthony Pantaleoni"/>
    <s v="Olivia Gorfain"/>
    <s v="Anthony Pantaleoni"/>
    <n v="1"/>
  </r>
  <r>
    <s v="91943"/>
    <d v="2025-08-29T00:00:00"/>
    <x v="58"/>
    <x v="8"/>
    <s v="San Francisco"/>
    <n v="0"/>
    <n v="0"/>
    <n v="0"/>
    <n v="7200"/>
    <n v="-7200"/>
    <n v="0"/>
    <s v="Anthony Pantaleoni"/>
    <s v="Olivia Gorfain"/>
    <s v="Anthony Pantaleoni"/>
    <n v="0"/>
  </r>
  <r>
    <s v="93693"/>
    <d v="2025-08-04T00:00:00"/>
    <x v="59"/>
    <x v="6"/>
    <s v="San Jose"/>
    <n v="2171.69"/>
    <n v="0"/>
    <n v="2171.69"/>
    <n v="1560.36"/>
    <n v="611.33000000000004"/>
    <n v="0.28149965999999998"/>
    <s v="Maria Estrada"/>
    <s v="Kate Ingelstrom"/>
    <s v="Maria Estrada"/>
    <n v="1"/>
  </r>
  <r>
    <s v="93746"/>
    <d v="2025-08-06T00:00:00"/>
    <x v="60"/>
    <x v="12"/>
    <s v="San Jose"/>
    <n v="1450"/>
    <n v="0"/>
    <n v="1450"/>
    <n v="1090.5999999999999"/>
    <n v="359.4"/>
    <n v="0.24786206999999999"/>
    <s v="Troy Ocariza"/>
    <s v="Troy Ocariza"/>
    <s v="Troy Ocariza"/>
    <n v="1"/>
  </r>
  <r>
    <s v="93706"/>
    <d v="2025-08-01T00:00:00"/>
    <x v="61"/>
    <x v="13"/>
    <s v="Sacramento"/>
    <n v="0"/>
    <n v="0"/>
    <n v="0"/>
    <n v="-4.5999999999999996"/>
    <n v="4.5999999999999996"/>
    <n v="0"/>
    <s v="Rayna Mitchell"/>
    <s v="Alex Blangeres"/>
    <s v="Rayna Mitchell"/>
    <n v="0"/>
  </r>
  <r>
    <s v="93706"/>
    <d v="2025-08-11T00:00:00"/>
    <x v="61"/>
    <x v="13"/>
    <s v="Sacramento"/>
    <n v="0"/>
    <n v="177"/>
    <n v="177"/>
    <n v="146.83000000000001"/>
    <n v="30.17"/>
    <n v="0.17045198"/>
    <s v="Rayna Mitchell"/>
    <s v="Alex Blangeres"/>
    <s v="Rayna Mitchell"/>
    <n v="0"/>
  </r>
  <r>
    <s v="93989"/>
    <d v="2025-08-12T00:00:00"/>
    <x v="61"/>
    <x v="13"/>
    <s v="Sacramento"/>
    <n v="575.24"/>
    <n v="0"/>
    <n v="575.24"/>
    <n v="458.16"/>
    <n v="117.08"/>
    <n v="0.20353244000000001"/>
    <s v="Rayna Mitchell"/>
    <s v="Alex Blangeres"/>
    <s v="Rayna Mitchell"/>
    <n v="1"/>
  </r>
  <r>
    <s v="91576"/>
    <d v="2025-08-30T00:00:00"/>
    <x v="61"/>
    <x v="13"/>
    <s v="Sacramento"/>
    <n v="0"/>
    <n v="0"/>
    <n v="0"/>
    <n v="160"/>
    <n v="-160"/>
    <n v="0"/>
    <s v="Rayna Mitchell"/>
    <s v="Alex Blangeres"/>
    <s v="Rayna Mitchell"/>
    <n v="0"/>
  </r>
  <r>
    <s v="92594"/>
    <d v="2025-08-15T00:00:00"/>
    <x v="62"/>
    <x v="2"/>
    <s v="Sacramento"/>
    <n v="176445.96"/>
    <n v="0"/>
    <n v="176445.96"/>
    <n v="130722.13"/>
    <n v="45723.83"/>
    <n v="0.25913786999999999"/>
    <s v="Farrah Race,Shayle Wallis"/>
    <s v="Alex Blangeres"/>
    <s v="Farrah Race"/>
    <n v="1"/>
  </r>
  <r>
    <s v="92594"/>
    <d v="2025-08-18T00:00:00"/>
    <x v="62"/>
    <x v="2"/>
    <s v="Sacramento"/>
    <n v="0"/>
    <n v="-1600"/>
    <n v="-1600"/>
    <n v="-1257.4000000000001"/>
    <n v="-342.6"/>
    <n v="0.21412500000000001"/>
    <s v="Farrah Race,Shayle Wallis"/>
    <s v="Alex Blangeres"/>
    <s v="Farrah Race"/>
    <n v="0"/>
  </r>
  <r>
    <s v="92594"/>
    <d v="2025-08-19T00:00:00"/>
    <x v="62"/>
    <x v="2"/>
    <s v="Sacramento"/>
    <n v="0"/>
    <n v="0"/>
    <n v="0"/>
    <n v="-115.34"/>
    <n v="115.34"/>
    <n v="0"/>
    <s v="Farrah Race,Shayle Wallis"/>
    <s v="Alex Blangeres"/>
    <s v="Farrah Race"/>
    <n v="0"/>
  </r>
  <r>
    <s v="92594"/>
    <d v="2025-08-20T00:00:00"/>
    <x v="62"/>
    <x v="2"/>
    <s v="Sacramento"/>
    <n v="0"/>
    <n v="46.47"/>
    <n v="46.47"/>
    <n v="33.83"/>
    <n v="12.64"/>
    <n v="0.27200343999999999"/>
    <s v="Farrah Race,Shayle Wallis"/>
    <s v="Alex Blangeres"/>
    <s v="Farrah Race"/>
    <n v="0"/>
  </r>
  <r>
    <s v="92594"/>
    <d v="2025-08-21T00:00:00"/>
    <x v="62"/>
    <x v="2"/>
    <s v="Sacramento"/>
    <n v="0"/>
    <n v="-35"/>
    <n v="-35"/>
    <n v="-188.52"/>
    <n v="153.52000000000001"/>
    <n v="-4.3862857100000001"/>
    <s v="Farrah Race,Shayle Wallis"/>
    <s v="Alex Blangeres"/>
    <s v="Farrah Race"/>
    <n v="0"/>
  </r>
  <r>
    <s v="94234"/>
    <d v="2025-08-27T00:00:00"/>
    <x v="63"/>
    <x v="0"/>
    <s v="San Francisco"/>
    <n v="0"/>
    <n v="0"/>
    <n v="0"/>
    <n v="69.489999999999995"/>
    <n v="-69.489999999999995"/>
    <n v="0"/>
    <s v="Chryslyn Perkins"/>
    <s v="Owen Cunningham"/>
    <s v="Chryslyn Perkins"/>
    <n v="0"/>
  </r>
  <r>
    <s v="91483"/>
    <d v="2025-08-22T00:00:00"/>
    <x v="64"/>
    <x v="15"/>
    <s v="San Jose"/>
    <n v="0"/>
    <n v="0"/>
    <n v="0"/>
    <n v="360"/>
    <n v="-360"/>
    <n v="0"/>
    <s v="Marena Brown"/>
    <s v="Lela Huenergardt"/>
    <s v="Marena Brown"/>
    <n v="0"/>
  </r>
  <r>
    <s v="92196"/>
    <d v="2025-08-04T00:00:00"/>
    <x v="65"/>
    <x v="17"/>
    <s v="San Jose"/>
    <n v="3610"/>
    <n v="0"/>
    <n v="3610"/>
    <n v="2705.95"/>
    <n v="904.05"/>
    <n v="0.25042935999999999"/>
    <s v="Mary Sparacino"/>
    <s v="Kate Ingelstrom"/>
    <s v="Mary Sparacino"/>
    <n v="1"/>
  </r>
  <r>
    <s v="85470"/>
    <d v="2025-08-21T00:00:00"/>
    <x v="66"/>
    <x v="5"/>
    <s v="San Francisco"/>
    <n v="0"/>
    <n v="0"/>
    <n v="0"/>
    <n v="270.58999999999997"/>
    <n v="-270.58999999999997"/>
    <n v="0"/>
    <s v="Kimi Katsuyoshi"/>
    <s v="Jill Marsh"/>
    <s v="Kimi Katsuyoshi"/>
    <n v="0"/>
  </r>
  <r>
    <s v="92797"/>
    <d v="2025-08-19T00:00:00"/>
    <x v="67"/>
    <x v="10"/>
    <s v="Sacramento"/>
    <n v="0"/>
    <n v="0"/>
    <n v="0"/>
    <n v="-75"/>
    <n v="75"/>
    <n v="0"/>
    <s v="Andrea Greever"/>
    <s v="Simon Sheppard"/>
    <s v="Andrea Greever"/>
    <n v="0"/>
  </r>
  <r>
    <s v="93865"/>
    <d v="2025-08-05T00:00:00"/>
    <x v="68"/>
    <x v="15"/>
    <s v="San Jose"/>
    <n v="1811.32"/>
    <n v="0"/>
    <n v="1811.32"/>
    <n v="1504.25"/>
    <n v="307.07"/>
    <n v="0.16952829999999999"/>
    <s v="Marena Brown"/>
    <s v="Lela Huenergardt"/>
    <s v="Marena Brown"/>
    <n v="1"/>
  </r>
  <r>
    <s v="93865"/>
    <d v="2025-08-06T00:00:00"/>
    <x v="68"/>
    <x v="15"/>
    <s v="San Jose"/>
    <n v="0"/>
    <n v="0"/>
    <n v="0"/>
    <n v="36.979999999999997"/>
    <n v="-36.979999999999997"/>
    <n v="0"/>
    <s v="Marena Brown"/>
    <s v="Lela Huenergardt"/>
    <s v="Marena Brown"/>
    <n v="0"/>
  </r>
  <r>
    <s v="92921"/>
    <d v="2025-08-07T00:00:00"/>
    <x v="68"/>
    <x v="15"/>
    <s v="San Jose"/>
    <n v="0"/>
    <n v="0"/>
    <n v="0"/>
    <n v="404.99"/>
    <n v="-404.99"/>
    <n v="0"/>
    <s v="Marena Brown"/>
    <s v="Lela Huenergardt"/>
    <s v="Marena Brown"/>
    <n v="0"/>
  </r>
  <r>
    <s v="92921"/>
    <d v="2025-08-12T00:00:00"/>
    <x v="68"/>
    <x v="15"/>
    <s v="San Jose"/>
    <n v="0"/>
    <n v="0"/>
    <n v="0"/>
    <n v="811.3"/>
    <n v="-811.3"/>
    <n v="0"/>
    <s v="Marena Brown"/>
    <s v="Lela Huenergardt"/>
    <s v="Marena Brown"/>
    <n v="0"/>
  </r>
  <r>
    <s v="92921"/>
    <d v="2025-08-14T00:00:00"/>
    <x v="68"/>
    <x v="15"/>
    <s v="San Jose"/>
    <n v="0"/>
    <n v="0"/>
    <n v="0"/>
    <n v="-72.84"/>
    <n v="72.84"/>
    <n v="0"/>
    <s v="Marena Brown"/>
    <s v="Lela Huenergardt"/>
    <s v="Marena Brown"/>
    <n v="0"/>
  </r>
  <r>
    <s v="92921"/>
    <d v="2025-08-15T00:00:00"/>
    <x v="68"/>
    <x v="15"/>
    <s v="San Jose"/>
    <n v="0"/>
    <n v="0"/>
    <n v="0"/>
    <n v="331.6"/>
    <n v="-331.6"/>
    <n v="0"/>
    <s v="Marena Brown"/>
    <s v="Lela Huenergardt"/>
    <s v="Marena Brown"/>
    <n v="0"/>
  </r>
  <r>
    <s v="92921"/>
    <d v="2025-08-20T00:00:00"/>
    <x v="68"/>
    <x v="15"/>
    <s v="San Jose"/>
    <n v="0"/>
    <n v="0"/>
    <n v="0"/>
    <n v="8.2899999999999991"/>
    <n v="-8.2899999999999991"/>
    <n v="0"/>
    <s v="Marena Brown"/>
    <s v="Lela Huenergardt"/>
    <s v="Marena Brown"/>
    <n v="0"/>
  </r>
  <r>
    <s v="92921"/>
    <d v="2025-08-21T00:00:00"/>
    <x v="68"/>
    <x v="15"/>
    <s v="San Jose"/>
    <n v="0"/>
    <n v="0"/>
    <n v="0"/>
    <n v="194.15"/>
    <n v="-194.15"/>
    <n v="0"/>
    <s v="Marena Brown"/>
    <s v="Lela Huenergardt"/>
    <s v="Marena Brown"/>
    <n v="0"/>
  </r>
  <r>
    <s v="92263"/>
    <d v="2025-08-04T00:00:00"/>
    <x v="69"/>
    <x v="0"/>
    <s v="San Francisco"/>
    <n v="0"/>
    <n v="0"/>
    <n v="0"/>
    <n v="155.41999999999999"/>
    <n v="-155.41999999999999"/>
    <n v="0"/>
    <s v="Chryslyn Perkins"/>
    <s v="Owen Cunningham"/>
    <s v="Chryslyn Perkins"/>
    <n v="0"/>
  </r>
  <r>
    <s v="92263"/>
    <d v="2025-08-13T00:00:00"/>
    <x v="69"/>
    <x v="0"/>
    <s v="San Francisco"/>
    <n v="0"/>
    <n v="-756"/>
    <n v="-756"/>
    <n v="-564.48"/>
    <n v="-191.52"/>
    <n v="0.25333333000000002"/>
    <s v="Chryslyn Perkins"/>
    <s v="Owen Cunningham"/>
    <s v="Chryslyn Perkins"/>
    <n v="0"/>
  </r>
  <r>
    <s v="92263"/>
    <d v="2025-08-26T00:00:00"/>
    <x v="69"/>
    <x v="0"/>
    <s v="San Francisco"/>
    <n v="0"/>
    <n v="0"/>
    <n v="0"/>
    <n v="-0.59"/>
    <n v="0.59"/>
    <n v="0"/>
    <s v="Chryslyn Perkins"/>
    <s v="Owen Cunningham"/>
    <s v="Chryslyn Perkins"/>
    <n v="0"/>
  </r>
  <r>
    <s v="92263"/>
    <d v="2025-08-28T00:00:00"/>
    <x v="69"/>
    <x v="0"/>
    <s v="San Francisco"/>
    <n v="0"/>
    <n v="0"/>
    <n v="0"/>
    <n v="14.7"/>
    <n v="-14.7"/>
    <n v="0"/>
    <s v="Chryslyn Perkins"/>
    <s v="Owen Cunningham"/>
    <s v="Chryslyn Perkins"/>
    <n v="0"/>
  </r>
  <r>
    <s v="91256"/>
    <d v="2025-08-12T00:00:00"/>
    <x v="70"/>
    <x v="8"/>
    <s v="San Francisco"/>
    <n v="0"/>
    <n v="0"/>
    <n v="0"/>
    <n v="2326.0500000000002"/>
    <n v="-2326.0500000000002"/>
    <n v="0"/>
    <s v="Genesis Rita"/>
    <s v="Olivia Gorfain"/>
    <s v="Genesis Rita"/>
    <n v="0"/>
  </r>
  <r>
    <s v="91455"/>
    <d v="2025-08-12T00:00:00"/>
    <x v="70"/>
    <x v="8"/>
    <s v="San Francisco"/>
    <n v="0"/>
    <n v="0"/>
    <n v="0"/>
    <n v="758.72"/>
    <n v="-758.72"/>
    <n v="0"/>
    <s v="Genesis Rita"/>
    <s v="Olivia Gorfain"/>
    <s v="Genesis Rita"/>
    <n v="0"/>
  </r>
  <r>
    <s v="92472"/>
    <d v="2025-08-12T00:00:00"/>
    <x v="70"/>
    <x v="8"/>
    <s v="San Francisco"/>
    <n v="0"/>
    <n v="0"/>
    <n v="0"/>
    <n v="336.83"/>
    <n v="-336.83"/>
    <n v="0"/>
    <s v="Genesis Rita"/>
    <s v="Olivia Gorfain"/>
    <s v="Genesis Rita"/>
    <n v="0"/>
  </r>
  <r>
    <s v="92034"/>
    <d v="2025-08-19T00:00:00"/>
    <x v="70"/>
    <x v="8"/>
    <s v="San Francisco"/>
    <n v="0"/>
    <n v="-10013.290000000001"/>
    <n v="-10013.290000000001"/>
    <n v="0"/>
    <n v="-10013.290000000001"/>
    <n v="1"/>
    <s v="Genesis Rita"/>
    <s v="Olivia Gorfain"/>
    <s v="Genesis Rita"/>
    <n v="0"/>
  </r>
  <r>
    <s v="91256"/>
    <d v="2025-08-20T00:00:00"/>
    <x v="70"/>
    <x v="8"/>
    <s v="San Francisco"/>
    <n v="0"/>
    <n v="0"/>
    <n v="0"/>
    <n v="1550.7"/>
    <n v="-1550.7"/>
    <n v="0"/>
    <s v="Genesis Rita"/>
    <s v="Olivia Gorfain"/>
    <s v="Genesis Rita"/>
    <n v="0"/>
  </r>
  <r>
    <s v="91455"/>
    <d v="2025-08-20T00:00:00"/>
    <x v="70"/>
    <x v="8"/>
    <s v="San Francisco"/>
    <n v="0"/>
    <n v="0"/>
    <n v="0"/>
    <n v="132.47999999999999"/>
    <n v="-132.47999999999999"/>
    <n v="0"/>
    <s v="Genesis Rita"/>
    <s v="Olivia Gorfain"/>
    <s v="Genesis Rita"/>
    <n v="0"/>
  </r>
  <r>
    <s v="92034"/>
    <d v="2025-08-20T00:00:00"/>
    <x v="70"/>
    <x v="8"/>
    <s v="San Francisco"/>
    <n v="0"/>
    <n v="0"/>
    <n v="0"/>
    <n v="2407.0500000000002"/>
    <n v="-2407.0500000000002"/>
    <n v="0"/>
    <s v="Genesis Rita"/>
    <s v="Olivia Gorfain"/>
    <s v="Genesis Rita"/>
    <n v="0"/>
  </r>
  <r>
    <s v="92472"/>
    <d v="2025-08-20T00:00:00"/>
    <x v="70"/>
    <x v="8"/>
    <s v="San Francisco"/>
    <n v="0"/>
    <n v="0"/>
    <n v="0"/>
    <n v="224.55"/>
    <n v="-224.55"/>
    <n v="0"/>
    <s v="Genesis Rita"/>
    <s v="Olivia Gorfain"/>
    <s v="Genesis Rita"/>
    <n v="0"/>
  </r>
  <r>
    <s v="91256"/>
    <d v="2025-08-22T00:00:00"/>
    <x v="70"/>
    <x v="8"/>
    <s v="San Francisco"/>
    <n v="0"/>
    <n v="4191.08"/>
    <n v="4191.08"/>
    <n v="0"/>
    <n v="4191.08"/>
    <n v="1"/>
    <s v="Genesis Rita"/>
    <s v="Olivia Gorfain"/>
    <s v="Genesis Rita"/>
    <n v="0"/>
  </r>
  <r>
    <s v="91455"/>
    <d v="2025-08-22T00:00:00"/>
    <x v="70"/>
    <x v="8"/>
    <s v="San Francisco"/>
    <n v="0"/>
    <n v="358.05"/>
    <n v="358.05"/>
    <n v="0"/>
    <n v="358.05"/>
    <n v="1"/>
    <s v="Genesis Rita"/>
    <s v="Olivia Gorfain"/>
    <s v="Genesis Rita"/>
    <n v="0"/>
  </r>
  <r>
    <s v="92034"/>
    <d v="2025-08-22T00:00:00"/>
    <x v="70"/>
    <x v="8"/>
    <s v="San Francisco"/>
    <n v="0"/>
    <n v="2602.2199999999998"/>
    <n v="2602.2199999999998"/>
    <n v="0"/>
    <n v="2602.2199999999998"/>
    <n v="1"/>
    <s v="Genesis Rita"/>
    <s v="Olivia Gorfain"/>
    <s v="Genesis Rita"/>
    <n v="0"/>
  </r>
  <r>
    <s v="92472"/>
    <d v="2025-08-22T00:00:00"/>
    <x v="70"/>
    <x v="8"/>
    <s v="San Francisco"/>
    <n v="0"/>
    <n v="606.9"/>
    <n v="606.9"/>
    <n v="0"/>
    <n v="606.9"/>
    <n v="1"/>
    <s v="Genesis Rita"/>
    <s v="Olivia Gorfain"/>
    <s v="Genesis Rita"/>
    <n v="0"/>
  </r>
  <r>
    <s v="93054"/>
    <d v="2025-08-22T00:00:00"/>
    <x v="71"/>
    <x v="8"/>
    <s v="San Francisco"/>
    <n v="250264.21"/>
    <n v="0"/>
    <n v="250264.21"/>
    <n v="197520.32"/>
    <n v="52743.89"/>
    <n v="0.21075283"/>
    <s v="Anthony Pantaleoni"/>
    <s v="Olivia Gorfain"/>
    <s v="Anthony Pantaleoni"/>
    <n v="1"/>
  </r>
  <r>
    <s v="93473"/>
    <d v="2025-08-22T00:00:00"/>
    <x v="71"/>
    <x v="8"/>
    <s v="San Francisco"/>
    <n v="352642.14"/>
    <n v="0"/>
    <n v="352642.14"/>
    <n v="294768.17"/>
    <n v="57873.97"/>
    <n v="0.16411529999999999"/>
    <s v="Anthony Pantaleoni"/>
    <s v="Olivia Gorfain"/>
    <s v="Anthony Pantaleoni"/>
    <n v="1"/>
  </r>
  <r>
    <s v="93714"/>
    <d v="2025-08-04T00:00:00"/>
    <x v="71"/>
    <x v="8"/>
    <s v="San Francisco"/>
    <n v="31920"/>
    <n v="0"/>
    <n v="31920"/>
    <n v="27140.3"/>
    <n v="4779.7"/>
    <n v="0.14973997"/>
    <s v="Anthony Pantaleoni,Hana Estrada"/>
    <s v="Olivia Gorfain"/>
    <s v="Anthony Pantaleoni"/>
    <n v="1"/>
  </r>
  <r>
    <s v="93763"/>
    <d v="2025-08-04T00:00:00"/>
    <x v="71"/>
    <x v="8"/>
    <s v="San Jose"/>
    <n v="20535.900000000001"/>
    <n v="0"/>
    <n v="20535.900000000001"/>
    <n v="24.64"/>
    <n v="20511.259999999998"/>
    <n v="0.99880015"/>
    <s v="Genesis Rita"/>
    <s v="Olivia Gorfain"/>
    <s v="Genesis Rita"/>
    <n v="1"/>
  </r>
  <r>
    <s v="93674"/>
    <d v="2025-08-15T00:00:00"/>
    <x v="71"/>
    <x v="8"/>
    <s v="San Francisco"/>
    <n v="29700"/>
    <n v="0"/>
    <n v="29700"/>
    <n v="22275"/>
    <n v="7425"/>
    <n v="0.25"/>
    <s v="Genesis Rita"/>
    <s v="Olivia Gorfain"/>
    <s v="Genesis Rita"/>
    <n v="1"/>
  </r>
  <r>
    <s v="93840"/>
    <d v="2025-08-15T00:00:00"/>
    <x v="71"/>
    <x v="8"/>
    <s v="San Francisco"/>
    <n v="29300"/>
    <n v="0"/>
    <n v="29300"/>
    <n v="21975"/>
    <n v="7325"/>
    <n v="0.25"/>
    <s v="Genesis Rita"/>
    <s v="Olivia Gorfain"/>
    <s v="Genesis Rita"/>
    <n v="1"/>
  </r>
  <r>
    <s v="90506"/>
    <d v="2025-08-01T00:00:00"/>
    <x v="72"/>
    <x v="0"/>
    <s v="San Francisco"/>
    <n v="0"/>
    <n v="0"/>
    <n v="0"/>
    <n v="271.95999999999998"/>
    <n v="-271.95999999999998"/>
    <n v="0"/>
    <s v="Frances Kim"/>
    <s v="Owen Cunningham"/>
    <s v="Frances Kim"/>
    <n v="0"/>
  </r>
  <r>
    <s v="93671"/>
    <d v="2025-08-01T00:00:00"/>
    <x v="72"/>
    <x v="0"/>
    <s v="San Francisco"/>
    <n v="0"/>
    <n v="0"/>
    <n v="0"/>
    <n v="-119.96"/>
    <n v="119.96"/>
    <n v="0"/>
    <s v="Frances Kim"/>
    <s v="Owen Cunningham"/>
    <s v="Frances Kim"/>
    <n v="0"/>
  </r>
  <r>
    <s v="93671"/>
    <d v="2025-08-04T00:00:00"/>
    <x v="72"/>
    <x v="0"/>
    <s v="San Francisco"/>
    <n v="0"/>
    <n v="0"/>
    <n v="0"/>
    <n v="-9.7899999999999991"/>
    <n v="9.7899999999999991"/>
    <n v="0"/>
    <s v="Frances Kim"/>
    <s v="Owen Cunningham"/>
    <s v="Frances Kim"/>
    <n v="0"/>
  </r>
  <r>
    <s v="90506"/>
    <d v="2025-08-05T00:00:00"/>
    <x v="72"/>
    <x v="0"/>
    <s v="San Francisco"/>
    <n v="0"/>
    <n v="0"/>
    <n v="0"/>
    <n v="-960"/>
    <n v="960"/>
    <n v="0"/>
    <s v="Frances Kim"/>
    <s v="Owen Cunningham"/>
    <s v="Frances Kim"/>
    <n v="0"/>
  </r>
  <r>
    <s v="93671"/>
    <d v="2025-08-07T00:00:00"/>
    <x v="72"/>
    <x v="0"/>
    <s v="San Francisco"/>
    <n v="0"/>
    <n v="0"/>
    <n v="0"/>
    <n v="-166.48"/>
    <n v="166.48"/>
    <n v="0"/>
    <s v="Frances Kim"/>
    <s v="Owen Cunningham"/>
    <s v="Frances Kim"/>
    <n v="0"/>
  </r>
  <r>
    <s v="93671"/>
    <d v="2025-08-08T00:00:00"/>
    <x v="72"/>
    <x v="0"/>
    <s v="San Francisco"/>
    <n v="0"/>
    <n v="0"/>
    <n v="0"/>
    <n v="12.49"/>
    <n v="-12.49"/>
    <n v="0"/>
    <s v="Frances Kim"/>
    <s v="Owen Cunningham"/>
    <s v="Frances Kim"/>
    <n v="0"/>
  </r>
  <r>
    <s v="93671"/>
    <d v="2025-08-09T00:00:00"/>
    <x v="72"/>
    <x v="0"/>
    <s v="San Francisco"/>
    <n v="0"/>
    <n v="0"/>
    <n v="0"/>
    <n v="-0.01"/>
    <n v="0.01"/>
    <n v="0"/>
    <s v="Frances Kim"/>
    <s v="Owen Cunningham"/>
    <s v="Frances Kim"/>
    <n v="0"/>
  </r>
  <r>
    <s v="90506"/>
    <d v="2025-08-25T00:00:00"/>
    <x v="72"/>
    <x v="0"/>
    <s v="San Francisco"/>
    <n v="0"/>
    <n v="0"/>
    <n v="0"/>
    <n v="1180"/>
    <n v="-1180"/>
    <n v="0"/>
    <s v="Frances Kim"/>
    <s v="Owen Cunningham"/>
    <s v="Frances Kim"/>
    <n v="0"/>
  </r>
  <r>
    <s v="93349"/>
    <d v="2025-08-27T00:00:00"/>
    <x v="72"/>
    <x v="0"/>
    <s v="San Francisco"/>
    <n v="0"/>
    <n v="0"/>
    <n v="0"/>
    <n v="112.5"/>
    <n v="-112.5"/>
    <n v="0"/>
    <s v="Frances Kim"/>
    <s v="Owen Cunningham"/>
    <s v="Frances Kim"/>
    <n v="0"/>
  </r>
  <r>
    <s v="89141"/>
    <d v="2025-08-22T00:00:00"/>
    <x v="73"/>
    <x v="15"/>
    <s v="San Jose"/>
    <n v="0"/>
    <n v="0"/>
    <n v="0"/>
    <n v="489.42"/>
    <n v="-489.42"/>
    <n v="0"/>
    <s v="Megan Ewers"/>
    <s v="Lela Huenergardt"/>
    <s v="Megan Ewers"/>
    <n v="0"/>
  </r>
  <r>
    <s v="93982"/>
    <d v="2025-08-27T00:00:00"/>
    <x v="73"/>
    <x v="15"/>
    <s v="San Jose"/>
    <n v="627.45000000000005"/>
    <n v="0"/>
    <n v="627.45000000000005"/>
    <n v="0"/>
    <n v="627.45000000000005"/>
    <n v="1"/>
    <s v="Megan Ewers"/>
    <s v="Lela Huenergardt"/>
    <s v="Megan Ewers"/>
    <n v="1"/>
  </r>
  <r>
    <s v="89141"/>
    <d v="2025-08-28T00:00:00"/>
    <x v="73"/>
    <x v="15"/>
    <s v="San Jose"/>
    <n v="0"/>
    <n v="0"/>
    <n v="0"/>
    <n v="-262.5"/>
    <n v="262.5"/>
    <n v="0"/>
    <s v="Megan Ewers"/>
    <s v="Lela Huenergardt"/>
    <s v="Megan Ewers"/>
    <n v="0"/>
  </r>
  <r>
    <s v="92573"/>
    <d v="2025-08-05T00:00:00"/>
    <x v="74"/>
    <x v="8"/>
    <s v="San Francisco"/>
    <n v="327599.84999999998"/>
    <n v="0"/>
    <n v="327599.84999999998"/>
    <n v="232735.58"/>
    <n v="94864.27"/>
    <n v="0.28957360999999998"/>
    <s v="Chryslyn Perkins"/>
    <s v="Olivia Gorfain"/>
    <s v="Chryslyn Perkins"/>
    <n v="1"/>
  </r>
  <r>
    <s v="92573"/>
    <d v="2025-08-15T00:00:00"/>
    <x v="74"/>
    <x v="8"/>
    <s v="San Francisco"/>
    <n v="0"/>
    <n v="43835"/>
    <n v="43835"/>
    <n v="38000.949999999997"/>
    <n v="5834.05"/>
    <n v="0.13309114"/>
    <s v="Chryslyn Perkins"/>
    <s v="Olivia Gorfain"/>
    <s v="Chryslyn Perkins"/>
    <n v="0"/>
  </r>
  <r>
    <s v="93943"/>
    <d v="2025-08-26T00:00:00"/>
    <x v="74"/>
    <x v="5"/>
    <s v="San Francisco"/>
    <n v="2655"/>
    <n v="0"/>
    <n v="2655"/>
    <n v="1871.22"/>
    <n v="783.78"/>
    <n v="0.29520903999999998"/>
    <s v="Chryslyn Perkins"/>
    <s v="Jill Marsh"/>
    <s v="Chryslyn Perkins"/>
    <n v="1"/>
  </r>
  <r>
    <s v="91654"/>
    <d v="2025-08-30T00:00:00"/>
    <x v="75"/>
    <x v="3"/>
    <s v="San Jose"/>
    <n v="0"/>
    <n v="0"/>
    <n v="0"/>
    <n v="-1355"/>
    <n v="1355"/>
    <n v="0"/>
    <s v="Maria Estrada"/>
    <s v="Chris Cicisly"/>
    <s v="Maria Estrada"/>
    <n v="0"/>
  </r>
  <r>
    <s v="86626"/>
    <d v="2025-08-25T00:00:00"/>
    <x v="76"/>
    <x v="18"/>
    <s v="San Francisco"/>
    <n v="0"/>
    <n v="0"/>
    <n v="0"/>
    <n v="20"/>
    <n v="-20"/>
    <n v="0"/>
    <s v="Josie Maitlen"/>
    <s v="Jill Marsh"/>
    <s v="Josie Maitlen"/>
    <n v="0"/>
  </r>
  <r>
    <s v="93935"/>
    <d v="2025-08-22T00:00:00"/>
    <x v="76"/>
    <x v="18"/>
    <s v="San Francisco"/>
    <n v="3414.6"/>
    <n v="0"/>
    <n v="3414.6"/>
    <n v="2390.2199999999998"/>
    <n v="1024.3800000000001"/>
    <n v="0.3"/>
    <s v="Josie Maitlen,Torrey Carroll"/>
    <s v="Jill Marsh"/>
    <s v="Torrey Carroll"/>
    <n v="1"/>
  </r>
  <r>
    <s v="93935"/>
    <d v="2025-08-27T00:00:00"/>
    <x v="76"/>
    <x v="18"/>
    <s v="San Francisco"/>
    <n v="0"/>
    <n v="3739.8"/>
    <n v="3739.8"/>
    <n v="2617.86"/>
    <n v="1121.94"/>
    <n v="0.3"/>
    <s v="Josie Maitlen,Torrey Carroll"/>
    <s v="Jill Marsh"/>
    <s v="Torrey Carroll"/>
    <n v="0"/>
  </r>
  <r>
    <s v="91639"/>
    <d v="2025-08-20T00:00:00"/>
    <x v="77"/>
    <x v="3"/>
    <s v="Sacramento"/>
    <n v="0"/>
    <n v="43.96"/>
    <n v="43.96"/>
    <n v="35.659999999999997"/>
    <n v="8.3000000000000007"/>
    <n v="0.18880801"/>
    <s v="Farrah Race"/>
    <s v="Chris Cicisly"/>
    <s v="Farrah Race"/>
    <n v="0"/>
  </r>
  <r>
    <s v="91639"/>
    <d v="2025-08-25T00:00:00"/>
    <x v="77"/>
    <x v="3"/>
    <s v="Sacramento"/>
    <n v="0"/>
    <n v="0"/>
    <n v="0"/>
    <n v="1371.21"/>
    <n v="-1371.21"/>
    <n v="0"/>
    <s v="Farrah Race"/>
    <s v="Chris Cicisly"/>
    <s v="Farrah Race"/>
    <n v="0"/>
  </r>
  <r>
    <s v="91639"/>
    <d v="2025-08-30T00:00:00"/>
    <x v="77"/>
    <x v="3"/>
    <s v="Sacramento"/>
    <n v="0"/>
    <n v="0"/>
    <n v="0"/>
    <n v="300"/>
    <n v="-300"/>
    <n v="0"/>
    <s v="Farrah Race"/>
    <s v="Chris Cicisly"/>
    <s v="Farrah Race"/>
    <n v="0"/>
  </r>
  <r>
    <s v="92675"/>
    <d v="2025-08-05T00:00:00"/>
    <x v="78"/>
    <x v="3"/>
    <s v="San Jose"/>
    <n v="45965.93"/>
    <n v="0"/>
    <n v="45965.93"/>
    <n v="36270.47"/>
    <n v="9695.4599999999991"/>
    <n v="0.21092709000000001"/>
    <s v="Farrah Race,Mary Sparacino"/>
    <s v="Chris Cicisly"/>
    <s v="Farrah Race"/>
    <n v="1"/>
  </r>
  <r>
    <s v="93691"/>
    <d v="2025-08-05T00:00:00"/>
    <x v="78"/>
    <x v="3"/>
    <s v="San Jose"/>
    <n v="43252.21"/>
    <n v="0"/>
    <n v="43252.21"/>
    <n v="32727.45"/>
    <n v="10524.76"/>
    <n v="0.24333462"/>
    <s v="Farrah Race,Mary Sparacino"/>
    <s v="Chris Cicisly"/>
    <s v="Farrah Race"/>
    <n v="1"/>
  </r>
  <r>
    <s v="93691"/>
    <d v="2025-08-06T00:00:00"/>
    <x v="78"/>
    <x v="3"/>
    <s v="San Jose"/>
    <n v="0"/>
    <n v="0"/>
    <n v="0"/>
    <n v="-79.88"/>
    <n v="79.88"/>
    <n v="0"/>
    <s v="Farrah Race,Mary Sparacino"/>
    <s v="Chris Cicisly"/>
    <s v="Farrah Race"/>
    <n v="0"/>
  </r>
  <r>
    <s v="93691"/>
    <d v="2025-08-07T00:00:00"/>
    <x v="78"/>
    <x v="3"/>
    <s v="San Jose"/>
    <n v="0"/>
    <n v="0"/>
    <n v="0"/>
    <n v="-110.92"/>
    <n v="110.92"/>
    <n v="0"/>
    <s v="Farrah Race,Mary Sparacino"/>
    <s v="Chris Cicisly"/>
    <s v="Farrah Race"/>
    <n v="0"/>
  </r>
  <r>
    <s v="93691"/>
    <d v="2025-08-08T00:00:00"/>
    <x v="78"/>
    <x v="3"/>
    <s v="San Jose"/>
    <n v="0"/>
    <n v="0"/>
    <n v="0"/>
    <n v="-2.38"/>
    <n v="2.38"/>
    <n v="0"/>
    <s v="Farrah Race,Mary Sparacino"/>
    <s v="Chris Cicisly"/>
    <s v="Farrah Race"/>
    <n v="0"/>
  </r>
  <r>
    <s v="93691"/>
    <d v="2025-08-11T00:00:00"/>
    <x v="78"/>
    <x v="3"/>
    <s v="San Jose"/>
    <n v="0"/>
    <n v="238.8"/>
    <n v="238.8"/>
    <n v="38.700000000000003"/>
    <n v="200.1"/>
    <n v="0.83793969999999995"/>
    <s v="Farrah Race,Mary Sparacino"/>
    <s v="Chris Cicisly"/>
    <s v="Farrah Race"/>
    <n v="0"/>
  </r>
  <r>
    <s v="93838"/>
    <d v="2025-08-06T00:00:00"/>
    <x v="79"/>
    <x v="3"/>
    <s v="San Jose"/>
    <n v="206.25"/>
    <n v="0"/>
    <n v="206.25"/>
    <n v="217.65"/>
    <n v="-11.4"/>
    <n v="-5.5272729999999999E-2"/>
    <s v="Mary Sparacino"/>
    <s v="Chris Cicisly"/>
    <s v="Mary Sparacino"/>
    <n v="1"/>
  </r>
  <r>
    <s v="93835"/>
    <d v="2025-08-13T00:00:00"/>
    <x v="79"/>
    <x v="3"/>
    <s v="San Jose"/>
    <n v="225"/>
    <n v="0"/>
    <n v="225"/>
    <n v="0"/>
    <n v="225"/>
    <n v="1"/>
    <s v="Mary Sparacino"/>
    <s v="Chris Cicisly"/>
    <s v="Mary Sparacino"/>
    <n v="1"/>
  </r>
  <r>
    <s v="94087"/>
    <d v="2025-08-21T00:00:00"/>
    <x v="79"/>
    <x v="3"/>
    <s v="San Jose"/>
    <n v="799"/>
    <n v="0"/>
    <n v="799"/>
    <n v="499"/>
    <n v="300"/>
    <n v="0.37546933999999998"/>
    <s v="Mary Sparacino"/>
    <s v="Chris Cicisly"/>
    <s v="Mary Sparacino"/>
    <n v="1"/>
  </r>
  <r>
    <s v="92053"/>
    <d v="2025-08-01T00:00:00"/>
    <x v="80"/>
    <x v="3"/>
    <s v="San Jose"/>
    <n v="0"/>
    <n v="0"/>
    <n v="0"/>
    <n v="-750"/>
    <n v="750"/>
    <n v="0"/>
    <s v="Mary Sparacino"/>
    <s v="Chris Cicisly"/>
    <s v="Mary Sparacino"/>
    <n v="0"/>
  </r>
  <r>
    <s v="94155"/>
    <d v="2025-08-27T00:00:00"/>
    <x v="80"/>
    <x v="3"/>
    <s v="San Jose"/>
    <n v="880"/>
    <n v="0"/>
    <n v="880"/>
    <n v="689.43"/>
    <n v="190.57"/>
    <n v="0.21655682000000001"/>
    <s v="Mary Sparacino"/>
    <s v="Chris Cicisly"/>
    <s v="Mary Sparacino"/>
    <n v="1"/>
  </r>
  <r>
    <s v="93834"/>
    <d v="2025-08-13T00:00:00"/>
    <x v="81"/>
    <x v="16"/>
    <s v="San Jose"/>
    <n v="454.35"/>
    <n v="0"/>
    <n v="454.35"/>
    <n v="372.53"/>
    <n v="81.819999999999993"/>
    <n v="0.18008144000000001"/>
    <s v="Matt Denning"/>
    <s v="Jill Marsh"/>
    <s v="Other"/>
    <n v="1"/>
  </r>
  <r>
    <s v="93845"/>
    <d v="2025-08-13T00:00:00"/>
    <x v="81"/>
    <x v="16"/>
    <s v="San Francisco"/>
    <n v="500.68"/>
    <n v="0"/>
    <n v="500.68"/>
    <n v="407.28"/>
    <n v="93.4"/>
    <n v="0.1865463"/>
    <s v="Matt Denning"/>
    <s v="Jill Marsh"/>
    <s v="Other"/>
    <n v="1"/>
  </r>
  <r>
    <s v="94029"/>
    <d v="2025-08-15T00:00:00"/>
    <x v="81"/>
    <x v="16"/>
    <s v="San Jose"/>
    <n v="916.69"/>
    <n v="0"/>
    <n v="916.69"/>
    <n v="731"/>
    <n v="185.69"/>
    <n v="0.20256574999999999"/>
    <s v="Matt Denning"/>
    <s v="Jill Marsh"/>
    <s v="Other"/>
    <n v="1"/>
  </r>
  <r>
    <s v="94029"/>
    <d v="2025-08-19T00:00:00"/>
    <x v="81"/>
    <x v="16"/>
    <s v="San Jose"/>
    <n v="0"/>
    <n v="0"/>
    <n v="0"/>
    <n v="-271.35000000000002"/>
    <n v="271.35000000000002"/>
    <n v="0"/>
    <s v="Matt Denning"/>
    <s v="Jill Marsh"/>
    <s v="Other"/>
    <n v="0"/>
  </r>
  <r>
    <s v="94029"/>
    <d v="2025-08-21T00:00:00"/>
    <x v="81"/>
    <x v="16"/>
    <s v="San Jose"/>
    <n v="0"/>
    <n v="0"/>
    <n v="0"/>
    <n v="-82.35"/>
    <n v="82.35"/>
    <n v="0"/>
    <s v="Matt Denning"/>
    <s v="Jill Marsh"/>
    <s v="Other"/>
    <n v="0"/>
  </r>
  <r>
    <s v="94029"/>
    <d v="2025-08-27T00:00:00"/>
    <x v="81"/>
    <x v="16"/>
    <s v="San Jose"/>
    <n v="0"/>
    <n v="766.69"/>
    <n v="766.69"/>
    <n v="342"/>
    <n v="424.69"/>
    <n v="0.55392662000000004"/>
    <s v="Matt Denning"/>
    <s v="Jill Marsh"/>
    <s v="Other"/>
    <n v="0"/>
  </r>
  <r>
    <s v="93836"/>
    <d v="2025-08-06T00:00:00"/>
    <x v="82"/>
    <x v="19"/>
    <s v="San Jose"/>
    <n v="1754.78"/>
    <n v="0"/>
    <n v="1754.78"/>
    <n v="1345.95"/>
    <n v="408.83"/>
    <n v="0.23298077"/>
    <s v="Gina Ortis"/>
    <s v="Kate Ingelstrom"/>
    <s v="Gina Ortis"/>
    <n v="1"/>
  </r>
  <r>
    <s v="94241"/>
    <d v="2025-08-27T00:00:00"/>
    <x v="82"/>
    <x v="19"/>
    <s v="San Jose"/>
    <n v="453"/>
    <n v="0"/>
    <n v="453"/>
    <n v="300"/>
    <n v="153"/>
    <n v="0.33774833999999998"/>
    <s v="Gina Ortis"/>
    <s v="Kate Ingelstrom"/>
    <s v="Gina Ortis"/>
    <n v="1"/>
  </r>
  <r>
    <s v="93809"/>
    <d v="2025-08-01T00:00:00"/>
    <x v="82"/>
    <x v="19"/>
    <s v="San Jose"/>
    <n v="1651"/>
    <n v="0"/>
    <n v="1651"/>
    <n v="1258.4000000000001"/>
    <n v="392.6"/>
    <n v="0.23779528"/>
    <s v="Norma Lopez"/>
    <s v="Kate Ingelstrom"/>
    <s v="Norma Lopez"/>
    <n v="1"/>
  </r>
  <r>
    <s v="93847"/>
    <d v="2025-08-01T00:00:00"/>
    <x v="82"/>
    <x v="19"/>
    <s v="San Jose"/>
    <n v="2365.25"/>
    <n v="0"/>
    <n v="2365.25"/>
    <n v="1848.16"/>
    <n v="517.09"/>
    <n v="0.2186196"/>
    <s v="Norma Lopez"/>
    <s v="Kate Ingelstrom"/>
    <s v="Norma Lopez"/>
    <n v="1"/>
  </r>
  <r>
    <s v="93788"/>
    <d v="2025-08-01T00:00:00"/>
    <x v="82"/>
    <x v="19"/>
    <s v="San Jose"/>
    <n v="1651"/>
    <n v="0"/>
    <n v="1651"/>
    <n v="1341.4"/>
    <n v="309.60000000000002"/>
    <n v="0.18752271000000001"/>
    <s v="Norma Lopez"/>
    <s v="Kate Ingelstrom"/>
    <s v="Norma Lopez"/>
    <n v="1"/>
  </r>
  <r>
    <s v="93848"/>
    <d v="2025-08-01T00:00:00"/>
    <x v="82"/>
    <x v="19"/>
    <s v="San Jose"/>
    <n v="1514.18"/>
    <n v="0"/>
    <n v="1514.18"/>
    <n v="1169"/>
    <n v="345.18"/>
    <n v="0.22796496999999999"/>
    <s v="Norma Lopez"/>
    <s v="Kate Ingelstrom"/>
    <s v="Norma Lopez"/>
    <n v="1"/>
  </r>
  <r>
    <s v="93850"/>
    <d v="2025-08-01T00:00:00"/>
    <x v="82"/>
    <x v="19"/>
    <s v="San Jose"/>
    <n v="1267.0999999999999"/>
    <n v="0"/>
    <n v="1267.0999999999999"/>
    <n v="977.98"/>
    <n v="289.12"/>
    <n v="0.22817456999999999"/>
    <s v="Norma Lopez"/>
    <s v="Kate Ingelstrom"/>
    <s v="Norma Lopez"/>
    <n v="1"/>
  </r>
  <r>
    <s v="92947"/>
    <d v="2025-08-05T00:00:00"/>
    <x v="82"/>
    <x v="19"/>
    <s v="San Jose"/>
    <n v="0"/>
    <n v="0"/>
    <n v="0"/>
    <n v="50"/>
    <n v="-50"/>
    <n v="0"/>
    <s v="Norma Lopez"/>
    <s v="Kate Ingelstrom"/>
    <s v="Norma Lopez"/>
    <n v="0"/>
  </r>
  <r>
    <s v="93720"/>
    <d v="2025-08-05T00:00:00"/>
    <x v="82"/>
    <x v="19"/>
    <s v="San Jose"/>
    <n v="1215.5999999999999"/>
    <n v="0"/>
    <n v="1215.5999999999999"/>
    <n v="688.98"/>
    <n v="526.62"/>
    <n v="0.43321816000000002"/>
    <s v="Norma Lopez"/>
    <s v="Kate Ingelstrom"/>
    <s v="Norma Lopez"/>
    <n v="1"/>
  </r>
  <r>
    <s v="93798"/>
    <d v="2025-08-05T00:00:00"/>
    <x v="82"/>
    <x v="19"/>
    <s v="San Jose"/>
    <n v="1651"/>
    <n v="0"/>
    <n v="1651"/>
    <n v="1183.4000000000001"/>
    <n v="467.6"/>
    <n v="0.28322228999999999"/>
    <s v="Norma Lopez"/>
    <s v="Kate Ingelstrom"/>
    <s v="Norma Lopez"/>
    <n v="1"/>
  </r>
  <r>
    <s v="93807"/>
    <d v="2025-08-05T00:00:00"/>
    <x v="82"/>
    <x v="19"/>
    <s v="San Jose"/>
    <n v="1651"/>
    <n v="0"/>
    <n v="1651"/>
    <n v="1244.4000000000001"/>
    <n v="406.6"/>
    <n v="0.24627498"/>
    <s v="Norma Lopez"/>
    <s v="Kate Ingelstrom"/>
    <s v="Norma Lopez"/>
    <n v="1"/>
  </r>
  <r>
    <s v="93810"/>
    <d v="2025-08-05T00:00:00"/>
    <x v="82"/>
    <x v="19"/>
    <s v="San Jose"/>
    <n v="1651"/>
    <n v="0"/>
    <n v="1651"/>
    <n v="1336.4"/>
    <n v="314.60000000000002"/>
    <n v="0.19055117999999999"/>
    <s v="Norma Lopez"/>
    <s v="Kate Ingelstrom"/>
    <s v="Norma Lopez"/>
    <n v="1"/>
  </r>
  <r>
    <s v="93896"/>
    <d v="2025-08-05T00:00:00"/>
    <x v="82"/>
    <x v="19"/>
    <s v="San Jose"/>
    <n v="1651"/>
    <n v="0"/>
    <n v="1651"/>
    <n v="1266.4000000000001"/>
    <n v="384.6"/>
    <n v="0.23294972999999999"/>
    <s v="Norma Lopez"/>
    <s v="Kate Ingelstrom"/>
    <s v="Norma Lopez"/>
    <n v="1"/>
  </r>
  <r>
    <s v="93898"/>
    <d v="2025-08-05T00:00:00"/>
    <x v="82"/>
    <x v="19"/>
    <s v="San Jose"/>
    <n v="2172.1999999999998"/>
    <n v="0"/>
    <n v="2172.1999999999998"/>
    <n v="1650.26"/>
    <n v="521.94000000000005"/>
    <n v="0.24028173999999999"/>
    <s v="Norma Lopez"/>
    <s v="Kate Ingelstrom"/>
    <s v="Norma Lopez"/>
    <n v="1"/>
  </r>
  <r>
    <s v="93899"/>
    <d v="2025-08-05T00:00:00"/>
    <x v="82"/>
    <x v="19"/>
    <s v="San Jose"/>
    <n v="2284.98"/>
    <n v="0"/>
    <n v="2284.98"/>
    <n v="1749.26"/>
    <n v="535.72"/>
    <n v="0.23445282000000001"/>
    <s v="Norma Lopez"/>
    <s v="Kate Ingelstrom"/>
    <s v="Norma Lopez"/>
    <n v="1"/>
  </r>
  <r>
    <s v="93901"/>
    <d v="2025-08-05T00:00:00"/>
    <x v="82"/>
    <x v="19"/>
    <s v="San Jose"/>
    <n v="2228.4299999999998"/>
    <n v="0"/>
    <n v="2228.4299999999998"/>
    <n v="1699.76"/>
    <n v="528.66999999999996"/>
    <n v="0.23723876999999999"/>
    <s v="Norma Lopez"/>
    <s v="Kate Ingelstrom"/>
    <s v="Norma Lopez"/>
    <n v="1"/>
  </r>
  <r>
    <s v="93808"/>
    <d v="2025-08-06T00:00:00"/>
    <x v="82"/>
    <x v="19"/>
    <s v="San Jose"/>
    <n v="2365.25"/>
    <n v="0"/>
    <n v="2365.25"/>
    <n v="1922.16"/>
    <n v="443.09"/>
    <n v="0.18733326"/>
    <s v="Norma Lopez"/>
    <s v="Kate Ingelstrom"/>
    <s v="Norma Lopez"/>
    <n v="1"/>
  </r>
  <r>
    <s v="93902"/>
    <d v="2025-08-07T00:00:00"/>
    <x v="82"/>
    <x v="19"/>
    <s v="San Jose"/>
    <n v="1514.18"/>
    <n v="0"/>
    <n v="1514.18"/>
    <n v="1086"/>
    <n v="428.18"/>
    <n v="0.28278012000000002"/>
    <s v="Norma Lopez"/>
    <s v="Kate Ingelstrom"/>
    <s v="Norma Lopez"/>
    <n v="1"/>
  </r>
  <r>
    <s v="93903"/>
    <d v="2025-08-07T00:00:00"/>
    <x v="82"/>
    <x v="19"/>
    <s v="San Jose"/>
    <n v="1651"/>
    <n v="0"/>
    <n v="1651"/>
    <n v="1266.4000000000001"/>
    <n v="384.6"/>
    <n v="0.23294972999999999"/>
    <s v="Norma Lopez"/>
    <s v="Kate Ingelstrom"/>
    <s v="Norma Lopez"/>
    <n v="1"/>
  </r>
  <r>
    <s v="93904"/>
    <d v="2025-08-07T00:00:00"/>
    <x v="82"/>
    <x v="19"/>
    <s v="San Jose"/>
    <n v="1651"/>
    <n v="0"/>
    <n v="1651"/>
    <n v="1266.4000000000001"/>
    <n v="384.6"/>
    <n v="0.23294972999999999"/>
    <s v="Norma Lopez"/>
    <s v="Kate Ingelstrom"/>
    <s v="Norma Lopez"/>
    <n v="1"/>
  </r>
  <r>
    <s v="91684"/>
    <d v="2025-08-07T00:00:00"/>
    <x v="82"/>
    <x v="19"/>
    <s v="San Jose"/>
    <n v="0"/>
    <n v="0"/>
    <n v="0"/>
    <n v="250"/>
    <n v="-250"/>
    <n v="0"/>
    <s v="Norma Lopez"/>
    <s v="Kate Ingelstrom"/>
    <s v="Norma Lopez"/>
    <n v="0"/>
  </r>
  <r>
    <s v="91970"/>
    <d v="2025-08-07T00:00:00"/>
    <x v="82"/>
    <x v="19"/>
    <s v="San Jose"/>
    <n v="0"/>
    <n v="0"/>
    <n v="0"/>
    <n v="100"/>
    <n v="-100"/>
    <n v="0"/>
    <s v="Norma Lopez"/>
    <s v="Kate Ingelstrom"/>
    <s v="Norma Lopez"/>
    <n v="0"/>
  </r>
  <r>
    <s v="92419"/>
    <d v="2025-08-07T00:00:00"/>
    <x v="82"/>
    <x v="19"/>
    <s v="San Jose"/>
    <n v="0"/>
    <n v="0"/>
    <n v="0"/>
    <n v="250"/>
    <n v="-250"/>
    <n v="0"/>
    <s v="Norma Lopez"/>
    <s v="Kate Ingelstrom"/>
    <s v="Norma Lopez"/>
    <n v="0"/>
  </r>
  <r>
    <s v="93804"/>
    <d v="2025-08-07T00:00:00"/>
    <x v="82"/>
    <x v="19"/>
    <s v="San Jose"/>
    <n v="2421.8000000000002"/>
    <n v="0"/>
    <n v="2421.8000000000002"/>
    <n v="2609.16"/>
    <n v="-187.36"/>
    <n v="-7.7363940000000006E-2"/>
    <s v="Norma Lopez"/>
    <s v="Kate Ingelstrom"/>
    <s v="Norma Lopez"/>
    <n v="1"/>
  </r>
  <r>
    <s v="92419"/>
    <d v="2025-08-08T00:00:00"/>
    <x v="82"/>
    <x v="19"/>
    <s v="San Jose"/>
    <n v="0"/>
    <n v="0"/>
    <n v="0"/>
    <n v="-45.55"/>
    <n v="45.55"/>
    <n v="0"/>
    <s v="Norma Lopez"/>
    <s v="Kate Ingelstrom"/>
    <s v="Norma Lopez"/>
    <n v="0"/>
  </r>
  <r>
    <s v="92420"/>
    <d v="2025-08-08T00:00:00"/>
    <x v="82"/>
    <x v="19"/>
    <s v="San Jose"/>
    <n v="0"/>
    <n v="0"/>
    <n v="0"/>
    <n v="-67.55"/>
    <n v="67.55"/>
    <n v="0"/>
    <s v="Norma Lopez"/>
    <s v="Kate Ingelstrom"/>
    <s v="Norma Lopez"/>
    <n v="0"/>
  </r>
  <r>
    <s v="92961"/>
    <d v="2025-08-08T00:00:00"/>
    <x v="82"/>
    <x v="19"/>
    <s v="San Jose"/>
    <n v="0"/>
    <n v="0"/>
    <n v="0"/>
    <n v="-41.98"/>
    <n v="41.98"/>
    <n v="0"/>
    <s v="Norma Lopez"/>
    <s v="Kate Ingelstrom"/>
    <s v="Norma Lopez"/>
    <n v="0"/>
  </r>
  <r>
    <s v="92962"/>
    <d v="2025-08-08T00:00:00"/>
    <x v="82"/>
    <x v="19"/>
    <s v="San Jose"/>
    <n v="0"/>
    <n v="0"/>
    <n v="0"/>
    <n v="-28.46"/>
    <n v="28.46"/>
    <n v="0"/>
    <s v="Norma Lopez"/>
    <s v="Kate Ingelstrom"/>
    <s v="Norma Lopez"/>
    <n v="0"/>
  </r>
  <r>
    <s v="92963"/>
    <d v="2025-08-08T00:00:00"/>
    <x v="82"/>
    <x v="19"/>
    <s v="San Jose"/>
    <n v="0"/>
    <n v="0"/>
    <n v="0"/>
    <n v="-29.95"/>
    <n v="29.95"/>
    <n v="0"/>
    <s v="Norma Lopez"/>
    <s v="Kate Ingelstrom"/>
    <s v="Norma Lopez"/>
    <n v="0"/>
  </r>
  <r>
    <s v="92964"/>
    <d v="2025-08-08T00:00:00"/>
    <x v="82"/>
    <x v="19"/>
    <s v="San Jose"/>
    <n v="0"/>
    <n v="0"/>
    <n v="0"/>
    <n v="-25.73"/>
    <n v="25.73"/>
    <n v="0"/>
    <s v="Norma Lopez"/>
    <s v="Kate Ingelstrom"/>
    <s v="Norma Lopez"/>
    <n v="0"/>
  </r>
  <r>
    <s v="92965"/>
    <d v="2025-08-08T00:00:00"/>
    <x v="82"/>
    <x v="19"/>
    <s v="San Jose"/>
    <n v="0"/>
    <n v="0"/>
    <n v="0"/>
    <n v="-44.71"/>
    <n v="44.71"/>
    <n v="0"/>
    <s v="Norma Lopez"/>
    <s v="Kate Ingelstrom"/>
    <s v="Norma Lopez"/>
    <n v="0"/>
  </r>
  <r>
    <s v="92987"/>
    <d v="2025-08-08T00:00:00"/>
    <x v="82"/>
    <x v="19"/>
    <s v="San Jose"/>
    <n v="0"/>
    <n v="0"/>
    <n v="0"/>
    <n v="-39.21"/>
    <n v="39.21"/>
    <n v="0"/>
    <s v="Norma Lopez"/>
    <s v="Kate Ingelstrom"/>
    <s v="Norma Lopez"/>
    <n v="0"/>
  </r>
  <r>
    <s v="92988"/>
    <d v="2025-08-08T00:00:00"/>
    <x v="82"/>
    <x v="19"/>
    <s v="San Jose"/>
    <n v="0"/>
    <n v="0"/>
    <n v="0"/>
    <n v="-14.86"/>
    <n v="14.86"/>
    <n v="0"/>
    <s v="Norma Lopez"/>
    <s v="Kate Ingelstrom"/>
    <s v="Norma Lopez"/>
    <n v="0"/>
  </r>
  <r>
    <s v="92989"/>
    <d v="2025-08-08T00:00:00"/>
    <x v="82"/>
    <x v="19"/>
    <s v="San Jose"/>
    <n v="0"/>
    <n v="0"/>
    <n v="0"/>
    <n v="-28.46"/>
    <n v="28.46"/>
    <n v="0"/>
    <s v="Norma Lopez"/>
    <s v="Kate Ingelstrom"/>
    <s v="Norma Lopez"/>
    <n v="0"/>
  </r>
  <r>
    <s v="92990"/>
    <d v="2025-08-08T00:00:00"/>
    <x v="82"/>
    <x v="19"/>
    <s v="San Jose"/>
    <n v="0"/>
    <n v="0"/>
    <n v="0"/>
    <n v="-28.46"/>
    <n v="28.46"/>
    <n v="0"/>
    <s v="Norma Lopez"/>
    <s v="Kate Ingelstrom"/>
    <s v="Norma Lopez"/>
    <n v="0"/>
  </r>
  <r>
    <s v="93025"/>
    <d v="2025-08-08T00:00:00"/>
    <x v="82"/>
    <x v="19"/>
    <s v="San Jose"/>
    <n v="0"/>
    <n v="0"/>
    <n v="0"/>
    <n v="-28.46"/>
    <n v="28.46"/>
    <n v="0"/>
    <s v="Norma Lopez"/>
    <s v="Kate Ingelstrom"/>
    <s v="Norma Lopez"/>
    <n v="0"/>
  </r>
  <r>
    <s v="93026"/>
    <d v="2025-08-08T00:00:00"/>
    <x v="82"/>
    <x v="19"/>
    <s v="San Jose"/>
    <n v="0"/>
    <n v="0"/>
    <n v="0"/>
    <n v="-28.46"/>
    <n v="28.46"/>
    <n v="0"/>
    <s v="Norma Lopez"/>
    <s v="Kate Ingelstrom"/>
    <s v="Norma Lopez"/>
    <n v="0"/>
  </r>
  <r>
    <s v="93027"/>
    <d v="2025-08-08T00:00:00"/>
    <x v="82"/>
    <x v="19"/>
    <s v="San Jose"/>
    <n v="0"/>
    <n v="0"/>
    <n v="0"/>
    <n v="-25.73"/>
    <n v="25.73"/>
    <n v="0"/>
    <s v="Norma Lopez"/>
    <s v="Kate Ingelstrom"/>
    <s v="Norma Lopez"/>
    <n v="0"/>
  </r>
  <r>
    <s v="93028"/>
    <d v="2025-08-08T00:00:00"/>
    <x v="82"/>
    <x v="19"/>
    <s v="San Jose"/>
    <n v="0"/>
    <n v="0"/>
    <n v="0"/>
    <n v="-43.32"/>
    <n v="43.32"/>
    <n v="0"/>
    <s v="Norma Lopez"/>
    <s v="Kate Ingelstrom"/>
    <s v="Norma Lopez"/>
    <n v="0"/>
  </r>
  <r>
    <s v="93029"/>
    <d v="2025-08-08T00:00:00"/>
    <x v="82"/>
    <x v="19"/>
    <s v="San Jose"/>
    <n v="0"/>
    <n v="0"/>
    <n v="0"/>
    <n v="-25.73"/>
    <n v="25.73"/>
    <n v="0"/>
    <s v="Norma Lopez"/>
    <s v="Kate Ingelstrom"/>
    <s v="Norma Lopez"/>
    <n v="0"/>
  </r>
  <r>
    <s v="93030"/>
    <d v="2025-08-08T00:00:00"/>
    <x v="82"/>
    <x v="19"/>
    <s v="San Jose"/>
    <n v="0"/>
    <n v="0"/>
    <n v="0"/>
    <n v="-25.73"/>
    <n v="25.73"/>
    <n v="0"/>
    <s v="Norma Lopez"/>
    <s v="Kate Ingelstrom"/>
    <s v="Norma Lopez"/>
    <n v="0"/>
  </r>
  <r>
    <s v="93031"/>
    <d v="2025-08-08T00:00:00"/>
    <x v="82"/>
    <x v="19"/>
    <s v="San Jose"/>
    <n v="0"/>
    <n v="0"/>
    <n v="0"/>
    <n v="-28.46"/>
    <n v="28.46"/>
    <n v="0"/>
    <s v="Norma Lopez"/>
    <s v="Kate Ingelstrom"/>
    <s v="Norma Lopez"/>
    <n v="0"/>
  </r>
  <r>
    <s v="93077"/>
    <d v="2025-08-08T00:00:00"/>
    <x v="82"/>
    <x v="19"/>
    <s v="San Jose"/>
    <n v="0"/>
    <n v="0"/>
    <n v="0"/>
    <n v="-14.86"/>
    <n v="14.86"/>
    <n v="0"/>
    <s v="Norma Lopez"/>
    <s v="Kate Ingelstrom"/>
    <s v="Norma Lopez"/>
    <n v="0"/>
  </r>
  <r>
    <s v="93078"/>
    <d v="2025-08-08T00:00:00"/>
    <x v="82"/>
    <x v="19"/>
    <s v="San Jose"/>
    <n v="0"/>
    <n v="0"/>
    <n v="0"/>
    <n v="-28.46"/>
    <n v="28.46"/>
    <n v="0"/>
    <s v="Norma Lopez"/>
    <s v="Kate Ingelstrom"/>
    <s v="Norma Lopez"/>
    <n v="0"/>
  </r>
  <r>
    <s v="93079"/>
    <d v="2025-08-08T00:00:00"/>
    <x v="82"/>
    <x v="19"/>
    <s v="San Jose"/>
    <n v="0"/>
    <n v="0"/>
    <n v="0"/>
    <n v="-39.21"/>
    <n v="39.21"/>
    <n v="0"/>
    <s v="Norma Lopez"/>
    <s v="Kate Ingelstrom"/>
    <s v="Norma Lopez"/>
    <n v="0"/>
  </r>
  <r>
    <s v="93080"/>
    <d v="2025-08-08T00:00:00"/>
    <x v="82"/>
    <x v="19"/>
    <s v="San Jose"/>
    <n v="0"/>
    <n v="0"/>
    <n v="0"/>
    <n v="-25.73"/>
    <n v="25.73"/>
    <n v="0"/>
    <s v="Norma Lopez"/>
    <s v="Kate Ingelstrom"/>
    <s v="Norma Lopez"/>
    <n v="0"/>
  </r>
  <r>
    <s v="93103"/>
    <d v="2025-08-08T00:00:00"/>
    <x v="82"/>
    <x v="19"/>
    <s v="San Jose"/>
    <n v="0"/>
    <n v="0"/>
    <n v="0"/>
    <n v="-44.71"/>
    <n v="44.71"/>
    <n v="0"/>
    <s v="Norma Lopez"/>
    <s v="Kate Ingelstrom"/>
    <s v="Norma Lopez"/>
    <n v="0"/>
  </r>
  <r>
    <s v="93104"/>
    <d v="2025-08-08T00:00:00"/>
    <x v="82"/>
    <x v="19"/>
    <s v="San Jose"/>
    <n v="0"/>
    <n v="0"/>
    <n v="0"/>
    <n v="-25.73"/>
    <n v="25.73"/>
    <n v="0"/>
    <s v="Norma Lopez"/>
    <s v="Kate Ingelstrom"/>
    <s v="Norma Lopez"/>
    <n v="0"/>
  </r>
  <r>
    <s v="93105"/>
    <d v="2025-08-08T00:00:00"/>
    <x v="82"/>
    <x v="19"/>
    <s v="San Jose"/>
    <n v="0"/>
    <n v="0"/>
    <n v="0"/>
    <n v="-25.73"/>
    <n v="25.73"/>
    <n v="0"/>
    <s v="Norma Lopez"/>
    <s v="Kate Ingelstrom"/>
    <s v="Norma Lopez"/>
    <n v="0"/>
  </r>
  <r>
    <s v="93126"/>
    <d v="2025-08-08T00:00:00"/>
    <x v="82"/>
    <x v="19"/>
    <s v="San Jose"/>
    <n v="0"/>
    <n v="0"/>
    <n v="0"/>
    <n v="-25.73"/>
    <n v="25.73"/>
    <n v="0"/>
    <s v="Norma Lopez"/>
    <s v="Kate Ingelstrom"/>
    <s v="Norma Lopez"/>
    <n v="0"/>
  </r>
  <r>
    <s v="93127"/>
    <d v="2025-08-08T00:00:00"/>
    <x v="82"/>
    <x v="19"/>
    <s v="San Jose"/>
    <n v="0"/>
    <n v="0"/>
    <n v="0"/>
    <n v="-41.94"/>
    <n v="41.94"/>
    <n v="0"/>
    <s v="Norma Lopez"/>
    <s v="Kate Ingelstrom"/>
    <s v="Norma Lopez"/>
    <n v="0"/>
  </r>
  <r>
    <s v="93129"/>
    <d v="2025-08-08T00:00:00"/>
    <x v="82"/>
    <x v="19"/>
    <s v="San Jose"/>
    <n v="0"/>
    <n v="0"/>
    <n v="0"/>
    <n v="-41.98"/>
    <n v="41.98"/>
    <n v="0"/>
    <s v="Norma Lopez"/>
    <s v="Kate Ingelstrom"/>
    <s v="Norma Lopez"/>
    <n v="0"/>
  </r>
  <r>
    <s v="93130"/>
    <d v="2025-08-08T00:00:00"/>
    <x v="82"/>
    <x v="19"/>
    <s v="San Jose"/>
    <n v="0"/>
    <n v="0"/>
    <n v="0"/>
    <n v="-25.73"/>
    <n v="25.73"/>
    <n v="0"/>
    <s v="Norma Lopez"/>
    <s v="Kate Ingelstrom"/>
    <s v="Norma Lopez"/>
    <n v="0"/>
  </r>
  <r>
    <s v="93143"/>
    <d v="2025-08-08T00:00:00"/>
    <x v="82"/>
    <x v="19"/>
    <s v="San Jose"/>
    <n v="0"/>
    <n v="0"/>
    <n v="0"/>
    <n v="-28.46"/>
    <n v="28.46"/>
    <n v="0"/>
    <s v="Norma Lopez"/>
    <s v="Kate Ingelstrom"/>
    <s v="Norma Lopez"/>
    <n v="0"/>
  </r>
  <r>
    <s v="93144"/>
    <d v="2025-08-08T00:00:00"/>
    <x v="82"/>
    <x v="19"/>
    <s v="San Jose"/>
    <n v="0"/>
    <n v="0"/>
    <n v="0"/>
    <n v="-25.73"/>
    <n v="25.73"/>
    <n v="0"/>
    <s v="Norma Lopez"/>
    <s v="Kate Ingelstrom"/>
    <s v="Norma Lopez"/>
    <n v="0"/>
  </r>
  <r>
    <s v="93145"/>
    <d v="2025-08-08T00:00:00"/>
    <x v="82"/>
    <x v="19"/>
    <s v="San Jose"/>
    <n v="0"/>
    <n v="0"/>
    <n v="0"/>
    <n v="-28.46"/>
    <n v="28.46"/>
    <n v="0"/>
    <s v="Norma Lopez"/>
    <s v="Kate Ingelstrom"/>
    <s v="Norma Lopez"/>
    <n v="0"/>
  </r>
  <r>
    <s v="93178"/>
    <d v="2025-08-08T00:00:00"/>
    <x v="82"/>
    <x v="19"/>
    <s v="San Jose"/>
    <n v="0"/>
    <n v="0"/>
    <n v="0"/>
    <n v="-44.71"/>
    <n v="44.71"/>
    <n v="0"/>
    <s v="Norma Lopez"/>
    <s v="Kate Ingelstrom"/>
    <s v="Norma Lopez"/>
    <n v="0"/>
  </r>
  <r>
    <s v="93179"/>
    <d v="2025-08-08T00:00:00"/>
    <x v="82"/>
    <x v="19"/>
    <s v="San Jose"/>
    <n v="0"/>
    <n v="0"/>
    <n v="0"/>
    <n v="-44.71"/>
    <n v="44.71"/>
    <n v="0"/>
    <s v="Norma Lopez"/>
    <s v="Kate Ingelstrom"/>
    <s v="Norma Lopez"/>
    <n v="0"/>
  </r>
  <r>
    <s v="93180"/>
    <d v="2025-08-08T00:00:00"/>
    <x v="82"/>
    <x v="19"/>
    <s v="San Jose"/>
    <n v="0"/>
    <n v="0"/>
    <n v="0"/>
    <n v="-25.73"/>
    <n v="25.73"/>
    <n v="0"/>
    <s v="Norma Lopez"/>
    <s v="Kate Ingelstrom"/>
    <s v="Norma Lopez"/>
    <n v="0"/>
  </r>
  <r>
    <s v="93181"/>
    <d v="2025-08-08T00:00:00"/>
    <x v="82"/>
    <x v="19"/>
    <s v="San Jose"/>
    <n v="0"/>
    <n v="0"/>
    <n v="0"/>
    <n v="-28.46"/>
    <n v="28.46"/>
    <n v="0"/>
    <s v="Norma Lopez"/>
    <s v="Kate Ingelstrom"/>
    <s v="Norma Lopez"/>
    <n v="0"/>
  </r>
  <r>
    <s v="93182"/>
    <d v="2025-08-08T00:00:00"/>
    <x v="82"/>
    <x v="19"/>
    <s v="San Jose"/>
    <n v="0"/>
    <n v="0"/>
    <n v="0"/>
    <n v="-55.31"/>
    <n v="55.31"/>
    <n v="0"/>
    <s v="Norma Lopez"/>
    <s v="Kate Ingelstrom"/>
    <s v="Norma Lopez"/>
    <n v="0"/>
  </r>
  <r>
    <s v="93183"/>
    <d v="2025-08-08T00:00:00"/>
    <x v="82"/>
    <x v="19"/>
    <s v="San Jose"/>
    <n v="0"/>
    <n v="0"/>
    <n v="0"/>
    <n v="-41.98"/>
    <n v="41.98"/>
    <n v="0"/>
    <s v="Norma Lopez"/>
    <s v="Kate Ingelstrom"/>
    <s v="Norma Lopez"/>
    <n v="0"/>
  </r>
  <r>
    <s v="93184"/>
    <d v="2025-08-08T00:00:00"/>
    <x v="82"/>
    <x v="19"/>
    <s v="San Jose"/>
    <n v="0"/>
    <n v="0"/>
    <n v="0"/>
    <n v="-25.73"/>
    <n v="25.73"/>
    <n v="0"/>
    <s v="Norma Lopez"/>
    <s v="Kate Ingelstrom"/>
    <s v="Norma Lopez"/>
    <n v="0"/>
  </r>
  <r>
    <s v="93185"/>
    <d v="2025-08-08T00:00:00"/>
    <x v="82"/>
    <x v="19"/>
    <s v="San Jose"/>
    <n v="0"/>
    <n v="0"/>
    <n v="0"/>
    <n v="-28.46"/>
    <n v="28.46"/>
    <n v="0"/>
    <s v="Norma Lopez"/>
    <s v="Kate Ingelstrom"/>
    <s v="Norma Lopez"/>
    <n v="0"/>
  </r>
  <r>
    <s v="93211"/>
    <d v="2025-08-08T00:00:00"/>
    <x v="82"/>
    <x v="19"/>
    <s v="San Jose"/>
    <n v="0"/>
    <n v="0"/>
    <n v="0"/>
    <n v="-25.73"/>
    <n v="25.73"/>
    <n v="0"/>
    <s v="Norma Lopez"/>
    <s v="Kate Ingelstrom"/>
    <s v="Norma Lopez"/>
    <n v="0"/>
  </r>
  <r>
    <s v="93212"/>
    <d v="2025-08-08T00:00:00"/>
    <x v="82"/>
    <x v="19"/>
    <s v="San Jose"/>
    <n v="0"/>
    <n v="0"/>
    <n v="0"/>
    <n v="-39.21"/>
    <n v="39.21"/>
    <n v="0"/>
    <s v="Norma Lopez"/>
    <s v="Kate Ingelstrom"/>
    <s v="Norma Lopez"/>
    <n v="0"/>
  </r>
  <r>
    <s v="93213"/>
    <d v="2025-08-08T00:00:00"/>
    <x v="82"/>
    <x v="19"/>
    <s v="San Jose"/>
    <n v="0"/>
    <n v="0"/>
    <n v="0"/>
    <n v="-25.73"/>
    <n v="25.73"/>
    <n v="0"/>
    <s v="Norma Lopez"/>
    <s v="Kate Ingelstrom"/>
    <s v="Norma Lopez"/>
    <n v="0"/>
  </r>
  <r>
    <s v="93214"/>
    <d v="2025-08-08T00:00:00"/>
    <x v="82"/>
    <x v="19"/>
    <s v="San Jose"/>
    <n v="0"/>
    <n v="0"/>
    <n v="0"/>
    <n v="-15.09"/>
    <n v="15.09"/>
    <n v="0"/>
    <s v="Norma Lopez"/>
    <s v="Kate Ingelstrom"/>
    <s v="Norma Lopez"/>
    <n v="0"/>
  </r>
  <r>
    <s v="93215"/>
    <d v="2025-08-08T00:00:00"/>
    <x v="82"/>
    <x v="19"/>
    <s v="San Jose"/>
    <n v="0"/>
    <n v="0"/>
    <n v="0"/>
    <n v="-28.46"/>
    <n v="28.46"/>
    <n v="0"/>
    <s v="Norma Lopez"/>
    <s v="Kate Ingelstrom"/>
    <s v="Norma Lopez"/>
    <n v="0"/>
  </r>
  <r>
    <s v="93216"/>
    <d v="2025-08-08T00:00:00"/>
    <x v="82"/>
    <x v="19"/>
    <s v="San Jose"/>
    <n v="0"/>
    <n v="0"/>
    <n v="0"/>
    <n v="-21.22"/>
    <n v="21.22"/>
    <n v="0"/>
    <s v="Norma Lopez"/>
    <s v="Kate Ingelstrom"/>
    <s v="Norma Lopez"/>
    <n v="0"/>
  </r>
  <r>
    <s v="93219"/>
    <d v="2025-08-08T00:00:00"/>
    <x v="82"/>
    <x v="19"/>
    <s v="San Jose"/>
    <n v="0"/>
    <n v="0"/>
    <n v="0"/>
    <n v="-40.590000000000003"/>
    <n v="40.590000000000003"/>
    <n v="0"/>
    <s v="Norma Lopez"/>
    <s v="Kate Ingelstrom"/>
    <s v="Norma Lopez"/>
    <n v="0"/>
  </r>
  <r>
    <s v="93220"/>
    <d v="2025-08-08T00:00:00"/>
    <x v="82"/>
    <x v="19"/>
    <s v="San Jose"/>
    <n v="0"/>
    <n v="0"/>
    <n v="0"/>
    <n v="-28.46"/>
    <n v="28.46"/>
    <n v="0"/>
    <s v="Norma Lopez"/>
    <s v="Kate Ingelstrom"/>
    <s v="Norma Lopez"/>
    <n v="0"/>
  </r>
  <r>
    <s v="93246"/>
    <d v="2025-08-08T00:00:00"/>
    <x v="82"/>
    <x v="19"/>
    <s v="San Jose"/>
    <n v="0"/>
    <n v="0"/>
    <n v="0"/>
    <n v="-13.48"/>
    <n v="13.48"/>
    <n v="0"/>
    <s v="Norma Lopez"/>
    <s v="Kate Ingelstrom"/>
    <s v="Norma Lopez"/>
    <n v="0"/>
  </r>
  <r>
    <s v="93278"/>
    <d v="2025-08-08T00:00:00"/>
    <x v="82"/>
    <x v="19"/>
    <s v="San Jose"/>
    <n v="0"/>
    <n v="0"/>
    <n v="0"/>
    <n v="-16.25"/>
    <n v="16.25"/>
    <n v="0"/>
    <s v="Norma Lopez"/>
    <s v="Kate Ingelstrom"/>
    <s v="Norma Lopez"/>
    <n v="0"/>
  </r>
  <r>
    <s v="93957"/>
    <d v="2025-08-08T00:00:00"/>
    <x v="82"/>
    <x v="19"/>
    <s v="San Jose"/>
    <n v="1651"/>
    <n v="0"/>
    <n v="1651"/>
    <n v="1283.4000000000001"/>
    <n v="367.6"/>
    <n v="0.22265293999999999"/>
    <s v="Norma Lopez"/>
    <s v="Kate Ingelstrom"/>
    <s v="Norma Lopez"/>
    <n v="1"/>
  </r>
  <r>
    <s v="93900"/>
    <d v="2025-08-08T00:00:00"/>
    <x v="82"/>
    <x v="19"/>
    <s v="San Jose"/>
    <n v="1651"/>
    <n v="0"/>
    <n v="1651"/>
    <n v="1341.4"/>
    <n v="309.60000000000002"/>
    <n v="0.18752271000000001"/>
    <s v="Norma Lopez"/>
    <s v="Kate Ingelstrom"/>
    <s v="Norma Lopez"/>
    <n v="1"/>
  </r>
  <r>
    <s v="93905"/>
    <d v="2025-08-08T00:00:00"/>
    <x v="82"/>
    <x v="19"/>
    <s v="San Jose"/>
    <n v="1514.18"/>
    <n v="0"/>
    <n v="1514.18"/>
    <n v="1265"/>
    <n v="249.18"/>
    <n v="0.16456431999999999"/>
    <s v="Norma Lopez"/>
    <s v="Kate Ingelstrom"/>
    <s v="Norma Lopez"/>
    <n v="1"/>
  </r>
  <r>
    <s v="93956"/>
    <d v="2025-08-08T00:00:00"/>
    <x v="82"/>
    <x v="19"/>
    <s v="San Jose"/>
    <n v="1514.18"/>
    <n v="0"/>
    <n v="1514.18"/>
    <n v="1265"/>
    <n v="249.18"/>
    <n v="0.16456431999999999"/>
    <s v="Norma Lopez"/>
    <s v="Kate Ingelstrom"/>
    <s v="Norma Lopez"/>
    <n v="1"/>
  </r>
  <r>
    <s v="93958"/>
    <d v="2025-08-09T00:00:00"/>
    <x v="82"/>
    <x v="19"/>
    <s v="San Jose"/>
    <n v="1651"/>
    <n v="0"/>
    <n v="1651"/>
    <n v="1183.4000000000001"/>
    <n v="467.6"/>
    <n v="0.28322228999999999"/>
    <s v="Norma Lopez"/>
    <s v="Kate Ingelstrom"/>
    <s v="Norma Lopez"/>
    <n v="1"/>
  </r>
  <r>
    <s v="93960"/>
    <d v="2025-08-09T00:00:00"/>
    <x v="82"/>
    <x v="19"/>
    <s v="San Jose"/>
    <n v="1651"/>
    <n v="0"/>
    <n v="1651"/>
    <n v="1266.4000000000001"/>
    <n v="384.6"/>
    <n v="0.23294972999999999"/>
    <s v="Norma Lopez"/>
    <s v="Kate Ingelstrom"/>
    <s v="Norma Lopez"/>
    <n v="1"/>
  </r>
  <r>
    <s v="93959"/>
    <d v="2025-08-11T00:00:00"/>
    <x v="82"/>
    <x v="19"/>
    <s v="San Jose"/>
    <n v="1514.18"/>
    <n v="0"/>
    <n v="1514.18"/>
    <n v="1069"/>
    <n v="445.18"/>
    <n v="0.29400732000000002"/>
    <s v="Norma Lopez"/>
    <s v="Kate Ingelstrom"/>
    <s v="Norma Lopez"/>
    <n v="1"/>
  </r>
  <r>
    <s v="93992"/>
    <d v="2025-08-11T00:00:00"/>
    <x v="82"/>
    <x v="19"/>
    <s v="San Jose"/>
    <n v="1651"/>
    <n v="0"/>
    <n v="1651"/>
    <n v="1266.4000000000001"/>
    <n v="384.6"/>
    <n v="0.23294972999999999"/>
    <s v="Norma Lopez"/>
    <s v="Kate Ingelstrom"/>
    <s v="Norma Lopez"/>
    <n v="1"/>
  </r>
  <r>
    <s v="93996"/>
    <d v="2025-08-11T00:00:00"/>
    <x v="82"/>
    <x v="19"/>
    <s v="San Jose"/>
    <n v="1215.5999999999999"/>
    <n v="0"/>
    <n v="1215.5999999999999"/>
    <n v="705.98"/>
    <n v="509.62"/>
    <n v="0.41923329999999998"/>
    <s v="Norma Lopez"/>
    <s v="Kate Ingelstrom"/>
    <s v="Norma Lopez"/>
    <n v="1"/>
  </r>
  <r>
    <s v="93993"/>
    <d v="2025-08-12T00:00:00"/>
    <x v="82"/>
    <x v="19"/>
    <s v="San Jose"/>
    <n v="2309.02"/>
    <n v="0"/>
    <n v="2309.02"/>
    <n v="1952.66"/>
    <n v="356.36"/>
    <n v="0.15433387000000001"/>
    <s v="Norma Lopez"/>
    <s v="Kate Ingelstrom"/>
    <s v="Norma Lopez"/>
    <n v="1"/>
  </r>
  <r>
    <s v="93995"/>
    <d v="2025-08-12T00:00:00"/>
    <x v="82"/>
    <x v="19"/>
    <s v="San Jose"/>
    <n v="1514.18"/>
    <n v="0"/>
    <n v="1514.18"/>
    <n v="1094"/>
    <n v="420.18"/>
    <n v="0.27749673000000002"/>
    <s v="Norma Lopez"/>
    <s v="Kate Ingelstrom"/>
    <s v="Norma Lopez"/>
    <n v="1"/>
  </r>
  <r>
    <s v="93997"/>
    <d v="2025-08-12T00:00:00"/>
    <x v="82"/>
    <x v="19"/>
    <s v="San Jose"/>
    <n v="1651"/>
    <n v="0"/>
    <n v="1651"/>
    <n v="1362.4"/>
    <n v="288.60000000000002"/>
    <n v="0.17480314999999999"/>
    <s v="Norma Lopez"/>
    <s v="Kate Ingelstrom"/>
    <s v="Norma Lopez"/>
    <n v="1"/>
  </r>
  <r>
    <s v="93998"/>
    <d v="2025-08-12T00:00:00"/>
    <x v="82"/>
    <x v="19"/>
    <s v="San Jose"/>
    <n v="1651"/>
    <n v="0"/>
    <n v="1651"/>
    <n v="1362.4"/>
    <n v="288.60000000000002"/>
    <n v="0.17480314999999999"/>
    <s v="Norma Lopez"/>
    <s v="Kate Ingelstrom"/>
    <s v="Norma Lopez"/>
    <n v="1"/>
  </r>
  <r>
    <s v="93999"/>
    <d v="2025-08-12T00:00:00"/>
    <x v="82"/>
    <x v="19"/>
    <s v="San Jose"/>
    <n v="1514.18"/>
    <n v="0"/>
    <n v="1514.18"/>
    <n v="1265"/>
    <n v="249.18"/>
    <n v="0.16456431999999999"/>
    <s v="Norma Lopez"/>
    <s v="Kate Ingelstrom"/>
    <s v="Norma Lopez"/>
    <n v="1"/>
  </r>
  <r>
    <s v="94000"/>
    <d v="2025-08-12T00:00:00"/>
    <x v="82"/>
    <x v="19"/>
    <s v="San Jose"/>
    <n v="1651"/>
    <n v="0"/>
    <n v="1651"/>
    <n v="1183.4000000000001"/>
    <n v="467.6"/>
    <n v="0.28322228999999999"/>
    <s v="Norma Lopez"/>
    <s v="Kate Ingelstrom"/>
    <s v="Norma Lopez"/>
    <n v="1"/>
  </r>
  <r>
    <s v="94018"/>
    <d v="2025-08-12T00:00:00"/>
    <x v="82"/>
    <x v="19"/>
    <s v="San Jose"/>
    <n v="1267.0999999999999"/>
    <n v="0"/>
    <n v="1267.0999999999999"/>
    <n v="977.98"/>
    <n v="289.12"/>
    <n v="0.22817456999999999"/>
    <s v="Norma Lopez"/>
    <s v="Kate Ingelstrom"/>
    <s v="Norma Lopez"/>
    <n v="1"/>
  </r>
  <r>
    <s v="94019"/>
    <d v="2025-08-12T00:00:00"/>
    <x v="82"/>
    <x v="19"/>
    <s v="San Jose"/>
    <n v="1651"/>
    <n v="0"/>
    <n v="1651"/>
    <n v="1266.4000000000001"/>
    <n v="384.6"/>
    <n v="0.23294972999999999"/>
    <s v="Norma Lopez"/>
    <s v="Kate Ingelstrom"/>
    <s v="Norma Lopez"/>
    <n v="1"/>
  </r>
  <r>
    <s v="94020"/>
    <d v="2025-08-12T00:00:00"/>
    <x v="82"/>
    <x v="19"/>
    <s v="San Jose"/>
    <n v="1651"/>
    <n v="0"/>
    <n v="1651"/>
    <n v="1266.4000000000001"/>
    <n v="384.6"/>
    <n v="0.23294972999999999"/>
    <s v="Norma Lopez"/>
    <s v="Kate Ingelstrom"/>
    <s v="Norma Lopez"/>
    <n v="1"/>
  </r>
  <r>
    <s v="94021"/>
    <d v="2025-08-12T00:00:00"/>
    <x v="82"/>
    <x v="19"/>
    <s v="San Jose"/>
    <n v="1514.18"/>
    <n v="0"/>
    <n v="1514.18"/>
    <n v="1086"/>
    <n v="428.18"/>
    <n v="0.28278012000000002"/>
    <s v="Norma Lopez"/>
    <s v="Kate Ingelstrom"/>
    <s v="Norma Lopez"/>
    <n v="1"/>
  </r>
  <r>
    <s v="94022"/>
    <d v="2025-08-13T00:00:00"/>
    <x v="82"/>
    <x v="19"/>
    <s v="San Jose"/>
    <n v="1651"/>
    <n v="0"/>
    <n v="1651"/>
    <n v="1266.4000000000001"/>
    <n v="384.6"/>
    <n v="0.23294972999999999"/>
    <s v="Norma Lopez"/>
    <s v="Kate Ingelstrom"/>
    <s v="Norma Lopez"/>
    <n v="1"/>
  </r>
  <r>
    <s v="93179"/>
    <d v="2025-08-14T00:00:00"/>
    <x v="82"/>
    <x v="19"/>
    <s v="San Jose"/>
    <n v="0"/>
    <n v="0"/>
    <n v="0"/>
    <n v="50"/>
    <n v="-50"/>
    <n v="0"/>
    <s v="Norma Lopez"/>
    <s v="Kate Ingelstrom"/>
    <s v="Norma Lopez"/>
    <n v="0"/>
  </r>
  <r>
    <s v="94023"/>
    <d v="2025-08-15T00:00:00"/>
    <x v="82"/>
    <x v="19"/>
    <s v="San Jose"/>
    <n v="1514.18"/>
    <n v="0"/>
    <n v="1514.18"/>
    <n v="1265"/>
    <n v="249.18"/>
    <n v="0.16456431999999999"/>
    <s v="Norma Lopez"/>
    <s v="Kate Ingelstrom"/>
    <s v="Norma Lopez"/>
    <n v="1"/>
  </r>
  <r>
    <s v="93994"/>
    <d v="2025-08-15T00:00:00"/>
    <x v="82"/>
    <x v="19"/>
    <s v="San Jose"/>
    <n v="1514.18"/>
    <n v="0"/>
    <n v="1514.18"/>
    <n v="1376"/>
    <n v="138.18"/>
    <n v="9.1257309999999994E-2"/>
    <s v="Norma Lopez"/>
    <s v="Kate Ingelstrom"/>
    <s v="Norma Lopez"/>
    <n v="1"/>
  </r>
  <r>
    <s v="94064"/>
    <d v="2025-08-15T00:00:00"/>
    <x v="82"/>
    <x v="19"/>
    <s v="San Jose"/>
    <n v="2284.98"/>
    <n v="0"/>
    <n v="2284.98"/>
    <n v="1749.26"/>
    <n v="535.72"/>
    <n v="0.23445282000000001"/>
    <s v="Norma Lopez"/>
    <s v="Kate Ingelstrom"/>
    <s v="Norma Lopez"/>
    <n v="1"/>
  </r>
  <r>
    <s v="94065"/>
    <d v="2025-08-15T00:00:00"/>
    <x v="82"/>
    <x v="19"/>
    <s v="San Jose"/>
    <n v="1514.18"/>
    <n v="0"/>
    <n v="1514.18"/>
    <n v="1086"/>
    <n v="428.18"/>
    <n v="0.28278012000000002"/>
    <s v="Norma Lopez"/>
    <s v="Kate Ingelstrom"/>
    <s v="Norma Lopez"/>
    <n v="1"/>
  </r>
  <r>
    <s v="94068"/>
    <d v="2025-08-16T00:00:00"/>
    <x v="82"/>
    <x v="19"/>
    <s v="San Jose"/>
    <n v="1651"/>
    <n v="0"/>
    <n v="1651"/>
    <n v="1266.4000000000001"/>
    <n v="384.6"/>
    <n v="0.23294972999999999"/>
    <s v="Norma Lopez"/>
    <s v="Kate Ingelstrom"/>
    <s v="Norma Lopez"/>
    <n v="1"/>
  </r>
  <r>
    <s v="93276"/>
    <d v="2025-08-18T00:00:00"/>
    <x v="82"/>
    <x v="19"/>
    <s v="San Jose"/>
    <n v="0"/>
    <n v="0"/>
    <n v="0"/>
    <n v="50"/>
    <n v="-50"/>
    <n v="0"/>
    <s v="Norma Lopez"/>
    <s v="Kate Ingelstrom"/>
    <s v="Norma Lopez"/>
    <n v="0"/>
  </r>
  <r>
    <s v="93484"/>
    <d v="2025-08-18T00:00:00"/>
    <x v="82"/>
    <x v="19"/>
    <s v="San Jose"/>
    <n v="0"/>
    <n v="0"/>
    <n v="0"/>
    <n v="50"/>
    <n v="-50"/>
    <n v="0"/>
    <s v="Norma Lopez"/>
    <s v="Kate Ingelstrom"/>
    <s v="Norma Lopez"/>
    <n v="0"/>
  </r>
  <r>
    <s v="93500"/>
    <d v="2025-08-18T00:00:00"/>
    <x v="82"/>
    <x v="19"/>
    <s v="San Jose"/>
    <n v="0"/>
    <n v="0"/>
    <n v="0"/>
    <n v="50"/>
    <n v="-50"/>
    <n v="0"/>
    <s v="Norma Lopez"/>
    <s v="Kate Ingelstrom"/>
    <s v="Norma Lopez"/>
    <n v="0"/>
  </r>
  <r>
    <s v="94025"/>
    <d v="2025-08-18T00:00:00"/>
    <x v="82"/>
    <x v="19"/>
    <s v="San Jose"/>
    <n v="1514.18"/>
    <n v="0"/>
    <n v="1514.18"/>
    <n v="1147"/>
    <n v="367.18"/>
    <n v="0.24249429"/>
    <s v="Norma Lopez"/>
    <s v="Kate Ingelstrom"/>
    <s v="Norma Lopez"/>
    <n v="1"/>
  </r>
  <r>
    <s v="94066"/>
    <d v="2025-08-18T00:00:00"/>
    <x v="82"/>
    <x v="19"/>
    <s v="San Jose"/>
    <n v="1514.18"/>
    <n v="0"/>
    <n v="1514.18"/>
    <n v="1147"/>
    <n v="367.18"/>
    <n v="0.24249429"/>
    <s v="Norma Lopez"/>
    <s v="Kate Ingelstrom"/>
    <s v="Norma Lopez"/>
    <n v="1"/>
  </r>
  <r>
    <s v="94070"/>
    <d v="2025-08-18T00:00:00"/>
    <x v="82"/>
    <x v="19"/>
    <s v="San Jose"/>
    <n v="2228.4299999999998"/>
    <n v="0"/>
    <n v="2228.4299999999998"/>
    <n v="1699.76"/>
    <n v="528.66999999999996"/>
    <n v="0.23723876999999999"/>
    <s v="Norma Lopez"/>
    <s v="Kate Ingelstrom"/>
    <s v="Norma Lopez"/>
    <n v="1"/>
  </r>
  <r>
    <s v="94024"/>
    <d v="2025-08-19T00:00:00"/>
    <x v="82"/>
    <x v="19"/>
    <s v="San Jose"/>
    <n v="2421.8000000000002"/>
    <n v="0"/>
    <n v="2421.8000000000002"/>
    <n v="2073.66"/>
    <n v="348.14"/>
    <n v="0.14375257999999999"/>
    <s v="Norma Lopez"/>
    <s v="Kate Ingelstrom"/>
    <s v="Norma Lopez"/>
    <n v="1"/>
  </r>
  <r>
    <s v="94067"/>
    <d v="2025-08-19T00:00:00"/>
    <x v="82"/>
    <x v="19"/>
    <s v="San Jose"/>
    <n v="1110.8"/>
    <n v="0"/>
    <n v="1110.8"/>
    <n v="865.26"/>
    <n v="245.54"/>
    <n v="0.22104789"/>
    <s v="Norma Lopez"/>
    <s v="Kate Ingelstrom"/>
    <s v="Norma Lopez"/>
    <n v="1"/>
  </r>
  <r>
    <s v="94111"/>
    <d v="2025-08-19T00:00:00"/>
    <x v="82"/>
    <x v="19"/>
    <s v="San Jose"/>
    <n v="1651"/>
    <n v="0"/>
    <n v="1651"/>
    <n v="1266.4000000000001"/>
    <n v="384.6"/>
    <n v="0.23294972999999999"/>
    <s v="Norma Lopez"/>
    <s v="Kate Ingelstrom"/>
    <s v="Norma Lopez"/>
    <n v="1"/>
  </r>
  <r>
    <s v="94108"/>
    <d v="2025-08-20T00:00:00"/>
    <x v="82"/>
    <x v="19"/>
    <s v="San Jose"/>
    <n v="1651"/>
    <n v="0"/>
    <n v="1651"/>
    <n v="1183.4000000000001"/>
    <n v="467.6"/>
    <n v="0.28322228999999999"/>
    <s v="Norma Lopez"/>
    <s v="Kate Ingelstrom"/>
    <s v="Norma Lopez"/>
    <n v="1"/>
  </r>
  <r>
    <s v="93145"/>
    <d v="2025-08-20T00:00:00"/>
    <x v="82"/>
    <x v="19"/>
    <s v="San Jose"/>
    <n v="0"/>
    <n v="-1651"/>
    <n v="-1651"/>
    <n v="1016.4"/>
    <n v="-2667.4"/>
    <n v="1.6156268899999999"/>
    <s v="Norma Lopez"/>
    <s v="Kate Ingelstrom"/>
    <s v="Norma Lopez"/>
    <n v="0"/>
  </r>
  <r>
    <s v="94107"/>
    <d v="2025-08-20T00:00:00"/>
    <x v="82"/>
    <x v="19"/>
    <s v="San Jose"/>
    <n v="1514.18"/>
    <n v="0"/>
    <n v="1514.18"/>
    <n v="1209"/>
    <n v="305.18"/>
    <n v="0.20154802999999999"/>
    <s v="Norma Lopez"/>
    <s v="Kate Ingelstrom"/>
    <s v="Norma Lopez"/>
    <n v="1"/>
  </r>
  <r>
    <s v="94110"/>
    <d v="2025-08-20T00:00:00"/>
    <x v="82"/>
    <x v="19"/>
    <s v="San Jose"/>
    <n v="1514.18"/>
    <n v="0"/>
    <n v="1514.18"/>
    <n v="999"/>
    <n v="515.17999999999995"/>
    <n v="0.34023695999999998"/>
    <s v="Norma Lopez"/>
    <s v="Kate Ingelstrom"/>
    <s v="Norma Lopez"/>
    <n v="1"/>
  </r>
  <r>
    <s v="94128"/>
    <d v="2025-08-20T00:00:00"/>
    <x v="82"/>
    <x v="19"/>
    <s v="San Jose"/>
    <n v="1514.18"/>
    <n v="0"/>
    <n v="1514.18"/>
    <n v="1178"/>
    <n v="336.18"/>
    <n v="0.22202116"/>
    <s v="Norma Lopez"/>
    <s v="Kate Ingelstrom"/>
    <s v="Norma Lopez"/>
    <n v="1"/>
  </r>
  <r>
    <s v="94129"/>
    <d v="2025-08-20T00:00:00"/>
    <x v="82"/>
    <x v="19"/>
    <s v="San Jose"/>
    <n v="1651"/>
    <n v="0"/>
    <n v="1651"/>
    <n v="1266.4000000000001"/>
    <n v="384.6"/>
    <n v="0.23294972999999999"/>
    <s v="Norma Lopez"/>
    <s v="Kate Ingelstrom"/>
    <s v="Norma Lopez"/>
    <n v="1"/>
  </r>
  <r>
    <s v="93531"/>
    <d v="2025-08-21T00:00:00"/>
    <x v="82"/>
    <x v="19"/>
    <s v="San Jose"/>
    <n v="0"/>
    <n v="0"/>
    <n v="0"/>
    <n v="150"/>
    <n v="-150"/>
    <n v="0"/>
    <s v="Norma Lopez"/>
    <s v="Kate Ingelstrom"/>
    <s v="Norma Lopez"/>
    <n v="0"/>
  </r>
  <r>
    <s v="93809"/>
    <d v="2025-08-21T00:00:00"/>
    <x v="82"/>
    <x v="19"/>
    <s v="San Jose"/>
    <n v="0"/>
    <n v="0"/>
    <n v="0"/>
    <n v="15"/>
    <n v="-15"/>
    <n v="0"/>
    <s v="Norma Lopez"/>
    <s v="Kate Ingelstrom"/>
    <s v="Norma Lopez"/>
    <n v="0"/>
  </r>
  <r>
    <s v="94069"/>
    <d v="2025-08-21T00:00:00"/>
    <x v="82"/>
    <x v="19"/>
    <s v="San Jose"/>
    <n v="1514.18"/>
    <n v="0"/>
    <n v="1514.18"/>
    <n v="1147"/>
    <n v="367.18"/>
    <n v="0.24249429"/>
    <s v="Norma Lopez"/>
    <s v="Kate Ingelstrom"/>
    <s v="Norma Lopez"/>
    <n v="1"/>
  </r>
  <r>
    <s v="94112"/>
    <d v="2025-08-21T00:00:00"/>
    <x v="82"/>
    <x v="19"/>
    <s v="San Jose"/>
    <n v="1514.18"/>
    <n v="0"/>
    <n v="1514.18"/>
    <n v="1086"/>
    <n v="428.18"/>
    <n v="0.28278012000000002"/>
    <s v="Norma Lopez"/>
    <s v="Kate Ingelstrom"/>
    <s v="Norma Lopez"/>
    <n v="1"/>
  </r>
  <r>
    <s v="94114"/>
    <d v="2025-08-21T00:00:00"/>
    <x v="82"/>
    <x v="19"/>
    <s v="San Jose"/>
    <n v="1651"/>
    <n v="0"/>
    <n v="1651"/>
    <n v="1244.4000000000001"/>
    <n v="406.6"/>
    <n v="0.24627498"/>
    <s v="Norma Lopez"/>
    <s v="Kate Ingelstrom"/>
    <s v="Norma Lopez"/>
    <n v="1"/>
  </r>
  <r>
    <s v="94130"/>
    <d v="2025-08-21T00:00:00"/>
    <x v="82"/>
    <x v="19"/>
    <s v="San Jose"/>
    <n v="1651"/>
    <n v="0"/>
    <n v="1651"/>
    <n v="1308.4000000000001"/>
    <n v="342.6"/>
    <n v="0.20751059999999999"/>
    <s v="Norma Lopez"/>
    <s v="Kate Ingelstrom"/>
    <s v="Norma Lopez"/>
    <n v="1"/>
  </r>
  <r>
    <s v="94148"/>
    <d v="2025-08-21T00:00:00"/>
    <x v="82"/>
    <x v="19"/>
    <s v="San Jose"/>
    <n v="1651"/>
    <n v="0"/>
    <n v="1651"/>
    <n v="1266.4000000000001"/>
    <n v="384.6"/>
    <n v="0.23294972999999999"/>
    <s v="Norma Lopez"/>
    <s v="Kate Ingelstrom"/>
    <s v="Norma Lopez"/>
    <n v="1"/>
  </r>
  <r>
    <s v="94149"/>
    <d v="2025-08-21T00:00:00"/>
    <x v="82"/>
    <x v="19"/>
    <s v="San Jose"/>
    <n v="1651"/>
    <n v="0"/>
    <n v="1651"/>
    <n v="1266.4000000000001"/>
    <n v="384.6"/>
    <n v="0.23294972999999999"/>
    <s v="Norma Lopez"/>
    <s v="Kate Ingelstrom"/>
    <s v="Norma Lopez"/>
    <n v="1"/>
  </r>
  <r>
    <s v="94146"/>
    <d v="2025-08-22T00:00:00"/>
    <x v="82"/>
    <x v="19"/>
    <s v="San Jose"/>
    <n v="2365.25"/>
    <n v="0"/>
    <n v="2365.25"/>
    <n v="1797.16"/>
    <n v="568.09"/>
    <n v="0.2401818"/>
    <s v="Norma Lopez"/>
    <s v="Kate Ingelstrom"/>
    <s v="Norma Lopez"/>
    <n v="1"/>
  </r>
  <r>
    <s v="94109"/>
    <d v="2025-08-22T00:00:00"/>
    <x v="82"/>
    <x v="19"/>
    <s v="San Jose"/>
    <n v="1651"/>
    <n v="0"/>
    <n v="1651"/>
    <n v="1266.4000000000001"/>
    <n v="384.6"/>
    <n v="0.23294972999999999"/>
    <s v="Norma Lopez"/>
    <s v="Kate Ingelstrom"/>
    <s v="Norma Lopez"/>
    <n v="1"/>
  </r>
  <r>
    <s v="93246"/>
    <d v="2025-08-25T00:00:00"/>
    <x v="82"/>
    <x v="19"/>
    <s v="San Jose"/>
    <n v="0"/>
    <n v="0"/>
    <n v="0"/>
    <n v="50"/>
    <n v="-50"/>
    <n v="0"/>
    <s v="Norma Lopez"/>
    <s v="Kate Ingelstrom"/>
    <s v="Norma Lopez"/>
    <n v="0"/>
  </r>
  <r>
    <s v="93486"/>
    <d v="2025-08-25T00:00:00"/>
    <x v="82"/>
    <x v="19"/>
    <s v="San Jose"/>
    <n v="0"/>
    <n v="-1688.43"/>
    <n v="-1688.43"/>
    <n v="0"/>
    <n v="-1688.43"/>
    <n v="1"/>
    <s v="Norma Lopez"/>
    <s v="Kate Ingelstrom"/>
    <s v="Norma Lopez"/>
    <n v="0"/>
  </r>
  <r>
    <s v="94113"/>
    <d v="2025-08-25T00:00:00"/>
    <x v="82"/>
    <x v="19"/>
    <s v="San Jose"/>
    <n v="775.6"/>
    <n v="0"/>
    <n v="775.6"/>
    <n v="538.98"/>
    <n v="236.62"/>
    <n v="0.30507993999999999"/>
    <s v="Norma Lopez"/>
    <s v="Kate Ingelstrom"/>
    <s v="Norma Lopez"/>
    <n v="1"/>
  </r>
  <r>
    <s v="94147"/>
    <d v="2025-08-25T00:00:00"/>
    <x v="82"/>
    <x v="19"/>
    <s v="San Jose"/>
    <n v="1651"/>
    <n v="0"/>
    <n v="1651"/>
    <n v="1244.4000000000001"/>
    <n v="406.6"/>
    <n v="0.24627498"/>
    <s v="Norma Lopez"/>
    <s v="Kate Ingelstrom"/>
    <s v="Norma Lopez"/>
    <n v="1"/>
  </r>
  <r>
    <s v="94169"/>
    <d v="2025-08-25T00:00:00"/>
    <x v="82"/>
    <x v="19"/>
    <s v="San Jose"/>
    <n v="1651"/>
    <n v="0"/>
    <n v="1651"/>
    <n v="1266.4000000000001"/>
    <n v="384.6"/>
    <n v="0.23294972999999999"/>
    <s v="Norma Lopez"/>
    <s v="Kate Ingelstrom"/>
    <s v="Norma Lopez"/>
    <n v="1"/>
  </r>
  <r>
    <s v="94171"/>
    <d v="2025-08-25T00:00:00"/>
    <x v="82"/>
    <x v="19"/>
    <s v="San Jose"/>
    <n v="1651"/>
    <n v="0"/>
    <n v="1651"/>
    <n v="1266.4000000000001"/>
    <n v="384.6"/>
    <n v="0.23294972999999999"/>
    <s v="Norma Lopez"/>
    <s v="Kate Ingelstrom"/>
    <s v="Norma Lopez"/>
    <n v="1"/>
  </r>
  <r>
    <s v="94172"/>
    <d v="2025-08-25T00:00:00"/>
    <x v="82"/>
    <x v="19"/>
    <s v="San Jose"/>
    <n v="1651"/>
    <n v="0"/>
    <n v="1651"/>
    <n v="1266.4000000000001"/>
    <n v="384.6"/>
    <n v="0.23294972999999999"/>
    <s v="Norma Lopez"/>
    <s v="Kate Ingelstrom"/>
    <s v="Norma Lopez"/>
    <n v="1"/>
  </r>
  <r>
    <s v="94174"/>
    <d v="2025-08-25T00:00:00"/>
    <x v="82"/>
    <x v="19"/>
    <s v="San Jose"/>
    <n v="1651"/>
    <n v="0"/>
    <n v="1651"/>
    <n v="1266.4000000000001"/>
    <n v="384.6"/>
    <n v="0.23294972999999999"/>
    <s v="Norma Lopez"/>
    <s v="Kate Ingelstrom"/>
    <s v="Norma Lopez"/>
    <n v="1"/>
  </r>
  <r>
    <s v="94175"/>
    <d v="2025-08-25T00:00:00"/>
    <x v="82"/>
    <x v="19"/>
    <s v="San Jose"/>
    <n v="1651"/>
    <n v="0"/>
    <n v="1651"/>
    <n v="1266.4000000000001"/>
    <n v="384.6"/>
    <n v="0.23294972999999999"/>
    <s v="Norma Lopez"/>
    <s v="Kate Ingelstrom"/>
    <s v="Norma Lopez"/>
    <n v="1"/>
  </r>
  <r>
    <s v="94176"/>
    <d v="2025-08-25T00:00:00"/>
    <x v="82"/>
    <x v="19"/>
    <s v="San Jose"/>
    <n v="1514.18"/>
    <n v="0"/>
    <n v="1514.18"/>
    <n v="1169"/>
    <n v="345.18"/>
    <n v="0.22796496999999999"/>
    <s v="Norma Lopez"/>
    <s v="Kate Ingelstrom"/>
    <s v="Norma Lopez"/>
    <n v="1"/>
  </r>
  <r>
    <s v="94150"/>
    <d v="2025-08-26T00:00:00"/>
    <x v="82"/>
    <x v="19"/>
    <s v="San Jose"/>
    <n v="2309.02"/>
    <n v="0"/>
    <n v="2309.02"/>
    <n v="2197.66"/>
    <n v="111.36"/>
    <n v="4.822825E-2"/>
    <s v="Norma Lopez"/>
    <s v="Kate Ingelstrom"/>
    <s v="Norma Lopez"/>
    <n v="1"/>
  </r>
  <r>
    <s v="94168"/>
    <d v="2025-08-26T00:00:00"/>
    <x v="82"/>
    <x v="19"/>
    <s v="San Jose"/>
    <n v="1651"/>
    <n v="0"/>
    <n v="1651"/>
    <n v="1211.4000000000001"/>
    <n v="439.6"/>
    <n v="0.26626286999999998"/>
    <s v="Norma Lopez"/>
    <s v="Kate Ingelstrom"/>
    <s v="Norma Lopez"/>
    <n v="1"/>
  </r>
  <r>
    <s v="94177"/>
    <d v="2025-08-26T00:00:00"/>
    <x v="82"/>
    <x v="19"/>
    <s v="San Jose"/>
    <n v="2309.02"/>
    <n v="0"/>
    <n v="2309.02"/>
    <n v="1747.66"/>
    <n v="561.36"/>
    <n v="0.24311613000000001"/>
    <s v="Norma Lopez"/>
    <s v="Kate Ingelstrom"/>
    <s v="Norma Lopez"/>
    <n v="1"/>
  </r>
  <r>
    <s v="94178"/>
    <d v="2025-08-26T00:00:00"/>
    <x v="82"/>
    <x v="19"/>
    <s v="San Jose"/>
    <n v="1929.85"/>
    <n v="0"/>
    <n v="1929.85"/>
    <n v="1319.74"/>
    <n v="610.11"/>
    <n v="0.31614374000000001"/>
    <s v="Norma Lopez"/>
    <s v="Kate Ingelstrom"/>
    <s v="Norma Lopez"/>
    <n v="1"/>
  </r>
  <r>
    <s v="94179"/>
    <d v="2025-08-26T00:00:00"/>
    <x v="82"/>
    <x v="19"/>
    <s v="San Jose"/>
    <n v="1215.5999999999999"/>
    <n v="0"/>
    <n v="1215.5999999999999"/>
    <n v="755.98"/>
    <n v="459.62"/>
    <n v="0.37810135"/>
    <s v="Norma Lopez"/>
    <s v="Kate Ingelstrom"/>
    <s v="Norma Lopez"/>
    <n v="1"/>
  </r>
  <r>
    <s v="94180"/>
    <d v="2025-08-26T00:00:00"/>
    <x v="82"/>
    <x v="19"/>
    <s v="San Jose"/>
    <n v="1215.5999999999999"/>
    <n v="0"/>
    <n v="1215.5999999999999"/>
    <n v="705.98"/>
    <n v="509.62"/>
    <n v="0.41923329999999998"/>
    <s v="Norma Lopez"/>
    <s v="Kate Ingelstrom"/>
    <s v="Norma Lopez"/>
    <n v="1"/>
  </r>
  <r>
    <s v="94170"/>
    <d v="2025-08-28T00:00:00"/>
    <x v="82"/>
    <x v="19"/>
    <s v="San Jose"/>
    <n v="2421.8000000000002"/>
    <n v="0"/>
    <n v="2421.8000000000002"/>
    <n v="2196.66"/>
    <n v="225.14"/>
    <n v="9.2963909999999997E-2"/>
    <s v="Norma Lopez"/>
    <s v="Kate Ingelstrom"/>
    <s v="Norma Lopez"/>
    <n v="1"/>
  </r>
  <r>
    <s v="94173"/>
    <d v="2025-08-28T00:00:00"/>
    <x v="82"/>
    <x v="19"/>
    <s v="San Jose"/>
    <n v="1651"/>
    <n v="0"/>
    <n v="1651"/>
    <n v="1475.4"/>
    <n v="175.6"/>
    <n v="0.10635978"/>
    <s v="Norma Lopez"/>
    <s v="Kate Ingelstrom"/>
    <s v="Norma Lopez"/>
    <n v="1"/>
  </r>
  <r>
    <s v="94272"/>
    <d v="2025-08-28T00:00:00"/>
    <x v="82"/>
    <x v="19"/>
    <s v="San Jose"/>
    <n v="1651"/>
    <n v="0"/>
    <n v="1651"/>
    <n v="1266.4000000000001"/>
    <n v="384.6"/>
    <n v="0.23294972999999999"/>
    <s v="Norma Lopez"/>
    <s v="Kate Ingelstrom"/>
    <s v="Norma Lopez"/>
    <n v="1"/>
  </r>
  <r>
    <s v="94277"/>
    <d v="2025-08-29T00:00:00"/>
    <x v="82"/>
    <x v="19"/>
    <s v="San Jose"/>
    <n v="1514.18"/>
    <n v="0"/>
    <n v="1514.18"/>
    <n v="1169"/>
    <n v="345.18"/>
    <n v="0.22796496999999999"/>
    <s v="Norma Lopez"/>
    <s v="Kate Ingelstrom"/>
    <s v="Norma Lopez"/>
    <n v="1"/>
  </r>
  <r>
    <s v="94064"/>
    <d v="2025-08-29T00:00:00"/>
    <x v="82"/>
    <x v="19"/>
    <s v="San Jose"/>
    <n v="0"/>
    <n v="-298.58"/>
    <n v="-298.58"/>
    <n v="538.98"/>
    <n v="-837.56"/>
    <n v="2.80514435"/>
    <s v="Norma Lopez"/>
    <s v="Kate Ingelstrom"/>
    <s v="Norma Lopez"/>
    <n v="0"/>
  </r>
  <r>
    <s v="94167"/>
    <d v="2025-08-29T00:00:00"/>
    <x v="82"/>
    <x v="19"/>
    <s v="San Jose"/>
    <n v="1651"/>
    <n v="0"/>
    <n v="1651"/>
    <n v="1316.4"/>
    <n v="334.6"/>
    <n v="0.20266505000000001"/>
    <s v="Norma Lopez"/>
    <s v="Kate Ingelstrom"/>
    <s v="Norma Lopez"/>
    <n v="1"/>
  </r>
  <r>
    <s v="94271"/>
    <d v="2025-08-29T00:00:00"/>
    <x v="82"/>
    <x v="19"/>
    <s v="San Jose"/>
    <n v="1651"/>
    <n v="0"/>
    <n v="1651"/>
    <n v="1260.4000000000001"/>
    <n v="390.6"/>
    <n v="0.23658388999999999"/>
    <s v="Norma Lopez"/>
    <s v="Kate Ingelstrom"/>
    <s v="Norma Lopez"/>
    <n v="1"/>
  </r>
  <r>
    <s v="94273"/>
    <d v="2025-08-29T00:00:00"/>
    <x v="82"/>
    <x v="19"/>
    <s v="San Jose"/>
    <n v="2228.4299999999998"/>
    <n v="0"/>
    <n v="2228.4299999999998"/>
    <n v="1674.76"/>
    <n v="553.66999999999996"/>
    <n v="0.24845743000000001"/>
    <s v="Norma Lopez"/>
    <s v="Kate Ingelstrom"/>
    <s v="Norma Lopez"/>
    <n v="1"/>
  </r>
  <r>
    <s v="94276"/>
    <d v="2025-08-29T00:00:00"/>
    <x v="82"/>
    <x v="19"/>
    <s v="San Jose"/>
    <n v="1651"/>
    <n v="0"/>
    <n v="1651"/>
    <n v="1191.4000000000001"/>
    <n v="459.6"/>
    <n v="0.27837674000000001"/>
    <s v="Norma Lopez"/>
    <s v="Kate Ingelstrom"/>
    <s v="Norma Lopez"/>
    <n v="1"/>
  </r>
  <r>
    <s v="94308"/>
    <d v="2025-08-30T00:00:00"/>
    <x v="82"/>
    <x v="19"/>
    <s v="San Jose"/>
    <n v="1215.5999999999999"/>
    <n v="0"/>
    <n v="1215.5999999999999"/>
    <n v="788.98"/>
    <n v="426.62"/>
    <n v="0.35095426000000002"/>
    <s v="Norma Lopez"/>
    <s v="Kate Ingelstrom"/>
    <s v="Norma Lopez"/>
    <n v="1"/>
  </r>
  <r>
    <s v="93479"/>
    <d v="2025-08-07T00:00:00"/>
    <x v="83"/>
    <x v="19"/>
    <s v="San Jose"/>
    <n v="0"/>
    <n v="0"/>
    <n v="0"/>
    <n v="-1515.8"/>
    <n v="1515.8"/>
    <n v="0"/>
    <s v="Carina Collison,Casey Fleming"/>
    <s v="Kate Ingelstrom"/>
    <s v="Carina Collison"/>
    <n v="0"/>
  </r>
  <r>
    <s v="93479"/>
    <d v="2025-08-08T00:00:00"/>
    <x v="83"/>
    <x v="19"/>
    <s v="San Jose"/>
    <n v="0"/>
    <n v="563.79"/>
    <n v="563.79"/>
    <n v="165.09"/>
    <n v="398.7"/>
    <n v="0.70717819999999998"/>
    <s v="Carina Collison,Casey Fleming"/>
    <s v="Kate Ingelstrom"/>
    <s v="Carina Collison"/>
    <n v="0"/>
  </r>
  <r>
    <s v="90897"/>
    <d v="2025-08-08T00:00:00"/>
    <x v="83"/>
    <x v="19"/>
    <s v="San Jose"/>
    <n v="0"/>
    <n v="0"/>
    <n v="0"/>
    <n v="-4027.16"/>
    <n v="4027.16"/>
    <n v="0"/>
    <s v="Casey Fleming,Norma Lopez"/>
    <s v="Kate Ingelstrom"/>
    <s v="Norma Lopez"/>
    <n v="0"/>
  </r>
  <r>
    <s v="93786"/>
    <d v="2025-08-18T00:00:00"/>
    <x v="83"/>
    <x v="19"/>
    <s v="San Jose"/>
    <n v="1151.55"/>
    <n v="0"/>
    <n v="1151.55"/>
    <n v="765.72"/>
    <n v="385.83"/>
    <n v="0.33505275000000001"/>
    <s v="Gina Ortis"/>
    <s v="Kate Ingelstrom"/>
    <s v="Gina Ortis"/>
    <n v="1"/>
  </r>
  <r>
    <s v="93058"/>
    <d v="2025-08-01T00:00:00"/>
    <x v="83"/>
    <x v="19"/>
    <s v="San Jose"/>
    <n v="0"/>
    <n v="0"/>
    <n v="0"/>
    <n v="0.46"/>
    <n v="-0.46"/>
    <n v="0"/>
    <s v="Jessica Ramirez"/>
    <s v="Kate Ingelstrom"/>
    <s v="Jessica Ramirez"/>
    <n v="0"/>
  </r>
  <r>
    <s v="93072"/>
    <d v="2025-08-01T00:00:00"/>
    <x v="83"/>
    <x v="19"/>
    <s v="San Jose"/>
    <n v="0"/>
    <n v="0"/>
    <n v="0"/>
    <n v="-6022.5"/>
    <n v="6022.5"/>
    <n v="0"/>
    <s v="Jessica Ramirez"/>
    <s v="Kate Ingelstrom"/>
    <s v="Jessica Ramirez"/>
    <n v="0"/>
  </r>
  <r>
    <s v="90809"/>
    <d v="2025-08-01T00:00:00"/>
    <x v="83"/>
    <x v="19"/>
    <s v="San Jose"/>
    <n v="0"/>
    <n v="0"/>
    <n v="0"/>
    <n v="131.29"/>
    <n v="-131.29"/>
    <n v="0"/>
    <s v="Jessica Ramirez"/>
    <s v="Kate Ingelstrom"/>
    <s v="Jessica Ramirez"/>
    <n v="0"/>
  </r>
  <r>
    <s v="93713"/>
    <d v="2025-08-01T00:00:00"/>
    <x v="83"/>
    <x v="19"/>
    <s v="San Jose"/>
    <n v="0"/>
    <n v="0"/>
    <n v="0"/>
    <n v="-4184.8100000000004"/>
    <n v="4184.8100000000004"/>
    <n v="0"/>
    <s v="Jessica Ramirez"/>
    <s v="Kate Ingelstrom"/>
    <s v="Jessica Ramirez"/>
    <n v="0"/>
  </r>
  <r>
    <s v="91658"/>
    <d v="2025-08-06T00:00:00"/>
    <x v="83"/>
    <x v="19"/>
    <s v="San Jose"/>
    <n v="0"/>
    <n v="0"/>
    <n v="0"/>
    <n v="13.28"/>
    <n v="-13.28"/>
    <n v="0"/>
    <s v="Jessica Ramirez"/>
    <s v="Kate Ingelstrom"/>
    <s v="Jessica Ramirez"/>
    <n v="0"/>
  </r>
  <r>
    <s v="92693"/>
    <d v="2025-08-06T00:00:00"/>
    <x v="83"/>
    <x v="19"/>
    <s v="San Jose"/>
    <n v="0"/>
    <n v="0"/>
    <n v="0"/>
    <n v="-811.78"/>
    <n v="811.78"/>
    <n v="0"/>
    <s v="Jessica Ramirez"/>
    <s v="Kate Ingelstrom"/>
    <s v="Jessica Ramirez"/>
    <n v="0"/>
  </r>
  <r>
    <s v="93941"/>
    <d v="2025-08-08T00:00:00"/>
    <x v="83"/>
    <x v="19"/>
    <s v="San Jose"/>
    <n v="6562.5"/>
    <n v="0"/>
    <n v="6562.5"/>
    <n v="5250"/>
    <n v="1312.5"/>
    <n v="0.2"/>
    <s v="Jessica Ramirez"/>
    <s v="Kate Ingelstrom"/>
    <s v="Jessica Ramirez"/>
    <n v="1"/>
  </r>
  <r>
    <s v="93932"/>
    <d v="2025-08-14T00:00:00"/>
    <x v="83"/>
    <x v="19"/>
    <s v="San Jose"/>
    <n v="9657.98"/>
    <n v="0"/>
    <n v="9657.98"/>
    <n v="7333.63"/>
    <n v="2324.35"/>
    <n v="0.24066626999999999"/>
    <s v="Jessica Ramirez"/>
    <s v="Kate Ingelstrom"/>
    <s v="Jessica Ramirez"/>
    <n v="1"/>
  </r>
  <r>
    <s v="93987"/>
    <d v="2025-08-14T00:00:00"/>
    <x v="83"/>
    <x v="19"/>
    <s v="San Jose"/>
    <n v="300"/>
    <n v="0"/>
    <n v="300"/>
    <n v="225"/>
    <n v="75"/>
    <n v="0.25"/>
    <s v="Jessica Ramirez"/>
    <s v="Kate Ingelstrom"/>
    <s v="Jessica Ramirez"/>
    <n v="1"/>
  </r>
  <r>
    <s v="93924"/>
    <d v="2025-08-15T00:00:00"/>
    <x v="83"/>
    <x v="19"/>
    <s v="San Jose"/>
    <n v="2624.57"/>
    <n v="0"/>
    <n v="2624.57"/>
    <n v="2074.41"/>
    <n v="550.16"/>
    <n v="0.2096191"/>
    <s v="Jessica Ramirez"/>
    <s v="Kate Ingelstrom"/>
    <s v="Jessica Ramirez"/>
    <n v="1"/>
  </r>
  <r>
    <s v="88946"/>
    <d v="2025-08-19T00:00:00"/>
    <x v="83"/>
    <x v="19"/>
    <s v="San Jose"/>
    <n v="0"/>
    <n v="0"/>
    <n v="0"/>
    <n v="-435.31"/>
    <n v="435.31"/>
    <n v="0"/>
    <s v="Jessica Ramirez"/>
    <s v="Kate Ingelstrom"/>
    <s v="Jessica Ramirez"/>
    <n v="0"/>
  </r>
  <r>
    <s v="91953"/>
    <d v="2025-08-19T00:00:00"/>
    <x v="83"/>
    <x v="19"/>
    <s v="San Jose"/>
    <n v="109359.84"/>
    <n v="0"/>
    <n v="109359.84"/>
    <n v="92270.36"/>
    <n v="17089.48"/>
    <n v="0.15626833000000001"/>
    <s v="Jessica Ramirez"/>
    <s v="Kate Ingelstrom"/>
    <s v="Jessica Ramirez"/>
    <n v="1"/>
  </r>
  <r>
    <s v="92661"/>
    <d v="2025-08-19T00:00:00"/>
    <x v="83"/>
    <x v="19"/>
    <s v="San Jose"/>
    <n v="0"/>
    <n v="0"/>
    <n v="0"/>
    <n v="-576.49"/>
    <n v="576.49"/>
    <n v="0"/>
    <s v="Jessica Ramirez"/>
    <s v="Kate Ingelstrom"/>
    <s v="Jessica Ramirez"/>
    <n v="0"/>
  </r>
  <r>
    <s v="93924"/>
    <d v="2025-08-19T00:00:00"/>
    <x v="83"/>
    <x v="19"/>
    <s v="San Jose"/>
    <n v="0"/>
    <n v="0"/>
    <n v="0"/>
    <n v="0.53"/>
    <n v="-0.53"/>
    <n v="0"/>
    <s v="Jessica Ramirez"/>
    <s v="Kate Ingelstrom"/>
    <s v="Jessica Ramirez"/>
    <n v="0"/>
  </r>
  <r>
    <s v="94008"/>
    <d v="2025-08-19T00:00:00"/>
    <x v="83"/>
    <x v="19"/>
    <s v="San Jose"/>
    <n v="2034.1"/>
    <n v="0"/>
    <n v="2034.1"/>
    <n v="1536.2"/>
    <n v="497.9"/>
    <n v="0.24477656"/>
    <s v="Jessica Ramirez"/>
    <s v="Kate Ingelstrom"/>
    <s v="Jessica Ramirez"/>
    <n v="1"/>
  </r>
  <r>
    <s v="94095"/>
    <d v="2025-08-19T00:00:00"/>
    <x v="83"/>
    <x v="19"/>
    <s v="San Jose"/>
    <n v="300"/>
    <n v="0"/>
    <n v="300"/>
    <n v="225"/>
    <n v="75"/>
    <n v="0.25"/>
    <s v="Jessica Ramirez"/>
    <s v="Kate Ingelstrom"/>
    <s v="Jessica Ramirez"/>
    <n v="1"/>
  </r>
  <r>
    <s v="94145"/>
    <d v="2025-08-25T00:00:00"/>
    <x v="83"/>
    <x v="19"/>
    <s v="San Jose"/>
    <n v="200"/>
    <n v="0"/>
    <n v="200"/>
    <n v="150"/>
    <n v="50"/>
    <n v="0.25"/>
    <s v="Jessica Ramirez"/>
    <s v="Kate Ingelstrom"/>
    <s v="Jessica Ramirez"/>
    <n v="1"/>
  </r>
  <r>
    <s v="92693"/>
    <d v="2025-08-25T00:00:00"/>
    <x v="83"/>
    <x v="19"/>
    <s v="San Jose"/>
    <n v="0"/>
    <n v="0"/>
    <n v="0"/>
    <n v="249.88"/>
    <n v="-249.88"/>
    <n v="0"/>
    <s v="Jessica Ramirez"/>
    <s v="Kate Ingelstrom"/>
    <s v="Jessica Ramirez"/>
    <n v="0"/>
  </r>
  <r>
    <s v="93877"/>
    <d v="2025-08-29T00:00:00"/>
    <x v="83"/>
    <x v="19"/>
    <s v="San Jose"/>
    <n v="688"/>
    <n v="0"/>
    <n v="688"/>
    <n v="512"/>
    <n v="176"/>
    <n v="0.25581395000000001"/>
    <s v="Jessica Ramirez"/>
    <s v="Kate Ingelstrom"/>
    <s v="Jessica Ramirez"/>
    <n v="1"/>
  </r>
  <r>
    <s v="88118"/>
    <d v="2025-08-30T00:00:00"/>
    <x v="83"/>
    <x v="19"/>
    <s v="San Jose"/>
    <n v="0"/>
    <n v="0"/>
    <n v="0"/>
    <n v="138.75"/>
    <n v="-138.75"/>
    <n v="0"/>
    <s v="Jessica Ramirez"/>
    <s v="Kate Ingelstrom"/>
    <s v="Jessica Ramirez"/>
    <n v="0"/>
  </r>
  <r>
    <s v="91953"/>
    <d v="2025-08-30T00:00:00"/>
    <x v="83"/>
    <x v="19"/>
    <s v="San Jose"/>
    <n v="0"/>
    <n v="0"/>
    <n v="0"/>
    <n v="121.25"/>
    <n v="-121.25"/>
    <n v="0"/>
    <s v="Jessica Ramirez"/>
    <s v="Kate Ingelstrom"/>
    <s v="Jessica Ramirez"/>
    <n v="0"/>
  </r>
  <r>
    <s v="92637"/>
    <d v="2025-08-01T00:00:00"/>
    <x v="83"/>
    <x v="19"/>
    <s v="San Jose"/>
    <n v="0"/>
    <n v="0"/>
    <n v="0"/>
    <n v="-82"/>
    <n v="82"/>
    <n v="0"/>
    <s v="Norma Lopez"/>
    <s v="Kate Ingelstrom"/>
    <s v="Norma Lopez"/>
    <n v="0"/>
  </r>
  <r>
    <s v="93301"/>
    <d v="2025-08-01T00:00:00"/>
    <x v="83"/>
    <x v="19"/>
    <s v="San Jose"/>
    <n v="0"/>
    <n v="0"/>
    <n v="0"/>
    <n v="-1970.1"/>
    <n v="1970.1"/>
    <n v="0"/>
    <s v="Norma Lopez"/>
    <s v="Kate Ingelstrom"/>
    <s v="Norma Lopez"/>
    <n v="0"/>
  </r>
  <r>
    <s v="93622"/>
    <d v="2025-08-01T00:00:00"/>
    <x v="83"/>
    <x v="19"/>
    <s v="San Jose"/>
    <n v="0"/>
    <n v="0"/>
    <n v="0"/>
    <n v="87.31"/>
    <n v="-87.31"/>
    <n v="0"/>
    <s v="Norma Lopez"/>
    <s v="Kate Ingelstrom"/>
    <s v="Norma Lopez"/>
    <n v="0"/>
  </r>
  <r>
    <s v="93668"/>
    <d v="2025-08-01T00:00:00"/>
    <x v="83"/>
    <x v="19"/>
    <s v="San Jose"/>
    <n v="0"/>
    <n v="0"/>
    <n v="0"/>
    <n v="2647.6"/>
    <n v="-2647.6"/>
    <n v="0"/>
    <s v="Norma Lopez"/>
    <s v="Kate Ingelstrom"/>
    <s v="Norma Lopez"/>
    <n v="0"/>
  </r>
  <r>
    <s v="93872"/>
    <d v="2025-08-01T00:00:00"/>
    <x v="83"/>
    <x v="19"/>
    <s v="San Jose"/>
    <n v="0"/>
    <n v="0"/>
    <n v="0"/>
    <n v="176"/>
    <n v="-176"/>
    <n v="0"/>
    <s v="Norma Lopez"/>
    <s v="Kate Ingelstrom"/>
    <s v="Norma Lopez"/>
    <n v="0"/>
  </r>
  <r>
    <s v="93508"/>
    <d v="2025-08-04T00:00:00"/>
    <x v="83"/>
    <x v="19"/>
    <s v="San Jose"/>
    <n v="1320.48"/>
    <n v="0"/>
    <n v="1320.48"/>
    <n v="1083.33"/>
    <n v="237.15"/>
    <n v="0.17959378000000001"/>
    <s v="Norma Lopez"/>
    <s v="Kate Ingelstrom"/>
    <s v="Norma Lopez"/>
    <n v="1"/>
  </r>
  <r>
    <s v="93668"/>
    <d v="2025-08-05T00:00:00"/>
    <x v="83"/>
    <x v="19"/>
    <s v="San Jose"/>
    <n v="0"/>
    <n v="0"/>
    <n v="0"/>
    <n v="150"/>
    <n v="-150"/>
    <n v="0"/>
    <s v="Norma Lopez"/>
    <s v="Kate Ingelstrom"/>
    <s v="Norma Lopez"/>
    <n v="0"/>
  </r>
  <r>
    <s v="93668"/>
    <d v="2025-08-06T00:00:00"/>
    <x v="83"/>
    <x v="19"/>
    <s v="San Jose"/>
    <n v="0"/>
    <n v="0"/>
    <n v="0"/>
    <n v="-3462.33"/>
    <n v="3462.33"/>
    <n v="0"/>
    <s v="Norma Lopez"/>
    <s v="Kate Ingelstrom"/>
    <s v="Norma Lopez"/>
    <n v="0"/>
  </r>
  <r>
    <s v="93302"/>
    <d v="2025-08-07T00:00:00"/>
    <x v="83"/>
    <x v="19"/>
    <s v="San Jose"/>
    <n v="0"/>
    <n v="0"/>
    <n v="0"/>
    <n v="-50"/>
    <n v="50"/>
    <n v="0"/>
    <s v="Norma Lopez"/>
    <s v="Kate Ingelstrom"/>
    <s v="Norma Lopez"/>
    <n v="0"/>
  </r>
  <r>
    <s v="93668"/>
    <d v="2025-08-07T00:00:00"/>
    <x v="83"/>
    <x v="19"/>
    <s v="San Jose"/>
    <n v="0"/>
    <n v="0"/>
    <n v="0"/>
    <n v="-1208.73"/>
    <n v="1208.73"/>
    <n v="0"/>
    <s v="Norma Lopez"/>
    <s v="Kate Ingelstrom"/>
    <s v="Norma Lopez"/>
    <n v="0"/>
  </r>
  <r>
    <s v="93668"/>
    <d v="2025-08-08T00:00:00"/>
    <x v="83"/>
    <x v="19"/>
    <s v="San Jose"/>
    <n v="0"/>
    <n v="0"/>
    <n v="0"/>
    <n v="70.06"/>
    <n v="-70.06"/>
    <n v="0"/>
    <s v="Norma Lopez"/>
    <s v="Kate Ingelstrom"/>
    <s v="Norma Lopez"/>
    <n v="0"/>
  </r>
  <r>
    <s v="93472"/>
    <d v="2025-08-11T00:00:00"/>
    <x v="83"/>
    <x v="19"/>
    <s v="San Jose"/>
    <n v="0"/>
    <n v="0"/>
    <n v="0"/>
    <n v="83.06"/>
    <n v="-83.06"/>
    <n v="0"/>
    <s v="Norma Lopez"/>
    <s v="Kate Ingelstrom"/>
    <s v="Norma Lopez"/>
    <n v="0"/>
  </r>
  <r>
    <s v="93472"/>
    <d v="2025-08-12T00:00:00"/>
    <x v="83"/>
    <x v="19"/>
    <s v="San Jose"/>
    <n v="0"/>
    <n v="0"/>
    <n v="0"/>
    <n v="-19.079999999999998"/>
    <n v="19.079999999999998"/>
    <n v="0"/>
    <s v="Norma Lopez"/>
    <s v="Kate Ingelstrom"/>
    <s v="Norma Lopez"/>
    <n v="0"/>
  </r>
  <r>
    <s v="93472"/>
    <d v="2025-08-13T00:00:00"/>
    <x v="83"/>
    <x v="19"/>
    <s v="San Jose"/>
    <n v="0"/>
    <n v="0"/>
    <n v="0"/>
    <n v="-283.38"/>
    <n v="283.38"/>
    <n v="0"/>
    <s v="Norma Lopez"/>
    <s v="Kate Ingelstrom"/>
    <s v="Norma Lopez"/>
    <n v="0"/>
  </r>
  <r>
    <s v="93668"/>
    <d v="2025-08-13T00:00:00"/>
    <x v="83"/>
    <x v="19"/>
    <s v="San Jose"/>
    <n v="0"/>
    <n v="0"/>
    <n v="0"/>
    <n v="60"/>
    <n v="-60"/>
    <n v="0"/>
    <s v="Norma Lopez"/>
    <s v="Kate Ingelstrom"/>
    <s v="Norma Lopez"/>
    <n v="0"/>
  </r>
  <r>
    <s v="93472"/>
    <d v="2025-08-14T00:00:00"/>
    <x v="83"/>
    <x v="19"/>
    <s v="San Jose"/>
    <n v="0"/>
    <n v="0"/>
    <n v="0"/>
    <n v="0.62"/>
    <n v="-0.62"/>
    <n v="0"/>
    <s v="Norma Lopez"/>
    <s v="Kate Ingelstrom"/>
    <s v="Norma Lopez"/>
    <n v="0"/>
  </r>
  <r>
    <s v="88268"/>
    <d v="2025-08-14T00:00:00"/>
    <x v="83"/>
    <x v="19"/>
    <s v="San Jose"/>
    <n v="0"/>
    <n v="0"/>
    <n v="0"/>
    <n v="54.25"/>
    <n v="-54.25"/>
    <n v="0"/>
    <s v="Norma Lopez"/>
    <s v="Kate Ingelstrom"/>
    <s v="Norma Lopez"/>
    <n v="0"/>
  </r>
  <r>
    <s v="93008"/>
    <d v="2025-08-14T00:00:00"/>
    <x v="83"/>
    <x v="19"/>
    <s v="San Jose"/>
    <n v="0"/>
    <n v="0"/>
    <n v="0"/>
    <n v="46.5"/>
    <n v="-46.5"/>
    <n v="0"/>
    <s v="Norma Lopez"/>
    <s v="Kate Ingelstrom"/>
    <s v="Norma Lopez"/>
    <n v="0"/>
  </r>
  <r>
    <s v="94042"/>
    <d v="2025-08-15T00:00:00"/>
    <x v="83"/>
    <x v="19"/>
    <s v="San Jose"/>
    <n v="36155.980000000003"/>
    <n v="0"/>
    <n v="36155.980000000003"/>
    <n v="28348.78"/>
    <n v="7807.2"/>
    <n v="0.21593108999999999"/>
    <s v="Norma Lopez"/>
    <s v="Kate Ingelstrom"/>
    <s v="Norma Lopez"/>
    <n v="1"/>
  </r>
  <r>
    <s v="92320"/>
    <d v="2025-08-18T00:00:00"/>
    <x v="83"/>
    <x v="19"/>
    <s v="San Jose"/>
    <n v="0"/>
    <n v="0"/>
    <n v="0"/>
    <n v="-5398.56"/>
    <n v="5398.56"/>
    <n v="0"/>
    <s v="Norma Lopez"/>
    <s v="Kate Ingelstrom"/>
    <s v="Norma Lopez"/>
    <n v="0"/>
  </r>
  <r>
    <s v="93291"/>
    <d v="2025-08-19T00:00:00"/>
    <x v="83"/>
    <x v="19"/>
    <s v="San Jose"/>
    <n v="0"/>
    <n v="0"/>
    <n v="0"/>
    <n v="-105.89"/>
    <n v="105.89"/>
    <n v="0"/>
    <s v="Norma Lopez"/>
    <s v="Kate Ingelstrom"/>
    <s v="Norma Lopez"/>
    <n v="0"/>
  </r>
  <r>
    <s v="94083"/>
    <d v="2025-08-19T00:00:00"/>
    <x v="83"/>
    <x v="19"/>
    <s v="San Jose"/>
    <n v="2117.69"/>
    <n v="0"/>
    <n v="2117.69"/>
    <n v="1227.96"/>
    <n v="889.73"/>
    <n v="0.42014175999999998"/>
    <s v="Norma Lopez"/>
    <s v="Kate Ingelstrom"/>
    <s v="Norma Lopez"/>
    <n v="1"/>
  </r>
  <r>
    <s v="94102"/>
    <d v="2025-08-20T00:00:00"/>
    <x v="83"/>
    <x v="19"/>
    <s v="San Jose"/>
    <n v="1558.86"/>
    <n v="0"/>
    <n v="1558.86"/>
    <n v="1247.0899999999999"/>
    <n v="311.77"/>
    <n v="0.19999871999999999"/>
    <s v="Norma Lopez"/>
    <s v="Kate Ingelstrom"/>
    <s v="Norma Lopez"/>
    <n v="1"/>
  </r>
  <r>
    <s v="93842"/>
    <d v="2025-08-21T00:00:00"/>
    <x v="83"/>
    <x v="19"/>
    <s v="San Jose"/>
    <n v="0"/>
    <n v="0"/>
    <n v="0"/>
    <n v="2500"/>
    <n v="-2500"/>
    <n v="0"/>
    <s v="Norma Lopez"/>
    <s v="Kate Ingelstrom"/>
    <s v="Norma Lopez"/>
    <n v="0"/>
  </r>
  <r>
    <s v="94140"/>
    <d v="2025-08-21T00:00:00"/>
    <x v="83"/>
    <x v="19"/>
    <s v="San Jose"/>
    <n v="39464.879999999997"/>
    <n v="0"/>
    <n v="39464.879999999997"/>
    <n v="30995.91"/>
    <n v="8468.9699999999993"/>
    <n v="0.21459510000000001"/>
    <s v="Norma Lopez"/>
    <s v="Kate Ingelstrom"/>
    <s v="Norma Lopez"/>
    <n v="1"/>
  </r>
  <r>
    <s v="93607"/>
    <d v="2025-08-22T00:00:00"/>
    <x v="83"/>
    <x v="19"/>
    <s v="San Jose"/>
    <n v="0"/>
    <n v="0"/>
    <n v="0"/>
    <n v="1076.31"/>
    <n v="-1076.31"/>
    <n v="0"/>
    <s v="Norma Lopez"/>
    <s v="Kate Ingelstrom"/>
    <s v="Norma Lopez"/>
    <n v="0"/>
  </r>
  <r>
    <s v="92637"/>
    <d v="2025-08-25T00:00:00"/>
    <x v="83"/>
    <x v="19"/>
    <s v="San Jose"/>
    <n v="0"/>
    <n v="0"/>
    <n v="0"/>
    <n v="44"/>
    <n v="-44"/>
    <n v="0"/>
    <s v="Norma Lopez"/>
    <s v="Kate Ingelstrom"/>
    <s v="Norma Lopez"/>
    <n v="0"/>
  </r>
  <r>
    <s v="93472"/>
    <d v="2025-08-25T00:00:00"/>
    <x v="83"/>
    <x v="19"/>
    <s v="San Jose"/>
    <n v="0"/>
    <n v="0"/>
    <n v="0"/>
    <n v="-1278.8800000000001"/>
    <n v="1278.8800000000001"/>
    <n v="0"/>
    <s v="Norma Lopez"/>
    <s v="Kate Ingelstrom"/>
    <s v="Norma Lopez"/>
    <n v="0"/>
  </r>
  <r>
    <s v="93668"/>
    <d v="2025-08-25T00:00:00"/>
    <x v="83"/>
    <x v="19"/>
    <s v="San Jose"/>
    <n v="0"/>
    <n v="0"/>
    <n v="0"/>
    <n v="1812.1"/>
    <n v="-1812.1"/>
    <n v="0"/>
    <s v="Norma Lopez"/>
    <s v="Kate Ingelstrom"/>
    <s v="Norma Lopez"/>
    <n v="0"/>
  </r>
  <r>
    <s v="94002"/>
    <d v="2025-08-25T00:00:00"/>
    <x v="83"/>
    <x v="19"/>
    <s v="San Jose"/>
    <n v="91250.64"/>
    <n v="0"/>
    <n v="91250.64"/>
    <n v="74661"/>
    <n v="16589.64"/>
    <n v="0.18180299999999999"/>
    <s v="Norma Lopez"/>
    <s v="Kate Ingelstrom"/>
    <s v="Norma Lopez"/>
    <n v="1"/>
  </r>
  <r>
    <s v="94004"/>
    <d v="2025-08-25T00:00:00"/>
    <x v="83"/>
    <x v="19"/>
    <s v="San Jose"/>
    <n v="191294.09"/>
    <n v="0"/>
    <n v="191294.09"/>
    <n v="156566.25"/>
    <n v="34727.839999999997"/>
    <n v="0.18154163000000001"/>
    <s v="Norma Lopez"/>
    <s v="Kate Ingelstrom"/>
    <s v="Norma Lopez"/>
    <n v="1"/>
  </r>
  <r>
    <s v="93641"/>
    <d v="2025-08-27T00:00:00"/>
    <x v="83"/>
    <x v="19"/>
    <s v="San Jose"/>
    <n v="13602.06"/>
    <n v="0"/>
    <n v="13602.06"/>
    <n v="5374.51"/>
    <n v="8227.5499999999993"/>
    <n v="0.60487528999999995"/>
    <s v="Norma Lopez"/>
    <s v="Kate Ingelstrom"/>
    <s v="Norma Lopez"/>
    <n v="1"/>
  </r>
  <r>
    <s v="94238"/>
    <d v="2025-08-27T00:00:00"/>
    <x v="83"/>
    <x v="19"/>
    <s v="San Jose"/>
    <n v="3701.38"/>
    <n v="0"/>
    <n v="3701.38"/>
    <n v="2682.11"/>
    <n v="1019.27"/>
    <n v="0.27537567000000002"/>
    <s v="Norma Lopez"/>
    <s v="Kate Ingelstrom"/>
    <s v="Norma Lopez"/>
    <n v="1"/>
  </r>
  <r>
    <s v="93668"/>
    <d v="2025-08-28T00:00:00"/>
    <x v="83"/>
    <x v="19"/>
    <s v="San Jose"/>
    <n v="0"/>
    <n v="0"/>
    <n v="0"/>
    <n v="-264.35000000000002"/>
    <n v="264.35000000000002"/>
    <n v="0"/>
    <s v="Norma Lopez"/>
    <s v="Kate Ingelstrom"/>
    <s v="Norma Lopez"/>
    <n v="0"/>
  </r>
  <r>
    <s v="93538"/>
    <d v="2025-08-28T00:00:00"/>
    <x v="83"/>
    <x v="19"/>
    <s v="San Jose"/>
    <n v="0"/>
    <n v="21.75"/>
    <n v="21.75"/>
    <n v="574.9"/>
    <n v="-553.15"/>
    <n v="-25.432183909999999"/>
    <s v="Norma Lopez"/>
    <s v="Kate Ingelstrom"/>
    <s v="Norma Lopez"/>
    <n v="0"/>
  </r>
  <r>
    <s v="94198"/>
    <d v="2025-08-28T00:00:00"/>
    <x v="83"/>
    <x v="19"/>
    <s v="San Jose"/>
    <n v="68155.759999999995"/>
    <n v="0"/>
    <n v="68155.759999999995"/>
    <n v="55809.86"/>
    <n v="12345.9"/>
    <n v="0.18114242999999999"/>
    <s v="Norma Lopez"/>
    <s v="Kate Ingelstrom"/>
    <s v="Norma Lopez"/>
    <n v="1"/>
  </r>
  <r>
    <s v="93668"/>
    <d v="2025-08-29T00:00:00"/>
    <x v="83"/>
    <x v="19"/>
    <s v="San Jose"/>
    <n v="0"/>
    <n v="0"/>
    <n v="0"/>
    <n v="1733.13"/>
    <n v="-1733.13"/>
    <n v="0"/>
    <s v="Norma Lopez"/>
    <s v="Kate Ingelstrom"/>
    <s v="Norma Lopez"/>
    <n v="0"/>
  </r>
  <r>
    <s v="88268"/>
    <d v="2025-08-29T00:00:00"/>
    <x v="83"/>
    <x v="19"/>
    <s v="San Jose"/>
    <n v="0"/>
    <n v="0"/>
    <n v="0"/>
    <n v="75790"/>
    <n v="-75790"/>
    <n v="0"/>
    <s v="Norma Lopez"/>
    <s v="Kate Ingelstrom"/>
    <s v="Norma Lopez"/>
    <n v="0"/>
  </r>
  <r>
    <s v="92291"/>
    <d v="2025-08-29T00:00:00"/>
    <x v="83"/>
    <x v="19"/>
    <s v="San Jose"/>
    <n v="0"/>
    <n v="0"/>
    <n v="0"/>
    <n v="5616.25"/>
    <n v="-5616.25"/>
    <n v="0"/>
    <s v="Norma Lopez"/>
    <s v="Kate Ingelstrom"/>
    <s v="Norma Lopez"/>
    <n v="0"/>
  </r>
  <r>
    <s v="92552"/>
    <d v="2025-08-29T00:00:00"/>
    <x v="83"/>
    <x v="19"/>
    <s v="San Jose"/>
    <n v="88048.4"/>
    <n v="0"/>
    <n v="88048.4"/>
    <n v="72408.600000000006"/>
    <n v="15639.8"/>
    <n v="0.17762729999999999"/>
    <s v="Norma Lopez"/>
    <s v="Kate Ingelstrom"/>
    <s v="Norma Lopez"/>
    <n v="1"/>
  </r>
  <r>
    <s v="92553"/>
    <d v="2025-08-29T00:00:00"/>
    <x v="83"/>
    <x v="19"/>
    <s v="San Jose"/>
    <n v="158564.81"/>
    <n v="0"/>
    <n v="158564.81"/>
    <n v="130384.78"/>
    <n v="28180.03"/>
    <n v="0.17771931999999999"/>
    <s v="Norma Lopez"/>
    <s v="Kate Ingelstrom"/>
    <s v="Norma Lopez"/>
    <n v="1"/>
  </r>
  <r>
    <s v="93609"/>
    <d v="2025-08-30T00:00:00"/>
    <x v="83"/>
    <x v="19"/>
    <s v="San Jose"/>
    <n v="0"/>
    <n v="0"/>
    <n v="0"/>
    <n v="1432.5"/>
    <n v="-1432.5"/>
    <n v="0"/>
    <s v="Norma Lopez"/>
    <s v="Kate Ingelstrom"/>
    <s v="Norma Lopez"/>
    <n v="0"/>
  </r>
  <r>
    <s v="93812"/>
    <d v="2025-08-01T00:00:00"/>
    <x v="84"/>
    <x v="14"/>
    <s v="San Jose"/>
    <n v="6190.17"/>
    <n v="0"/>
    <n v="6190.17"/>
    <n v="4499.6099999999997"/>
    <n v="1690.56"/>
    <n v="0.27310396999999997"/>
    <s v="Jenni Lombardi"/>
    <s v="Kate Ingelstrom"/>
    <s v="Jenni Lombardi"/>
    <n v="1"/>
  </r>
  <r>
    <s v="93812"/>
    <d v="2025-08-07T00:00:00"/>
    <x v="84"/>
    <x v="14"/>
    <s v="San Jose"/>
    <n v="0"/>
    <n v="0"/>
    <n v="0"/>
    <n v="-36.81"/>
    <n v="36.81"/>
    <n v="0"/>
    <s v="Jenni Lombardi"/>
    <s v="Kate Ingelstrom"/>
    <s v="Jenni Lombardi"/>
    <n v="0"/>
  </r>
  <r>
    <s v="93457"/>
    <d v="2025-08-25T00:00:00"/>
    <x v="84"/>
    <x v="14"/>
    <s v="San Jose"/>
    <n v="0"/>
    <n v="0"/>
    <n v="0"/>
    <n v="37.130000000000003"/>
    <n v="-37.130000000000003"/>
    <n v="0"/>
    <s v="Jenni Lombardi"/>
    <s v="Kate Ingelstrom"/>
    <s v="Jenni Lombardi"/>
    <n v="0"/>
  </r>
  <r>
    <s v="93709"/>
    <d v="2025-08-11T00:00:00"/>
    <x v="85"/>
    <x v="8"/>
    <s v="San Francisco"/>
    <n v="46207.43"/>
    <n v="0"/>
    <n v="46207.43"/>
    <n v="39218.53"/>
    <n v="6988.9"/>
    <n v="0.15125057"/>
    <s v="Anthony Pantaleoni"/>
    <s v="Olivia Gorfain"/>
    <s v="Anthony Pantaleoni"/>
    <n v="1"/>
  </r>
  <r>
    <s v="93709"/>
    <d v="2025-08-13T00:00:00"/>
    <x v="85"/>
    <x v="8"/>
    <s v="San Francisco"/>
    <n v="0"/>
    <n v="0"/>
    <n v="0"/>
    <n v="762.74"/>
    <n v="-762.74"/>
    <n v="0"/>
    <s v="Anthony Pantaleoni"/>
    <s v="Olivia Gorfain"/>
    <s v="Anthony Pantaleoni"/>
    <n v="0"/>
  </r>
  <r>
    <s v="93709"/>
    <d v="2025-08-14T00:00:00"/>
    <x v="85"/>
    <x v="8"/>
    <s v="San Francisco"/>
    <n v="0"/>
    <n v="0"/>
    <n v="0"/>
    <n v="-21.06"/>
    <n v="21.06"/>
    <n v="0"/>
    <s v="Anthony Pantaleoni"/>
    <s v="Olivia Gorfain"/>
    <s v="Anthony Pantaleoni"/>
    <n v="0"/>
  </r>
  <r>
    <s v="93709"/>
    <d v="2025-08-15T00:00:00"/>
    <x v="85"/>
    <x v="8"/>
    <s v="San Francisco"/>
    <n v="0"/>
    <n v="0"/>
    <n v="0"/>
    <n v="53.85"/>
    <n v="-53.85"/>
    <n v="0"/>
    <s v="Anthony Pantaleoni"/>
    <s v="Olivia Gorfain"/>
    <s v="Anthony Pantaleoni"/>
    <n v="0"/>
  </r>
  <r>
    <s v="93709"/>
    <d v="2025-08-21T00:00:00"/>
    <x v="85"/>
    <x v="8"/>
    <s v="San Francisco"/>
    <n v="0"/>
    <n v="0"/>
    <n v="0"/>
    <n v="159.05000000000001"/>
    <n v="-159.05000000000001"/>
    <n v="0"/>
    <s v="Anthony Pantaleoni"/>
    <s v="Olivia Gorfain"/>
    <s v="Anthony Pantaleoni"/>
    <n v="0"/>
  </r>
  <r>
    <s v="94284"/>
    <d v="2025-08-29T00:00:00"/>
    <x v="86"/>
    <x v="6"/>
    <s v="San Jose"/>
    <n v="882.38"/>
    <n v="0"/>
    <n v="882.38"/>
    <n v="0"/>
    <n v="882.38"/>
    <n v="1"/>
    <s v="Carina Collison"/>
    <s v="Kate Ingelstrom"/>
    <s v="Carina Collison"/>
    <n v="1"/>
  </r>
  <r>
    <s v="92093"/>
    <d v="2025-08-13T00:00:00"/>
    <x v="87"/>
    <x v="16"/>
    <s v="San Francisco"/>
    <n v="240791"/>
    <n v="0"/>
    <n v="240791"/>
    <n v="182850.8"/>
    <n v="57940.2"/>
    <n v="0.24062443999999999"/>
    <s v="Patty Medina"/>
    <s v="Jill Marsh"/>
    <s v="Patty Medina"/>
    <n v="1"/>
  </r>
  <r>
    <s v="92093"/>
    <d v="2025-08-15T00:00:00"/>
    <x v="87"/>
    <x v="16"/>
    <s v="San Francisco"/>
    <n v="0"/>
    <n v="0"/>
    <n v="0"/>
    <n v="757.83"/>
    <n v="-757.83"/>
    <n v="0"/>
    <s v="Patty Medina"/>
    <s v="Jill Marsh"/>
    <s v="Patty Medina"/>
    <n v="0"/>
  </r>
  <r>
    <s v="92093"/>
    <d v="2025-08-21T00:00:00"/>
    <x v="87"/>
    <x v="16"/>
    <s v="San Francisco"/>
    <n v="0"/>
    <n v="0"/>
    <n v="0"/>
    <n v="0.41"/>
    <n v="-0.41"/>
    <n v="0"/>
    <s v="Patty Medina"/>
    <s v="Jill Marsh"/>
    <s v="Patty Medina"/>
    <n v="0"/>
  </r>
  <r>
    <s v="93701"/>
    <d v="2025-08-15T00:00:00"/>
    <x v="88"/>
    <x v="5"/>
    <s v="San Francisco"/>
    <n v="68211.72"/>
    <n v="0"/>
    <n v="68211.72"/>
    <n v="50664.52"/>
    <n v="17547.2"/>
    <n v="0.25724612000000002"/>
    <s v="Chryslyn Perkins,Lovina Vasudeva"/>
    <s v="Jill Marsh"/>
    <s v="Chryslyn Perkins"/>
    <n v="1"/>
  </r>
  <r>
    <s v="93701"/>
    <d v="2025-08-20T00:00:00"/>
    <x v="88"/>
    <x v="5"/>
    <s v="San Francisco"/>
    <n v="0"/>
    <n v="0"/>
    <n v="0"/>
    <n v="1.01"/>
    <n v="-1.01"/>
    <n v="0"/>
    <s v="Chryslyn Perkins,Lovina Vasudeva"/>
    <s v="Jill Marsh"/>
    <s v="Chryslyn Perkins"/>
    <n v="0"/>
  </r>
  <r>
    <s v="93604"/>
    <d v="2025-08-21T00:00:00"/>
    <x v="88"/>
    <x v="5"/>
    <s v="San Francisco"/>
    <n v="27644.54"/>
    <n v="0"/>
    <n v="27644.54"/>
    <n v="19859.259999999998"/>
    <n v="7785.28"/>
    <n v="0.28162089000000001"/>
    <s v="Chryslyn Perkins,Lovina Vasudeva"/>
    <s v="Jill Marsh"/>
    <s v="Chryslyn Perkins"/>
    <n v="1"/>
  </r>
  <r>
    <s v="94057"/>
    <d v="2025-08-29T00:00:00"/>
    <x v="88"/>
    <x v="5"/>
    <s v="San Francisco"/>
    <n v="37001.550000000003"/>
    <n v="0"/>
    <n v="37001.550000000003"/>
    <n v="27749.24"/>
    <n v="9252.31"/>
    <n v="0.25005196000000002"/>
    <s v="Chryslyn Perkins,Lovina Vasudeva"/>
    <s v="Jill Marsh"/>
    <s v="Chryslyn Perkins"/>
    <n v="1"/>
  </r>
  <r>
    <s v="91554"/>
    <d v="2025-08-13T00:00:00"/>
    <x v="89"/>
    <x v="2"/>
    <s v="Sacramento"/>
    <n v="0"/>
    <n v="0"/>
    <n v="0"/>
    <n v="2490.6"/>
    <n v="-2490.6"/>
    <n v="0"/>
    <s v="Rayna Mitchell"/>
    <s v="Alex Blangeres"/>
    <s v="Rayna Mitchell"/>
    <n v="0"/>
  </r>
  <r>
    <s v="94038"/>
    <d v="2025-08-13T00:00:00"/>
    <x v="89"/>
    <x v="2"/>
    <s v="Sacramento"/>
    <n v="2202"/>
    <n v="0"/>
    <n v="2202"/>
    <n v="0"/>
    <n v="2202"/>
    <n v="1"/>
    <s v="Rayna Mitchell"/>
    <s v="Alex Blangeres"/>
    <s v="Rayna Mitchell"/>
    <n v="1"/>
  </r>
  <r>
    <s v="87167"/>
    <d v="2025-08-18T00:00:00"/>
    <x v="89"/>
    <x v="2"/>
    <s v="Sacramento"/>
    <n v="0"/>
    <n v="0"/>
    <n v="0"/>
    <n v="-151.09"/>
    <n v="151.09"/>
    <n v="0"/>
    <s v="Rayna Mitchell"/>
    <s v="Alex Blangeres"/>
    <s v="Rayna Mitchell"/>
    <n v="0"/>
  </r>
  <r>
    <s v="94038"/>
    <d v="2025-08-18T00:00:00"/>
    <x v="89"/>
    <x v="2"/>
    <s v="Sacramento"/>
    <n v="0"/>
    <n v="308"/>
    <n v="308"/>
    <n v="0"/>
    <n v="308"/>
    <n v="1"/>
    <s v="Rayna Mitchell"/>
    <s v="Alex Blangeres"/>
    <s v="Rayna Mitchell"/>
    <n v="0"/>
  </r>
  <r>
    <s v="93393"/>
    <d v="2025-08-19T00:00:00"/>
    <x v="90"/>
    <x v="0"/>
    <s v="San Francisco"/>
    <n v="0"/>
    <n v="0"/>
    <n v="0"/>
    <n v="3925.87"/>
    <n v="-3925.87"/>
    <n v="0"/>
    <s v="Owen Cunningham"/>
    <s v="Owen Cunningham"/>
    <s v="Other"/>
    <n v="0"/>
  </r>
  <r>
    <s v="91132"/>
    <d v="2025-08-05T00:00:00"/>
    <x v="91"/>
    <x v="20"/>
    <s v="San Francisco"/>
    <n v="0"/>
    <n v="0"/>
    <n v="0"/>
    <n v="-0.8"/>
    <n v="0.8"/>
    <n v="0"/>
    <s v="Saoirse O'Connor"/>
    <s v="Kate Ingelstrom"/>
    <s v="Other"/>
    <n v="0"/>
  </r>
  <r>
    <s v="92227"/>
    <d v="2025-08-26T00:00:00"/>
    <x v="92"/>
    <x v="8"/>
    <s v="San Francisco"/>
    <n v="0"/>
    <n v="0"/>
    <n v="0"/>
    <n v="-105.51"/>
    <n v="105.51"/>
    <n v="0"/>
    <s v="Paul Razo"/>
    <s v="Olivia Gorfain"/>
    <s v="Paul Razo"/>
    <n v="0"/>
  </r>
  <r>
    <s v="93984"/>
    <d v="2025-08-19T00:00:00"/>
    <x v="93"/>
    <x v="2"/>
    <s v="Sacramento"/>
    <n v="179.19"/>
    <n v="0"/>
    <n v="179.19"/>
    <n v="55.35"/>
    <n v="123.84"/>
    <n v="0.69110998999999995"/>
    <s v="Andrea Greever"/>
    <s v="Alex Blangeres"/>
    <s v="Andrea Greever"/>
    <n v="1"/>
  </r>
  <r>
    <s v="91046"/>
    <d v="2025-08-13T00:00:00"/>
    <x v="94"/>
    <x v="2"/>
    <s v="Sacramento"/>
    <n v="0"/>
    <n v="29.02"/>
    <n v="29.02"/>
    <n v="26.12"/>
    <n v="2.9"/>
    <n v="9.9931080000000005E-2"/>
    <s v="Erika Duarte"/>
    <s v="Alex Blangeres"/>
    <s v="Erika Duarte"/>
    <n v="0"/>
  </r>
  <r>
    <s v="91046"/>
    <d v="2025-08-20T00:00:00"/>
    <x v="94"/>
    <x v="2"/>
    <s v="Sacramento"/>
    <n v="0"/>
    <n v="1038.93"/>
    <n v="1038.93"/>
    <n v="935.04"/>
    <n v="103.89"/>
    <n v="9.999711E-2"/>
    <s v="Erika Duarte"/>
    <s v="Alex Blangeres"/>
    <s v="Erika Duarte"/>
    <n v="0"/>
  </r>
  <r>
    <s v="92619"/>
    <d v="2025-08-20T00:00:00"/>
    <x v="94"/>
    <x v="2"/>
    <s v="Sacramento"/>
    <n v="-223.44"/>
    <n v="0"/>
    <n v="-223.44"/>
    <n v="0"/>
    <n v="-223.44"/>
    <n v="1"/>
    <s v="Erika Duarte"/>
    <s v="Alex Blangeres"/>
    <s v="Erika Duarte"/>
    <n v="0"/>
  </r>
  <r>
    <s v="91046"/>
    <d v="2025-08-21T00:00:00"/>
    <x v="94"/>
    <x v="2"/>
    <s v="Sacramento"/>
    <n v="0"/>
    <n v="14050.35"/>
    <n v="14050.35"/>
    <n v="12645.34"/>
    <n v="1405.01"/>
    <n v="9.9998219999999999E-2"/>
    <s v="Erika Duarte"/>
    <s v="Alex Blangeres"/>
    <s v="Erika Duarte"/>
    <n v="0"/>
  </r>
  <r>
    <s v="91046"/>
    <d v="2025-08-26T00:00:00"/>
    <x v="94"/>
    <x v="2"/>
    <s v="Sacramento"/>
    <n v="0"/>
    <n v="-1676.68"/>
    <n v="-1676.68"/>
    <n v="-1508.9"/>
    <n v="-167.78"/>
    <n v="0.1000668"/>
    <s v="Erika Duarte"/>
    <s v="Alex Blangeres"/>
    <s v="Erika Duarte"/>
    <n v="0"/>
  </r>
  <r>
    <s v="91046"/>
    <d v="2025-08-30T00:00:00"/>
    <x v="94"/>
    <x v="2"/>
    <s v="Sacramento"/>
    <n v="0"/>
    <n v="0"/>
    <n v="0"/>
    <n v="150"/>
    <n v="-150"/>
    <n v="0"/>
    <s v="Erika Duarte"/>
    <s v="Alex Blangeres"/>
    <s v="Erika Duarte"/>
    <n v="0"/>
  </r>
  <r>
    <s v="92781"/>
    <d v="2025-08-19T00:00:00"/>
    <x v="95"/>
    <x v="0"/>
    <s v="San Francisco"/>
    <n v="0"/>
    <n v="0"/>
    <n v="0"/>
    <n v="1146.8"/>
    <n v="-1146.8"/>
    <n v="0"/>
    <s v="Josie Maitlen"/>
    <s v="Owen Cunningham"/>
    <s v="Josie Maitlen"/>
    <n v="0"/>
  </r>
  <r>
    <s v="92781"/>
    <d v="2025-08-25T00:00:00"/>
    <x v="95"/>
    <x v="0"/>
    <s v="San Francisco"/>
    <n v="0"/>
    <n v="0"/>
    <n v="0"/>
    <n v="33"/>
    <n v="-33"/>
    <n v="0"/>
    <s v="Josie Maitlen"/>
    <s v="Owen Cunningham"/>
    <s v="Josie Maitlen"/>
    <n v="0"/>
  </r>
  <r>
    <s v="92781"/>
    <d v="2025-08-29T00:00:00"/>
    <x v="95"/>
    <x v="0"/>
    <s v="San Francisco"/>
    <n v="0"/>
    <n v="-629"/>
    <n v="-629"/>
    <n v="-548.33000000000004"/>
    <n v="-80.67"/>
    <n v="0.12825118999999999"/>
    <s v="Josie Maitlen"/>
    <s v="Owen Cunningham"/>
    <s v="Josie Maitlen"/>
    <n v="0"/>
  </r>
  <r>
    <s v="86660"/>
    <d v="2025-08-01T00:00:00"/>
    <x v="95"/>
    <x v="0"/>
    <s v="San Francisco"/>
    <n v="0"/>
    <n v="0"/>
    <n v="0"/>
    <n v="-389"/>
    <n v="389"/>
    <n v="0"/>
    <s v="Josie Maitlen,Torrey Carroll"/>
    <s v="Owen Cunningham"/>
    <s v="Torrey Carroll"/>
    <n v="0"/>
  </r>
  <r>
    <s v="89148"/>
    <d v="2025-08-04T00:00:00"/>
    <x v="95"/>
    <x v="0"/>
    <s v="San Francisco"/>
    <n v="0"/>
    <n v="0"/>
    <n v="0"/>
    <n v="30.98"/>
    <n v="-30.98"/>
    <n v="0"/>
    <s v="Josie Maitlen,Torrey Carroll"/>
    <s v="Owen Cunningham"/>
    <s v="Torrey Carroll"/>
    <n v="0"/>
  </r>
  <r>
    <s v="89148"/>
    <d v="2025-08-05T00:00:00"/>
    <x v="95"/>
    <x v="0"/>
    <s v="San Francisco"/>
    <n v="0"/>
    <n v="0"/>
    <n v="0"/>
    <n v="421.19"/>
    <n v="-421.19"/>
    <n v="0"/>
    <s v="Josie Maitlen,Torrey Carroll"/>
    <s v="Owen Cunningham"/>
    <s v="Torrey Carroll"/>
    <n v="0"/>
  </r>
  <r>
    <s v="86660"/>
    <d v="2025-08-06T00:00:00"/>
    <x v="95"/>
    <x v="0"/>
    <s v="San Francisco"/>
    <n v="0"/>
    <n v="0"/>
    <n v="0"/>
    <n v="408.2"/>
    <n v="-408.2"/>
    <n v="0"/>
    <s v="Josie Maitlen,Torrey Carroll"/>
    <s v="Owen Cunningham"/>
    <s v="Torrey Carroll"/>
    <n v="0"/>
  </r>
  <r>
    <s v="89148"/>
    <d v="2025-08-08T00:00:00"/>
    <x v="95"/>
    <x v="0"/>
    <s v="San Francisco"/>
    <n v="0"/>
    <n v="0"/>
    <n v="0"/>
    <n v="1573.09"/>
    <n v="-1573.09"/>
    <n v="0"/>
    <s v="Josie Maitlen,Torrey Carroll"/>
    <s v="Owen Cunningham"/>
    <s v="Torrey Carroll"/>
    <n v="0"/>
  </r>
  <r>
    <s v="86660"/>
    <d v="2025-08-11T00:00:00"/>
    <x v="95"/>
    <x v="0"/>
    <s v="San Francisco"/>
    <n v="0"/>
    <n v="0"/>
    <n v="0"/>
    <n v="0.9"/>
    <n v="-0.9"/>
    <n v="0"/>
    <s v="Josie Maitlen,Torrey Carroll"/>
    <s v="Owen Cunningham"/>
    <s v="Torrey Carroll"/>
    <n v="0"/>
  </r>
  <r>
    <s v="89148"/>
    <d v="2025-08-19T00:00:00"/>
    <x v="95"/>
    <x v="0"/>
    <s v="San Francisco"/>
    <n v="0"/>
    <n v="0"/>
    <n v="0"/>
    <n v="4638.47"/>
    <n v="-4638.47"/>
    <n v="0"/>
    <s v="Josie Maitlen,Torrey Carroll"/>
    <s v="Owen Cunningham"/>
    <s v="Torrey Carroll"/>
    <n v="0"/>
  </r>
  <r>
    <s v="93513"/>
    <d v="2025-08-20T00:00:00"/>
    <x v="95"/>
    <x v="0"/>
    <s v="San Francisco"/>
    <n v="2741.97"/>
    <n v="0"/>
    <n v="2741.97"/>
    <n v="2043.37"/>
    <n v="698.6"/>
    <n v="0.25478032"/>
    <s v="Josie Maitlen,Torrey Carroll"/>
    <s v="Owen Cunningham"/>
    <s v="Torrey Carroll"/>
    <n v="1"/>
  </r>
  <r>
    <s v="89148"/>
    <d v="2025-08-21T00:00:00"/>
    <x v="95"/>
    <x v="0"/>
    <s v="San Francisco"/>
    <n v="0"/>
    <n v="-1059"/>
    <n v="-1059"/>
    <n v="-594"/>
    <n v="-465"/>
    <n v="0.43909347999999998"/>
    <s v="Josie Maitlen,Torrey Carroll"/>
    <s v="Owen Cunningham"/>
    <s v="Torrey Carroll"/>
    <n v="0"/>
  </r>
  <r>
    <s v="86660"/>
    <d v="2025-08-22T00:00:00"/>
    <x v="95"/>
    <x v="0"/>
    <s v="San Francisco"/>
    <n v="0"/>
    <n v="-46200"/>
    <n v="-46200"/>
    <n v="0"/>
    <n v="-46200"/>
    <n v="1"/>
    <s v="Josie Maitlen,Torrey Carroll"/>
    <s v="Owen Cunningham"/>
    <s v="Torrey Carroll"/>
    <n v="0"/>
  </r>
  <r>
    <s v="89148"/>
    <d v="2025-08-22T00:00:00"/>
    <x v="95"/>
    <x v="0"/>
    <s v="San Francisco"/>
    <n v="0"/>
    <n v="0"/>
    <n v="0"/>
    <n v="18.89"/>
    <n v="-18.89"/>
    <n v="0"/>
    <s v="Josie Maitlen,Torrey Carroll"/>
    <s v="Owen Cunningham"/>
    <s v="Torrey Carroll"/>
    <n v="0"/>
  </r>
  <r>
    <s v="93513"/>
    <d v="2025-08-25T00:00:00"/>
    <x v="95"/>
    <x v="0"/>
    <s v="San Francisco"/>
    <n v="0"/>
    <n v="0"/>
    <n v="0"/>
    <n v="70.63"/>
    <n v="-70.63"/>
    <n v="0"/>
    <s v="Josie Maitlen,Torrey Carroll"/>
    <s v="Owen Cunningham"/>
    <s v="Torrey Carroll"/>
    <n v="0"/>
  </r>
  <r>
    <s v="89148"/>
    <d v="2025-08-28T00:00:00"/>
    <x v="95"/>
    <x v="0"/>
    <s v="San Francisco"/>
    <n v="0"/>
    <n v="0"/>
    <n v="0"/>
    <n v="3011.84"/>
    <n v="-3011.84"/>
    <n v="0"/>
    <s v="Josie Maitlen,Torrey Carroll"/>
    <s v="Owen Cunningham"/>
    <s v="Torrey Carroll"/>
    <n v="0"/>
  </r>
  <r>
    <s v="86660"/>
    <d v="2025-08-30T00:00:00"/>
    <x v="95"/>
    <x v="0"/>
    <s v="San Francisco"/>
    <n v="0"/>
    <n v="0"/>
    <n v="0"/>
    <n v="-375"/>
    <n v="375"/>
    <n v="0"/>
    <s v="Josie Maitlen,Torrey Carroll"/>
    <s v="Owen Cunningham"/>
    <s v="Torrey Carroll"/>
    <n v="0"/>
  </r>
  <r>
    <s v="91387"/>
    <d v="2025-08-30T00:00:00"/>
    <x v="95"/>
    <x v="0"/>
    <s v="San Francisco"/>
    <n v="0"/>
    <n v="0"/>
    <n v="0"/>
    <n v="160"/>
    <n v="-160"/>
    <n v="0"/>
    <s v="Josie Maitlen,Torrey Carroll"/>
    <s v="Owen Cunningham"/>
    <s v="Torrey Carroll"/>
    <n v="0"/>
  </r>
  <r>
    <s v="92595"/>
    <d v="2025-08-12T00:00:00"/>
    <x v="95"/>
    <x v="0"/>
    <s v="San Francisco"/>
    <n v="0"/>
    <n v="0"/>
    <n v="0"/>
    <n v="6691.21"/>
    <n v="-6691.21"/>
    <n v="0"/>
    <s v="Torrey Carroll"/>
    <s v="Owen Cunningham"/>
    <s v="Torrey Carroll"/>
    <n v="0"/>
  </r>
  <r>
    <s v="92777"/>
    <d v="2025-08-01T00:00:00"/>
    <x v="96"/>
    <x v="6"/>
    <s v="San Jose"/>
    <n v="0"/>
    <n v="0"/>
    <n v="0"/>
    <n v="-10"/>
    <n v="10"/>
    <n v="0"/>
    <s v="Genesis Rita"/>
    <s v="Kate Ingelstrom"/>
    <s v="Genesis Rita"/>
    <n v="0"/>
  </r>
  <r>
    <s v="93734"/>
    <d v="2025-08-01T00:00:00"/>
    <x v="96"/>
    <x v="6"/>
    <s v="San Jose"/>
    <n v="37916.879999999997"/>
    <n v="0"/>
    <n v="37916.879999999997"/>
    <n v="25586.05"/>
    <n v="12330.83"/>
    <n v="0.32520686999999998"/>
    <s v="Genesis Rita"/>
    <s v="Kate Ingelstrom"/>
    <s v="Genesis Rita"/>
    <n v="1"/>
  </r>
  <r>
    <s v="92777"/>
    <d v="2025-08-03T00:00:00"/>
    <x v="96"/>
    <x v="6"/>
    <s v="San Jose"/>
    <n v="0"/>
    <n v="0"/>
    <n v="0"/>
    <n v="-28.34"/>
    <n v="28.34"/>
    <n v="0"/>
    <s v="Genesis Rita"/>
    <s v="Kate Ingelstrom"/>
    <s v="Genesis Rita"/>
    <n v="0"/>
  </r>
  <r>
    <s v="93707"/>
    <d v="2025-08-04T00:00:00"/>
    <x v="96"/>
    <x v="6"/>
    <s v="San Jose"/>
    <n v="0"/>
    <n v="94.88"/>
    <n v="94.88"/>
    <n v="533.63"/>
    <n v="-438.75"/>
    <n v="-4.6242622300000003"/>
    <s v="Genesis Rita"/>
    <s v="Kate Ingelstrom"/>
    <s v="Genesis Rita"/>
    <n v="0"/>
  </r>
  <r>
    <s v="93735"/>
    <d v="2025-08-04T00:00:00"/>
    <x v="96"/>
    <x v="6"/>
    <s v="San Jose"/>
    <n v="0"/>
    <n v="2.76"/>
    <n v="2.76"/>
    <n v="170.26"/>
    <n v="-167.5"/>
    <n v="-60.688405799999998"/>
    <s v="Genesis Rita"/>
    <s v="Kate Ingelstrom"/>
    <s v="Genesis Rita"/>
    <n v="0"/>
  </r>
  <r>
    <s v="92777"/>
    <d v="2025-08-05T00:00:00"/>
    <x v="96"/>
    <x v="6"/>
    <s v="San Jose"/>
    <n v="0"/>
    <n v="0"/>
    <n v="0"/>
    <n v="-0.34"/>
    <n v="0.34"/>
    <n v="0"/>
    <s v="Genesis Rita"/>
    <s v="Kate Ingelstrom"/>
    <s v="Genesis Rita"/>
    <n v="0"/>
  </r>
  <r>
    <s v="92777"/>
    <d v="2025-08-06T00:00:00"/>
    <x v="96"/>
    <x v="6"/>
    <s v="San Jose"/>
    <n v="0"/>
    <n v="-962.28"/>
    <n v="-962.28"/>
    <n v="-472.56"/>
    <n v="-489.72"/>
    <n v="0.50891631999999998"/>
    <s v="Genesis Rita"/>
    <s v="Kate Ingelstrom"/>
    <s v="Genesis Rita"/>
    <n v="0"/>
  </r>
  <r>
    <s v="92777"/>
    <d v="2025-08-07T00:00:00"/>
    <x v="96"/>
    <x v="6"/>
    <s v="San Jose"/>
    <n v="0"/>
    <n v="0"/>
    <n v="0"/>
    <n v="-94.94"/>
    <n v="94.94"/>
    <n v="0"/>
    <s v="Genesis Rita"/>
    <s v="Kate Ingelstrom"/>
    <s v="Genesis Rita"/>
    <n v="0"/>
  </r>
  <r>
    <s v="90768"/>
    <d v="2025-08-07T00:00:00"/>
    <x v="96"/>
    <x v="6"/>
    <s v="San Jose"/>
    <n v="0"/>
    <n v="0"/>
    <n v="0"/>
    <n v="264.72000000000003"/>
    <n v="-264.72000000000003"/>
    <n v="0"/>
    <s v="Genesis Rita"/>
    <s v="Kate Ingelstrom"/>
    <s v="Genesis Rita"/>
    <n v="0"/>
  </r>
  <r>
    <s v="92777"/>
    <d v="2025-08-11T00:00:00"/>
    <x v="96"/>
    <x v="6"/>
    <s v="San Jose"/>
    <n v="0"/>
    <n v="0"/>
    <n v="0"/>
    <n v="368.3"/>
    <n v="-368.3"/>
    <n v="0"/>
    <s v="Genesis Rita"/>
    <s v="Kate Ingelstrom"/>
    <s v="Genesis Rita"/>
    <n v="0"/>
  </r>
  <r>
    <s v="93969"/>
    <d v="2025-08-13T00:00:00"/>
    <x v="96"/>
    <x v="6"/>
    <s v="San Jose"/>
    <n v="345"/>
    <n v="0"/>
    <n v="345"/>
    <n v="0"/>
    <n v="345"/>
    <n v="1"/>
    <s v="Genesis Rita"/>
    <s v="Kate Ingelstrom"/>
    <s v="Genesis Rita"/>
    <n v="1"/>
  </r>
  <r>
    <s v="91451"/>
    <d v="2025-08-13T00:00:00"/>
    <x v="96"/>
    <x v="6"/>
    <s v="San Jose"/>
    <n v="0"/>
    <n v="0"/>
    <n v="0"/>
    <n v="-1000"/>
    <n v="1000"/>
    <n v="0"/>
    <s v="Genesis Rita"/>
    <s v="Kate Ingelstrom"/>
    <s v="Genesis Rita"/>
    <n v="0"/>
  </r>
  <r>
    <s v="92777"/>
    <d v="2025-08-13T00:00:00"/>
    <x v="96"/>
    <x v="6"/>
    <s v="San Jose"/>
    <n v="0"/>
    <n v="1052.4000000000001"/>
    <n v="1052.4000000000001"/>
    <n v="556.20000000000005"/>
    <n v="496.2"/>
    <n v="0.47149373"/>
    <s v="Genesis Rita"/>
    <s v="Kate Ingelstrom"/>
    <s v="Genesis Rita"/>
    <n v="0"/>
  </r>
  <r>
    <s v="92777"/>
    <d v="2025-08-14T00:00:00"/>
    <x v="96"/>
    <x v="6"/>
    <s v="San Jose"/>
    <n v="0"/>
    <n v="0"/>
    <n v="0"/>
    <n v="2.5499999999999998"/>
    <n v="-2.5499999999999998"/>
    <n v="0"/>
    <s v="Genesis Rita"/>
    <s v="Kate Ingelstrom"/>
    <s v="Genesis Rita"/>
    <n v="0"/>
  </r>
  <r>
    <s v="91451"/>
    <d v="2025-08-14T00:00:00"/>
    <x v="96"/>
    <x v="6"/>
    <s v="San Jose"/>
    <n v="0"/>
    <n v="0"/>
    <n v="0"/>
    <n v="1000"/>
    <n v="-1000"/>
    <n v="0"/>
    <s v="Genesis Rita"/>
    <s v="Kate Ingelstrom"/>
    <s v="Genesis Rita"/>
    <n v="0"/>
  </r>
  <r>
    <s v="94037"/>
    <d v="2025-08-19T00:00:00"/>
    <x v="96"/>
    <x v="6"/>
    <s v="San Jose"/>
    <n v="1326.67"/>
    <n v="0"/>
    <n v="1326.67"/>
    <n v="1400.04"/>
    <n v="-73.37"/>
    <n v="-5.530388E-2"/>
    <s v="Genesis Rita"/>
    <s v="Kate Ingelstrom"/>
    <s v="Genesis Rita"/>
    <n v="1"/>
  </r>
  <r>
    <s v="94091"/>
    <d v="2025-08-19T00:00:00"/>
    <x v="96"/>
    <x v="6"/>
    <s v="San Jose"/>
    <n v="655.92"/>
    <n v="0"/>
    <n v="655.92"/>
    <n v="456.66"/>
    <n v="199.26"/>
    <n v="0.30378705"/>
    <s v="Genesis Rita"/>
    <s v="Kate Ingelstrom"/>
    <s v="Genesis Rita"/>
    <n v="1"/>
  </r>
  <r>
    <s v="94098"/>
    <d v="2025-08-19T00:00:00"/>
    <x v="96"/>
    <x v="6"/>
    <s v="San Jose"/>
    <n v="310"/>
    <n v="0"/>
    <n v="310"/>
    <n v="294.13"/>
    <n v="15.87"/>
    <n v="5.1193549999999997E-2"/>
    <s v="Genesis Rita"/>
    <s v="Kate Ingelstrom"/>
    <s v="Genesis Rita"/>
    <n v="1"/>
  </r>
  <r>
    <s v="94056"/>
    <d v="2025-08-21T00:00:00"/>
    <x v="96"/>
    <x v="6"/>
    <s v="San Jose"/>
    <n v="1392.67"/>
    <n v="0"/>
    <n v="1392.67"/>
    <n v="1019.68"/>
    <n v="372.99"/>
    <n v="0.26782368000000001"/>
    <s v="Genesis Rita"/>
    <s v="Kate Ingelstrom"/>
    <s v="Genesis Rita"/>
    <n v="1"/>
  </r>
  <r>
    <s v="94086"/>
    <d v="2025-08-21T00:00:00"/>
    <x v="96"/>
    <x v="6"/>
    <s v="San Jose"/>
    <n v="565"/>
    <n v="0"/>
    <n v="565"/>
    <n v="447.07"/>
    <n v="117.93"/>
    <n v="0.20872566000000001"/>
    <s v="Genesis Rita"/>
    <s v="Kate Ingelstrom"/>
    <s v="Genesis Rita"/>
    <n v="1"/>
  </r>
  <r>
    <s v="94037"/>
    <d v="2025-08-25T00:00:00"/>
    <x v="96"/>
    <x v="6"/>
    <s v="San Jose"/>
    <n v="0"/>
    <n v="-556.66999999999996"/>
    <n v="-556.66999999999996"/>
    <n v="0"/>
    <n v="-556.66999999999996"/>
    <n v="1"/>
    <s v="Genesis Rita"/>
    <s v="Kate Ingelstrom"/>
    <s v="Genesis Rita"/>
    <n v="0"/>
  </r>
  <r>
    <s v="94188"/>
    <d v="2025-08-27T00:00:00"/>
    <x v="96"/>
    <x v="6"/>
    <s v="San Jose"/>
    <n v="3645.7"/>
    <n v="0"/>
    <n v="3645.7"/>
    <n v="2668.58"/>
    <n v="977.12"/>
    <n v="0.26801986"/>
    <s v="Genesis Rita"/>
    <s v="Kate Ingelstrom"/>
    <s v="Genesis Rita"/>
    <n v="1"/>
  </r>
  <r>
    <s v="90432"/>
    <d v="2025-08-29T00:00:00"/>
    <x v="96"/>
    <x v="6"/>
    <s v="San Jose"/>
    <n v="0"/>
    <n v="0"/>
    <n v="0"/>
    <n v="2178.75"/>
    <n v="-2178.75"/>
    <n v="0"/>
    <s v="Genesis Rita"/>
    <s v="Kate Ingelstrom"/>
    <s v="Genesis Rita"/>
    <n v="0"/>
  </r>
  <r>
    <s v="93176"/>
    <d v="2025-08-08T00:00:00"/>
    <x v="97"/>
    <x v="7"/>
    <s v="San Francisco"/>
    <n v="0"/>
    <n v="0"/>
    <n v="0"/>
    <n v="19"/>
    <n v="-19"/>
    <n v="0"/>
    <s v="Anthony Pantaleoni,Hana Estrada"/>
    <s v="Jill Marsh"/>
    <s v="Anthony Pantaleoni"/>
    <n v="0"/>
  </r>
  <r>
    <s v="93176"/>
    <d v="2025-08-11T00:00:00"/>
    <x v="97"/>
    <x v="7"/>
    <s v="San Francisco"/>
    <n v="0"/>
    <n v="0"/>
    <n v="0"/>
    <n v="0.13"/>
    <n v="-0.13"/>
    <n v="0"/>
    <s v="Anthony Pantaleoni,Hana Estrada"/>
    <s v="Jill Marsh"/>
    <s v="Anthony Pantaleoni"/>
    <n v="0"/>
  </r>
  <r>
    <s v="93176"/>
    <d v="2025-08-12T00:00:00"/>
    <x v="97"/>
    <x v="7"/>
    <s v="San Francisco"/>
    <n v="0"/>
    <n v="0"/>
    <n v="0"/>
    <n v="265.77999999999997"/>
    <n v="-265.77999999999997"/>
    <n v="0"/>
    <s v="Anthony Pantaleoni,Hana Estrada"/>
    <s v="Jill Marsh"/>
    <s v="Anthony Pantaleoni"/>
    <n v="0"/>
  </r>
  <r>
    <s v="93176"/>
    <d v="2025-08-13T00:00:00"/>
    <x v="97"/>
    <x v="7"/>
    <s v="San Francisco"/>
    <n v="0"/>
    <n v="0"/>
    <n v="0"/>
    <n v="238.99"/>
    <n v="-238.99"/>
    <n v="0"/>
    <s v="Anthony Pantaleoni,Hana Estrada"/>
    <s v="Jill Marsh"/>
    <s v="Anthony Pantaleoni"/>
    <n v="0"/>
  </r>
  <r>
    <s v="93176"/>
    <d v="2025-08-14T00:00:00"/>
    <x v="97"/>
    <x v="7"/>
    <s v="San Francisco"/>
    <n v="0"/>
    <n v="0"/>
    <n v="0"/>
    <n v="4"/>
    <n v="-4"/>
    <n v="0"/>
    <s v="Anthony Pantaleoni,Hana Estrada"/>
    <s v="Jill Marsh"/>
    <s v="Anthony Pantaleoni"/>
    <n v="0"/>
  </r>
  <r>
    <s v="91042"/>
    <d v="2025-08-19T00:00:00"/>
    <x v="97"/>
    <x v="7"/>
    <s v="San Francisco"/>
    <n v="0"/>
    <n v="0"/>
    <n v="0"/>
    <n v="149.94"/>
    <n v="-149.94"/>
    <n v="0"/>
    <s v="Anthony Pantaleoni,Melissa Rokes"/>
    <s v="Jill Marsh"/>
    <s v="Anthony Pantaleoni"/>
    <n v="0"/>
  </r>
  <r>
    <s v="93064"/>
    <d v="2025-08-01T00:00:00"/>
    <x v="98"/>
    <x v="6"/>
    <s v="San Jose"/>
    <n v="0"/>
    <n v="0"/>
    <n v="0"/>
    <n v="4.2300000000000004"/>
    <n v="-4.2300000000000004"/>
    <n v="0"/>
    <s v="Genesis Rita"/>
    <s v="Kate Ingelstrom"/>
    <s v="Genesis Rita"/>
    <n v="0"/>
  </r>
  <r>
    <s v="92481"/>
    <d v="2025-08-06T00:00:00"/>
    <x v="98"/>
    <x v="6"/>
    <s v="San Jose"/>
    <n v="0"/>
    <n v="318.20999999999998"/>
    <n v="318.20999999999998"/>
    <n v="-53.44"/>
    <n v="371.65"/>
    <n v="1.16793941"/>
    <s v="Genesis Rita"/>
    <s v="Kate Ingelstrom"/>
    <s v="Genesis Rita"/>
    <n v="0"/>
  </r>
  <r>
    <s v="92481"/>
    <d v="2025-08-11T00:00:00"/>
    <x v="98"/>
    <x v="6"/>
    <s v="San Jose"/>
    <n v="0"/>
    <n v="0"/>
    <n v="0"/>
    <n v="103.38"/>
    <n v="-103.38"/>
    <n v="0"/>
    <s v="Genesis Rita"/>
    <s v="Kate Ingelstrom"/>
    <s v="Genesis Rita"/>
    <n v="0"/>
  </r>
  <r>
    <s v="87614"/>
    <d v="2025-08-29T00:00:00"/>
    <x v="98"/>
    <x v="6"/>
    <s v="San Jose"/>
    <n v="0"/>
    <n v="0"/>
    <n v="0"/>
    <n v="-337.5"/>
    <n v="337.5"/>
    <n v="0"/>
    <s v="Genesis Rita"/>
    <s v="Kate Ingelstrom"/>
    <s v="Genesis Rita"/>
    <n v="0"/>
  </r>
  <r>
    <s v="87751"/>
    <d v="2025-08-29T00:00:00"/>
    <x v="98"/>
    <x v="6"/>
    <s v="San Jose"/>
    <n v="0"/>
    <n v="0"/>
    <n v="0"/>
    <n v="2075"/>
    <n v="-2075"/>
    <n v="0"/>
    <s v="Genesis Rita"/>
    <s v="Kate Ingelstrom"/>
    <s v="Genesis Rita"/>
    <n v="0"/>
  </r>
  <r>
    <s v="92977"/>
    <d v="2025-08-04T00:00:00"/>
    <x v="99"/>
    <x v="0"/>
    <s v="San Francisco"/>
    <n v="0"/>
    <n v="0"/>
    <n v="0"/>
    <n v="0.08"/>
    <n v="-0.08"/>
    <n v="0"/>
    <s v="Lindsay Purdom"/>
    <s v="Owen Cunningham"/>
    <s v="Lindsay Purdom"/>
    <n v="0"/>
  </r>
  <r>
    <s v="94156"/>
    <d v="2025-08-25T00:00:00"/>
    <x v="99"/>
    <x v="0"/>
    <s v="San Francisco"/>
    <n v="0"/>
    <n v="0"/>
    <n v="0"/>
    <n v="2823.57"/>
    <n v="-2823.57"/>
    <n v="0"/>
    <s v="Lindsay Purdom"/>
    <s v="Owen Cunningham"/>
    <s v="Lindsay Purdom"/>
    <n v="0"/>
  </r>
  <r>
    <s v="94076"/>
    <d v="2025-08-26T00:00:00"/>
    <x v="99"/>
    <x v="0"/>
    <s v="San Francisco"/>
    <n v="460048"/>
    <n v="0"/>
    <n v="460048"/>
    <n v="306519.02"/>
    <n v="153528.98000000001"/>
    <n v="0.33372383"/>
    <s v="Lindsay Purdom"/>
    <s v="Owen Cunningham"/>
    <s v="Lindsay Purdom"/>
    <n v="1"/>
  </r>
  <r>
    <s v="92939"/>
    <d v="2025-08-06T00:00:00"/>
    <x v="100"/>
    <x v="1"/>
    <s v="San Francisco"/>
    <n v="69.5"/>
    <n v="0"/>
    <n v="69.5"/>
    <n v="57"/>
    <n v="12.5"/>
    <n v="0.17985612000000001"/>
    <s v="Josie Maitlen"/>
    <s v="Kate Ingelstrom"/>
    <s v="Josie Maitlen"/>
    <n v="1"/>
  </r>
  <r>
    <s v="92939"/>
    <d v="2025-08-11T00:00:00"/>
    <x v="100"/>
    <x v="1"/>
    <s v="San Francisco"/>
    <n v="0"/>
    <n v="0"/>
    <n v="0"/>
    <n v="109.1"/>
    <n v="-109.1"/>
    <n v="0"/>
    <s v="Josie Maitlen"/>
    <s v="Kate Ingelstrom"/>
    <s v="Josie Maitlen"/>
    <n v="0"/>
  </r>
  <r>
    <s v="92939"/>
    <d v="2025-08-13T00:00:00"/>
    <x v="100"/>
    <x v="1"/>
    <s v="San Francisco"/>
    <n v="0"/>
    <n v="0"/>
    <n v="0"/>
    <n v="39.119999999999997"/>
    <n v="-39.119999999999997"/>
    <n v="0"/>
    <s v="Josie Maitlen"/>
    <s v="Kate Ingelstrom"/>
    <s v="Josie Maitlen"/>
    <n v="0"/>
  </r>
  <r>
    <s v="94152"/>
    <d v="2025-08-29T00:00:00"/>
    <x v="101"/>
    <x v="16"/>
    <s v="San Francisco"/>
    <n v="869.44"/>
    <n v="0"/>
    <n v="869.44"/>
    <n v="910.92"/>
    <n v="-41.48"/>
    <n v="-4.770887E-2"/>
    <s v="Matt Denning"/>
    <s v="Jill Marsh"/>
    <s v="Other"/>
    <n v="1"/>
  </r>
  <r>
    <s v="93100"/>
    <d v="2025-08-05T00:00:00"/>
    <x v="102"/>
    <x v="15"/>
    <s v="San Jose"/>
    <n v="0"/>
    <n v="0"/>
    <n v="0"/>
    <n v="20.3"/>
    <n v="-20.3"/>
    <n v="0"/>
    <s v="Marena Brown"/>
    <s v="Lela Huenergardt"/>
    <s v="Marena Brown"/>
    <n v="0"/>
  </r>
  <r>
    <s v="92468"/>
    <d v="2025-08-06T00:00:00"/>
    <x v="102"/>
    <x v="15"/>
    <s v="San Jose"/>
    <n v="0"/>
    <n v="0"/>
    <n v="0"/>
    <n v="-0.6"/>
    <n v="0.6"/>
    <n v="0"/>
    <s v="Marena Brown"/>
    <s v="Lela Huenergardt"/>
    <s v="Marena Brown"/>
    <n v="0"/>
  </r>
  <r>
    <s v="93100"/>
    <d v="2025-08-20T00:00:00"/>
    <x v="102"/>
    <x v="15"/>
    <s v="San Jose"/>
    <n v="0"/>
    <n v="0"/>
    <n v="0"/>
    <n v="-173.69"/>
    <n v="173.69"/>
    <n v="0"/>
    <s v="Marena Brown"/>
    <s v="Lela Huenergardt"/>
    <s v="Marena Brown"/>
    <n v="0"/>
  </r>
  <r>
    <s v="92468"/>
    <d v="2025-08-30T00:00:00"/>
    <x v="102"/>
    <x v="15"/>
    <s v="San Jose"/>
    <n v="0"/>
    <n v="0"/>
    <n v="0"/>
    <n v="492.5"/>
    <n v="-492.5"/>
    <n v="0"/>
    <s v="Marena Brown"/>
    <s v="Lela Huenergardt"/>
    <s v="Marena Brown"/>
    <n v="0"/>
  </r>
  <r>
    <s v="90998"/>
    <d v="2025-08-14T00:00:00"/>
    <x v="103"/>
    <x v="16"/>
    <s v="San Francisco"/>
    <n v="180"/>
    <n v="0"/>
    <n v="180"/>
    <n v="180"/>
    <n v="0"/>
    <n v="0"/>
    <s v="Matt Denning"/>
    <s v="Jill Marsh"/>
    <s v="Other"/>
    <n v="1"/>
  </r>
  <r>
    <s v="93981"/>
    <d v="2025-08-11T00:00:00"/>
    <x v="104"/>
    <x v="14"/>
    <s v="San Jose"/>
    <n v="209401.33"/>
    <n v="0"/>
    <n v="209401.33"/>
    <n v="150612.4"/>
    <n v="58788.93"/>
    <n v="0.28074764000000002"/>
    <s v="Maria Estrada"/>
    <s v="Kate Ingelstrom"/>
    <s v="Maria Estrada"/>
    <n v="1"/>
  </r>
  <r>
    <s v="93981"/>
    <d v="2025-08-13T00:00:00"/>
    <x v="104"/>
    <x v="14"/>
    <s v="San Jose"/>
    <n v="0"/>
    <n v="0"/>
    <n v="0"/>
    <n v="-91.26"/>
    <n v="91.26"/>
    <n v="0"/>
    <s v="Maria Estrada"/>
    <s v="Kate Ingelstrom"/>
    <s v="Maria Estrada"/>
    <n v="0"/>
  </r>
  <r>
    <s v="93981"/>
    <d v="2025-08-14T00:00:00"/>
    <x v="104"/>
    <x v="14"/>
    <s v="San Jose"/>
    <n v="0"/>
    <n v="0"/>
    <n v="0"/>
    <n v="-0.01"/>
    <n v="0.01"/>
    <n v="0"/>
    <s v="Maria Estrada"/>
    <s v="Kate Ingelstrom"/>
    <s v="Maria Estrada"/>
    <n v="0"/>
  </r>
  <r>
    <s v="94096"/>
    <d v="2025-08-19T00:00:00"/>
    <x v="104"/>
    <x v="14"/>
    <s v="San Jose"/>
    <n v="48488.94"/>
    <n v="0"/>
    <n v="48488.94"/>
    <n v="36303.370000000003"/>
    <n v="12185.57"/>
    <n v="0.25130617"/>
    <s v="Maria Estrada"/>
    <s v="Kate Ingelstrom"/>
    <s v="Maria Estrada"/>
    <n v="1"/>
  </r>
  <r>
    <s v="93981"/>
    <d v="2025-08-21T00:00:00"/>
    <x v="104"/>
    <x v="14"/>
    <s v="San Jose"/>
    <n v="0"/>
    <n v="0"/>
    <n v="0"/>
    <n v="92.92"/>
    <n v="-92.92"/>
    <n v="0"/>
    <s v="Maria Estrada"/>
    <s v="Kate Ingelstrom"/>
    <s v="Maria Estrada"/>
    <n v="0"/>
  </r>
  <r>
    <s v="94096"/>
    <d v="2025-08-21T00:00:00"/>
    <x v="104"/>
    <x v="14"/>
    <s v="San Jose"/>
    <n v="0"/>
    <n v="0"/>
    <n v="0"/>
    <n v="92.92"/>
    <n v="-92.92"/>
    <n v="0"/>
    <s v="Maria Estrada"/>
    <s v="Kate Ingelstrom"/>
    <s v="Maria Estrada"/>
    <n v="0"/>
  </r>
  <r>
    <s v="94159"/>
    <d v="2025-08-23T00:00:00"/>
    <x v="104"/>
    <x v="14"/>
    <s v="San Jose"/>
    <n v="22189.599999999999"/>
    <n v="0"/>
    <n v="22189.599999999999"/>
    <n v="16152.44"/>
    <n v="6037.16"/>
    <n v="0.27207160000000002"/>
    <s v="Maria Estrada"/>
    <s v="Kate Ingelstrom"/>
    <s v="Maria Estrada"/>
    <n v="1"/>
  </r>
  <r>
    <s v="94159"/>
    <d v="2025-08-25T00:00:00"/>
    <x v="104"/>
    <x v="14"/>
    <s v="San Jose"/>
    <n v="602"/>
    <n v="7432"/>
    <n v="8034"/>
    <n v="6024.94"/>
    <n v="2009.06"/>
    <n v="0.25006970000000001"/>
    <s v="Maria Estrada"/>
    <s v="Kate Ingelstrom"/>
    <s v="Maria Estrada"/>
    <n v="1"/>
  </r>
  <r>
    <s v="94159"/>
    <d v="2025-08-28T00:00:00"/>
    <x v="104"/>
    <x v="14"/>
    <s v="San Jose"/>
    <n v="0"/>
    <n v="0"/>
    <n v="0"/>
    <n v="270.73"/>
    <n v="-270.73"/>
    <n v="0"/>
    <s v="Maria Estrada"/>
    <s v="Kate Ingelstrom"/>
    <s v="Maria Estrada"/>
    <n v="0"/>
  </r>
  <r>
    <s v="93271"/>
    <d v="2025-08-12T00:00:00"/>
    <x v="105"/>
    <x v="15"/>
    <s v="San Jose"/>
    <n v="1542.83"/>
    <n v="0"/>
    <n v="1542.83"/>
    <n v="0"/>
    <n v="1542.83"/>
    <n v="1"/>
    <s v="Megan Ewers"/>
    <s v="Lela Huenergardt"/>
    <s v="Megan Ewers"/>
    <n v="1"/>
  </r>
  <r>
    <s v="91376"/>
    <d v="2025-08-19T00:00:00"/>
    <x v="105"/>
    <x v="15"/>
    <s v="San Jose"/>
    <n v="0"/>
    <n v="0"/>
    <n v="0"/>
    <n v="-112.5"/>
    <n v="112.5"/>
    <n v="0"/>
    <s v="Megan Ewers"/>
    <s v="Lela Huenergardt"/>
    <s v="Megan Ewers"/>
    <n v="0"/>
  </r>
  <r>
    <s v="93536"/>
    <d v="2025-08-28T00:00:00"/>
    <x v="105"/>
    <x v="15"/>
    <s v="San Jose"/>
    <n v="3320.04"/>
    <n v="0"/>
    <n v="3320.04"/>
    <n v="2480.02"/>
    <n v="840.02"/>
    <n v="0.25301501999999998"/>
    <s v="Megan Ewers"/>
    <s v="Lela Huenergardt"/>
    <s v="Megan Ewers"/>
    <n v="1"/>
  </r>
  <r>
    <s v="93536"/>
    <d v="2025-08-29T00:00:00"/>
    <x v="105"/>
    <x v="15"/>
    <s v="San Jose"/>
    <n v="0"/>
    <n v="0"/>
    <n v="0"/>
    <n v="36.9"/>
    <n v="-36.9"/>
    <n v="0"/>
    <s v="Megan Ewers"/>
    <s v="Lela Huenergardt"/>
    <s v="Megan Ewers"/>
    <n v="0"/>
  </r>
  <r>
    <s v="93566"/>
    <d v="2025-08-05T00:00:00"/>
    <x v="106"/>
    <x v="8"/>
    <s v="San Francisco"/>
    <n v="550.73"/>
    <n v="0"/>
    <n v="550.73"/>
    <n v="382"/>
    <n v="168.73"/>
    <n v="0.30637516999999997"/>
    <s v="Chryslyn Perkins"/>
    <s v="Olivia Gorfain"/>
    <s v="Chryslyn Perkins"/>
    <n v="1"/>
  </r>
  <r>
    <s v="93112"/>
    <d v="2025-08-01T00:00:00"/>
    <x v="107"/>
    <x v="8"/>
    <s v="San Francisco"/>
    <n v="0"/>
    <n v="-335"/>
    <n v="-335"/>
    <n v="-300"/>
    <n v="-35"/>
    <n v="0.10447761"/>
    <s v="Paul Razo"/>
    <s v="Olivia Gorfain"/>
    <s v="Paul Razo"/>
    <n v="0"/>
  </r>
  <r>
    <s v="93870"/>
    <d v="2025-08-18T00:00:00"/>
    <x v="107"/>
    <x v="1"/>
    <s v="San Francisco"/>
    <n v="200"/>
    <n v="0"/>
    <n v="200"/>
    <n v="638.25"/>
    <n v="-438.25"/>
    <n v="-2.1912500000000001"/>
    <s v="Paul Razo"/>
    <s v="Kate Ingelstrom"/>
    <s v="Paul Razo"/>
    <n v="1"/>
  </r>
  <r>
    <s v="92623"/>
    <d v="2025-08-04T00:00:00"/>
    <x v="108"/>
    <x v="0"/>
    <s v="San Francisco"/>
    <n v="0"/>
    <n v="0"/>
    <n v="0"/>
    <n v="-19.52"/>
    <n v="19.52"/>
    <n v="0"/>
    <s v="Melissa Avalos"/>
    <s v="Owen Cunningham"/>
    <s v="Melissa Avalos"/>
    <n v="0"/>
  </r>
  <r>
    <s v="93427"/>
    <d v="2025-08-12T00:00:00"/>
    <x v="108"/>
    <x v="0"/>
    <s v="San Francisco"/>
    <n v="48275"/>
    <n v="0"/>
    <n v="48275"/>
    <n v="33879.56"/>
    <n v="14395.44"/>
    <n v="0.29819657999999999"/>
    <s v="Melissa Avalos"/>
    <s v="Owen Cunningham"/>
    <s v="Melissa Avalos"/>
    <n v="1"/>
  </r>
  <r>
    <s v="93619"/>
    <d v="2025-08-12T00:00:00"/>
    <x v="108"/>
    <x v="0"/>
    <s v="San Francisco"/>
    <n v="7008"/>
    <n v="0"/>
    <n v="7008"/>
    <n v="5007.05"/>
    <n v="2000.95"/>
    <n v="0.28552369"/>
    <s v="Melissa Avalos"/>
    <s v="Owen Cunningham"/>
    <s v="Melissa Avalos"/>
    <n v="1"/>
  </r>
  <r>
    <s v="92623"/>
    <d v="2025-08-19T00:00:00"/>
    <x v="108"/>
    <x v="0"/>
    <s v="San Francisco"/>
    <n v="0"/>
    <n v="0"/>
    <n v="0"/>
    <n v="98.38"/>
    <n v="-98.38"/>
    <n v="0"/>
    <s v="Melissa Avalos"/>
    <s v="Owen Cunningham"/>
    <s v="Melissa Avalos"/>
    <n v="0"/>
  </r>
  <r>
    <s v="92623"/>
    <d v="2025-08-22T00:00:00"/>
    <x v="108"/>
    <x v="0"/>
    <s v="San Francisco"/>
    <n v="0"/>
    <n v="0"/>
    <n v="0"/>
    <n v="-0.01"/>
    <n v="0.01"/>
    <n v="0"/>
    <s v="Melissa Avalos"/>
    <s v="Owen Cunningham"/>
    <s v="Melissa Avalos"/>
    <n v="0"/>
  </r>
  <r>
    <s v="73180"/>
    <d v="2025-08-29T00:00:00"/>
    <x v="109"/>
    <x v="1"/>
    <s v="San Jose"/>
    <n v="0"/>
    <n v="0"/>
    <n v="0"/>
    <n v="289.8"/>
    <n v="-289.8"/>
    <n v="0"/>
    <s v="Norma Lopez"/>
    <s v="Kate Ingelstrom"/>
    <s v="Norma Lopez"/>
    <n v="0"/>
  </r>
  <r>
    <s v="94164"/>
    <d v="2025-08-27T00:00:00"/>
    <x v="110"/>
    <x v="6"/>
    <s v="San Jose"/>
    <n v="19.86"/>
    <n v="0"/>
    <n v="19.86"/>
    <n v="13.9"/>
    <n v="5.96"/>
    <n v="0.3001007"/>
    <s v="Megan Ewers"/>
    <s v="Kate Ingelstrom"/>
    <s v="Megan Ewers"/>
    <n v="1"/>
  </r>
  <r>
    <s v="94164"/>
    <d v="2025-08-28T00:00:00"/>
    <x v="110"/>
    <x v="6"/>
    <s v="San Jose"/>
    <n v="0"/>
    <n v="0"/>
    <n v="0"/>
    <n v="0.38"/>
    <n v="-0.38"/>
    <n v="0"/>
    <s v="Megan Ewers"/>
    <s v="Kate Ingelstrom"/>
    <s v="Megan Ewers"/>
    <n v="0"/>
  </r>
  <r>
    <s v="94034"/>
    <d v="2025-08-26T00:00:00"/>
    <x v="111"/>
    <x v="5"/>
    <s v="San Francisco"/>
    <n v="326.24"/>
    <n v="0"/>
    <n v="326.24"/>
    <n v="162.80000000000001"/>
    <n v="163.44"/>
    <n v="0.50098087000000002"/>
    <s v="Lovina Vasudeva"/>
    <s v="Jill Marsh"/>
    <s v="Lovina Vasudeva"/>
    <n v="1"/>
  </r>
  <r>
    <s v="91702"/>
    <d v="2025-08-06T00:00:00"/>
    <x v="112"/>
    <x v="10"/>
    <s v="Sacramento"/>
    <n v="0"/>
    <n v="0"/>
    <n v="0"/>
    <n v="1468.27"/>
    <n v="-1468.27"/>
    <n v="0"/>
    <s v="Erika Duarte"/>
    <s v="Simon Sheppard"/>
    <s v="Erika Duarte"/>
    <n v="0"/>
  </r>
  <r>
    <s v="88080"/>
    <d v="2025-08-11T00:00:00"/>
    <x v="112"/>
    <x v="10"/>
    <s v="Sacramento"/>
    <n v="0"/>
    <n v="0"/>
    <n v="0"/>
    <n v="6316.95"/>
    <n v="-6316.95"/>
    <n v="0"/>
    <s v="Erika Duarte"/>
    <s v="Simon Sheppard"/>
    <s v="Erika Duarte"/>
    <n v="0"/>
  </r>
  <r>
    <s v="92621"/>
    <d v="2025-08-15T00:00:00"/>
    <x v="112"/>
    <x v="10"/>
    <s v="Sacramento"/>
    <n v="3469.06"/>
    <n v="0"/>
    <n v="3469.06"/>
    <n v="2775.17"/>
    <n v="693.89"/>
    <n v="0.20002248"/>
    <s v="Erika Duarte"/>
    <s v="Simon Sheppard"/>
    <s v="Erika Duarte"/>
    <n v="1"/>
  </r>
  <r>
    <s v="92621"/>
    <d v="2025-08-19T00:00:00"/>
    <x v="112"/>
    <x v="10"/>
    <s v="Sacramento"/>
    <n v="0"/>
    <n v="0"/>
    <n v="0"/>
    <n v="175.74"/>
    <n v="-175.74"/>
    <n v="0"/>
    <s v="Erika Duarte"/>
    <s v="Simon Sheppard"/>
    <s v="Erika Duarte"/>
    <n v="0"/>
  </r>
  <r>
    <s v="92621"/>
    <d v="2025-08-21T00:00:00"/>
    <x v="112"/>
    <x v="10"/>
    <s v="Sacramento"/>
    <n v="0"/>
    <n v="0"/>
    <n v="0"/>
    <n v="-68.599999999999994"/>
    <n v="68.599999999999994"/>
    <n v="0"/>
    <s v="Erika Duarte"/>
    <s v="Simon Sheppard"/>
    <s v="Erika Duarte"/>
    <n v="0"/>
  </r>
  <r>
    <s v="91894"/>
    <d v="2025-08-27T00:00:00"/>
    <x v="112"/>
    <x v="10"/>
    <s v="Sacramento"/>
    <n v="765.91"/>
    <n v="0"/>
    <n v="765.91"/>
    <n v="0"/>
    <n v="765.91"/>
    <n v="1"/>
    <s v="Erika Duarte"/>
    <s v="Simon Sheppard"/>
    <s v="Erika Duarte"/>
    <n v="1"/>
  </r>
  <r>
    <s v="93937"/>
    <d v="2025-08-26T00:00:00"/>
    <x v="113"/>
    <x v="6"/>
    <s v="San Jose"/>
    <n v="3976.74"/>
    <n v="0"/>
    <n v="3976.74"/>
    <n v="3380.01"/>
    <n v="596.73"/>
    <n v="0.15005507000000001"/>
    <s v="Jenni Lombardi"/>
    <s v="Kate Ingelstrom"/>
    <s v="Jenni Lombardi"/>
    <n v="1"/>
  </r>
  <r>
    <s v="93937"/>
    <d v="2025-08-27T00:00:00"/>
    <x v="113"/>
    <x v="6"/>
    <s v="San Jose"/>
    <n v="0"/>
    <n v="0"/>
    <n v="0"/>
    <n v="-0.01"/>
    <n v="0.01"/>
    <n v="0"/>
    <s v="Jenni Lombardi"/>
    <s v="Kate Ingelstrom"/>
    <s v="Jenni Lombardi"/>
    <n v="0"/>
  </r>
  <r>
    <s v="91323"/>
    <d v="2025-08-01T00:00:00"/>
    <x v="114"/>
    <x v="8"/>
    <s v="San Francisco"/>
    <n v="0"/>
    <n v="0"/>
    <n v="0"/>
    <n v="-333.25"/>
    <n v="333.25"/>
    <n v="0"/>
    <s v="Josie Maitlen,Torrey Carroll"/>
    <s v="Olivia Gorfain"/>
    <s v="Torrey Carroll"/>
    <n v="0"/>
  </r>
  <r>
    <s v="92330"/>
    <d v="2025-08-01T00:00:00"/>
    <x v="114"/>
    <x v="8"/>
    <s v="San Francisco"/>
    <n v="0"/>
    <n v="0"/>
    <n v="0"/>
    <n v="63.59"/>
    <n v="-63.59"/>
    <n v="0"/>
    <s v="Josie Maitlen,Torrey Carroll"/>
    <s v="Olivia Gorfain"/>
    <s v="Torrey Carroll"/>
    <n v="0"/>
  </r>
  <r>
    <s v="93784"/>
    <d v="2025-08-06T00:00:00"/>
    <x v="114"/>
    <x v="8"/>
    <s v="San Francisco"/>
    <n v="13850"/>
    <n v="0"/>
    <n v="13850"/>
    <n v="5080"/>
    <n v="8770"/>
    <n v="0.63321300000000003"/>
    <s v="Josie Maitlen,Torrey Carroll"/>
    <s v="Olivia Gorfain"/>
    <s v="Torrey Carroll"/>
    <n v="1"/>
  </r>
  <r>
    <s v="92967"/>
    <d v="2025-08-07T00:00:00"/>
    <x v="114"/>
    <x v="8"/>
    <s v="San Francisco"/>
    <n v="0"/>
    <n v="0"/>
    <n v="0"/>
    <n v="15.5"/>
    <n v="-15.5"/>
    <n v="0"/>
    <s v="Josie Maitlen,Torrey Carroll"/>
    <s v="Olivia Gorfain"/>
    <s v="Torrey Carroll"/>
    <n v="0"/>
  </r>
  <r>
    <s v="92967"/>
    <d v="2025-08-11T00:00:00"/>
    <x v="114"/>
    <x v="8"/>
    <s v="San Francisco"/>
    <n v="0"/>
    <n v="0"/>
    <n v="0"/>
    <n v="0.4"/>
    <n v="-0.4"/>
    <n v="0"/>
    <s v="Josie Maitlen,Torrey Carroll"/>
    <s v="Olivia Gorfain"/>
    <s v="Torrey Carroll"/>
    <n v="0"/>
  </r>
  <r>
    <s v="93771"/>
    <d v="2025-08-13T00:00:00"/>
    <x v="114"/>
    <x v="8"/>
    <s v="San Francisco"/>
    <n v="0"/>
    <n v="0"/>
    <n v="0"/>
    <n v="50.83"/>
    <n v="-50.83"/>
    <n v="0"/>
    <s v="Josie Maitlen,Torrey Carroll"/>
    <s v="Olivia Gorfain"/>
    <s v="Torrey Carroll"/>
    <n v="0"/>
  </r>
  <r>
    <s v="94030"/>
    <d v="2025-08-20T00:00:00"/>
    <x v="114"/>
    <x v="8"/>
    <s v="San Francisco"/>
    <n v="76203.08"/>
    <n v="0"/>
    <n v="76203.08"/>
    <n v="61413.3"/>
    <n v="14789.78"/>
    <n v="0.19408375999999999"/>
    <s v="Josie Maitlen,Torrey Carroll"/>
    <s v="Olivia Gorfain"/>
    <s v="Torrey Carroll"/>
    <n v="1"/>
  </r>
  <r>
    <s v="91374"/>
    <d v="2025-08-22T00:00:00"/>
    <x v="114"/>
    <x v="8"/>
    <s v="San Francisco"/>
    <n v="0"/>
    <n v="0"/>
    <n v="0"/>
    <n v="425.08"/>
    <n v="-425.08"/>
    <n v="0"/>
    <s v="Josie Maitlen,Torrey Carroll"/>
    <s v="Olivia Gorfain"/>
    <s v="Torrey Carroll"/>
    <n v="0"/>
  </r>
  <r>
    <s v="91320"/>
    <d v="2025-08-22T00:00:00"/>
    <x v="114"/>
    <x v="8"/>
    <s v="San Francisco"/>
    <n v="0"/>
    <n v="0"/>
    <n v="0"/>
    <n v="256"/>
    <n v="-256"/>
    <n v="0"/>
    <s v="Josie Maitlen,Torrey Carroll"/>
    <s v="Olivia Gorfain"/>
    <s v="Torrey Carroll"/>
    <n v="0"/>
  </r>
  <r>
    <s v="91320"/>
    <d v="2025-08-28T00:00:00"/>
    <x v="114"/>
    <x v="8"/>
    <s v="San Francisco"/>
    <n v="0"/>
    <n v="0"/>
    <n v="0"/>
    <n v="19.079999999999998"/>
    <n v="-19.079999999999998"/>
    <n v="0"/>
    <s v="Josie Maitlen,Torrey Carroll"/>
    <s v="Olivia Gorfain"/>
    <s v="Torrey Carroll"/>
    <n v="0"/>
  </r>
  <r>
    <s v="89788"/>
    <d v="2025-08-30T00:00:00"/>
    <x v="114"/>
    <x v="8"/>
    <s v="San Francisco"/>
    <n v="0"/>
    <n v="0"/>
    <n v="0"/>
    <n v="5523.75"/>
    <n v="-5523.75"/>
    <n v="0"/>
    <s v="Josie Maitlen,Torrey Carroll"/>
    <s v="Olivia Gorfain"/>
    <s v="Torrey Carroll"/>
    <n v="0"/>
  </r>
  <r>
    <s v="91321"/>
    <d v="2025-08-30T00:00:00"/>
    <x v="114"/>
    <x v="8"/>
    <s v="San Francisco"/>
    <n v="0"/>
    <n v="0"/>
    <n v="0"/>
    <n v="3900"/>
    <n v="-3900"/>
    <n v="0"/>
    <s v="Josie Maitlen,Torrey Carroll"/>
    <s v="Olivia Gorfain"/>
    <s v="Torrey Carroll"/>
    <n v="0"/>
  </r>
  <r>
    <s v="91322"/>
    <d v="2025-08-30T00:00:00"/>
    <x v="114"/>
    <x v="8"/>
    <s v="San Francisco"/>
    <n v="0"/>
    <n v="0"/>
    <n v="0"/>
    <n v="1500"/>
    <n v="-1500"/>
    <n v="0"/>
    <s v="Josie Maitlen,Torrey Carroll"/>
    <s v="Olivia Gorfain"/>
    <s v="Torrey Carroll"/>
    <n v="0"/>
  </r>
  <r>
    <s v="91545"/>
    <d v="2025-08-30T00:00:00"/>
    <x v="114"/>
    <x v="8"/>
    <s v="San Francisco"/>
    <n v="0"/>
    <n v="0"/>
    <n v="0"/>
    <n v="1200"/>
    <n v="-1200"/>
    <n v="0"/>
    <s v="Josie Maitlen,Torrey Carroll"/>
    <s v="Olivia Gorfain"/>
    <s v="Torrey Carroll"/>
    <n v="0"/>
  </r>
  <r>
    <s v="81054"/>
    <d v="2025-08-27T00:00:00"/>
    <x v="114"/>
    <x v="8"/>
    <s v="San Francisco"/>
    <n v="0"/>
    <n v="0"/>
    <n v="0"/>
    <n v="20"/>
    <n v="-20"/>
    <n v="0"/>
    <s v="Liz Grobe"/>
    <s v="Olivia Gorfain"/>
    <s v="Other"/>
    <n v="0"/>
  </r>
  <r>
    <s v="93575"/>
    <d v="2025-08-01T00:00:00"/>
    <x v="115"/>
    <x v="3"/>
    <s v="San Jose"/>
    <n v="0"/>
    <n v="0"/>
    <n v="0"/>
    <n v="7.91"/>
    <n v="-7.91"/>
    <n v="0"/>
    <s v="Mary Sparacino"/>
    <s v="Chris Cicisly"/>
    <s v="Mary Sparacino"/>
    <n v="0"/>
  </r>
  <r>
    <s v="91836"/>
    <d v="2025-08-06T00:00:00"/>
    <x v="115"/>
    <x v="3"/>
    <s v="San Jose"/>
    <n v="0"/>
    <n v="0"/>
    <n v="0"/>
    <n v="-351"/>
    <n v="351"/>
    <n v="0"/>
    <s v="Mary Sparacino"/>
    <s v="Chris Cicisly"/>
    <s v="Mary Sparacino"/>
    <n v="0"/>
  </r>
  <r>
    <s v="91836"/>
    <d v="2025-08-07T00:00:00"/>
    <x v="115"/>
    <x v="3"/>
    <s v="San Jose"/>
    <n v="0"/>
    <n v="0"/>
    <n v="0"/>
    <n v="-140.4"/>
    <n v="140.4"/>
    <n v="0"/>
    <s v="Mary Sparacino"/>
    <s v="Chris Cicisly"/>
    <s v="Mary Sparacino"/>
    <n v="0"/>
  </r>
  <r>
    <s v="91836"/>
    <d v="2025-08-08T00:00:00"/>
    <x v="115"/>
    <x v="3"/>
    <s v="San Jose"/>
    <n v="0"/>
    <n v="0"/>
    <n v="0"/>
    <n v="0"/>
    <n v="0"/>
    <n v="0"/>
    <s v="Mary Sparacino"/>
    <s v="Chris Cicisly"/>
    <s v="Mary Sparacino"/>
    <n v="0"/>
  </r>
  <r>
    <s v="94197"/>
    <d v="2025-08-29T00:00:00"/>
    <x v="116"/>
    <x v="16"/>
    <s v="San Francisco"/>
    <n v="0"/>
    <n v="0"/>
    <n v="0"/>
    <n v="871.97"/>
    <n v="-871.97"/>
    <n v="0"/>
    <s v="Lovina Vasudeva"/>
    <s v="Jill Marsh"/>
    <s v="Lovina Vasudeva"/>
    <n v="0"/>
  </r>
  <r>
    <s v="93572"/>
    <d v="2025-08-08T00:00:00"/>
    <x v="116"/>
    <x v="16"/>
    <s v="San Francisco"/>
    <n v="0"/>
    <n v="750"/>
    <n v="750"/>
    <n v="750"/>
    <n v="0"/>
    <n v="0"/>
    <s v="Owen Cunningham"/>
    <s v="Jill Marsh"/>
    <s v="Other"/>
    <n v="0"/>
  </r>
  <r>
    <s v="93572"/>
    <d v="2025-08-22T00:00:00"/>
    <x v="116"/>
    <x v="16"/>
    <s v="San Francisco"/>
    <n v="0"/>
    <n v="750"/>
    <n v="750"/>
    <n v="750"/>
    <n v="0"/>
    <n v="0"/>
    <s v="Owen Cunningham"/>
    <s v="Jill Marsh"/>
    <s v="Other"/>
    <n v="0"/>
  </r>
  <r>
    <s v="91518"/>
    <d v="2025-08-26T00:00:00"/>
    <x v="117"/>
    <x v="0"/>
    <s v="San Francisco"/>
    <n v="0"/>
    <n v="-417"/>
    <n v="-417"/>
    <n v="0"/>
    <n v="-417"/>
    <n v="1"/>
    <s v="Frances Kim"/>
    <s v="Owen Cunningham"/>
    <s v="Frances Kim"/>
    <n v="0"/>
  </r>
  <r>
    <s v="88772"/>
    <d v="2025-08-27T00:00:00"/>
    <x v="118"/>
    <x v="0"/>
    <s v="San Francisco"/>
    <n v="0"/>
    <n v="2300"/>
    <n v="2300"/>
    <n v="1647.03"/>
    <n v="652.97"/>
    <n v="0.28389999999999999"/>
    <s v="Kimi Katsuyoshi"/>
    <s v="Owen Cunningham"/>
    <s v="Kimi Katsuyoshi"/>
    <n v="0"/>
  </r>
  <r>
    <s v="91437"/>
    <d v="2025-08-01T00:00:00"/>
    <x v="118"/>
    <x v="0"/>
    <s v="San Francisco"/>
    <n v="0"/>
    <n v="0"/>
    <n v="0"/>
    <n v="20.66"/>
    <n v="-20.66"/>
    <n v="0"/>
    <s v="Kimi Katsuyoshi,Melissa Avalos"/>
    <s v="Owen Cunningham"/>
    <s v="Kimi Katsuyoshi"/>
    <n v="0"/>
  </r>
  <r>
    <s v="93368"/>
    <d v="2025-08-05T00:00:00"/>
    <x v="118"/>
    <x v="0"/>
    <s v="San Francisco"/>
    <n v="30"/>
    <n v="0"/>
    <n v="30"/>
    <n v="35.299999999999997"/>
    <n v="-5.3"/>
    <n v="-0.17666667"/>
    <s v="Kimi Katsuyoshi,Melissa Avalos"/>
    <s v="Owen Cunningham"/>
    <s v="Kimi Katsuyoshi"/>
    <n v="1"/>
  </r>
  <r>
    <s v="93811"/>
    <d v="2025-08-18T00:00:00"/>
    <x v="118"/>
    <x v="0"/>
    <s v="San Francisco"/>
    <n v="1535"/>
    <n v="0"/>
    <n v="1535"/>
    <n v="1082.3800000000001"/>
    <n v="452.62"/>
    <n v="0.29486645"/>
    <s v="Kimi Katsuyoshi,Melissa Avalos"/>
    <s v="Owen Cunningham"/>
    <s v="Kimi Katsuyoshi"/>
    <n v="1"/>
  </r>
  <r>
    <s v="93813"/>
    <d v="2025-08-28T00:00:00"/>
    <x v="118"/>
    <x v="0"/>
    <s v="San Francisco"/>
    <n v="800"/>
    <n v="0"/>
    <n v="800"/>
    <n v="642.96"/>
    <n v="157.04"/>
    <n v="0.1963"/>
    <s v="Kimi Katsuyoshi,Melissa Avalos"/>
    <s v="Owen Cunningham"/>
    <s v="Kimi Katsuyoshi"/>
    <n v="1"/>
  </r>
  <r>
    <s v="91437"/>
    <d v="2025-08-30T00:00:00"/>
    <x v="118"/>
    <x v="0"/>
    <s v="San Francisco"/>
    <n v="0"/>
    <n v="0"/>
    <n v="0"/>
    <n v="712.5"/>
    <n v="-712.5"/>
    <n v="0"/>
    <s v="Kimi Katsuyoshi,Melissa Avalos"/>
    <s v="Owen Cunningham"/>
    <s v="Kimi Katsuyoshi"/>
    <n v="0"/>
  </r>
  <r>
    <s v="93949"/>
    <d v="2025-08-29T00:00:00"/>
    <x v="119"/>
    <x v="5"/>
    <s v="San Francisco"/>
    <n v="250.8"/>
    <n v="0"/>
    <n v="250.8"/>
    <n v="250.8"/>
    <n v="0"/>
    <n v="0"/>
    <s v="Other"/>
    <s v="Jill Marsh"/>
    <s v="Other"/>
    <n v="1"/>
  </r>
  <r>
    <s v="91966"/>
    <d v="2025-08-06T00:00:00"/>
    <x v="120"/>
    <x v="14"/>
    <s v="San Francisco"/>
    <n v="0"/>
    <n v="0"/>
    <n v="0"/>
    <n v="-11.33"/>
    <n v="11.33"/>
    <n v="0"/>
    <s v="Hana Estrada"/>
    <s v="Kate Ingelstrom"/>
    <s v="Hana Estrada"/>
    <n v="0"/>
  </r>
  <r>
    <s v="92750"/>
    <d v="2025-08-25T00:00:00"/>
    <x v="120"/>
    <x v="14"/>
    <s v="San Francisco"/>
    <n v="0"/>
    <n v="264"/>
    <n v="264"/>
    <n v="232.94"/>
    <n v="31.06"/>
    <n v="0.11765152"/>
    <s v="Hana Estrada"/>
    <s v="Kate Ingelstrom"/>
    <s v="Hana Estrada"/>
    <n v="0"/>
  </r>
  <r>
    <s v="93679"/>
    <d v="2025-08-03T00:00:00"/>
    <x v="121"/>
    <x v="14"/>
    <s v="Sacramento"/>
    <n v="0"/>
    <n v="0"/>
    <n v="0"/>
    <n v="-5.4"/>
    <n v="5.4"/>
    <n v="0"/>
    <s v="Carina Collison"/>
    <s v="Kate Ingelstrom"/>
    <s v="Carina Collison"/>
    <n v="0"/>
  </r>
  <r>
    <s v="93918"/>
    <d v="2025-08-21T00:00:00"/>
    <x v="122"/>
    <x v="2"/>
    <s v="Sacramento"/>
    <n v="426.72"/>
    <n v="0"/>
    <n v="426.72"/>
    <n v="384.05"/>
    <n v="42.67"/>
    <n v="9.9995310000000004E-2"/>
    <s v="Farrah Race"/>
    <s v="Alex Blangeres"/>
    <s v="Farrah Race"/>
    <n v="1"/>
  </r>
  <r>
    <s v="93920"/>
    <d v="2025-08-21T00:00:00"/>
    <x v="122"/>
    <x v="2"/>
    <s v="Sacramento"/>
    <n v="1300"/>
    <n v="0"/>
    <n v="1300"/>
    <n v="1053.8499999999999"/>
    <n v="246.15"/>
    <n v="0.18934614999999999"/>
    <s v="Farrah Race"/>
    <s v="Alex Blangeres"/>
    <s v="Farrah Race"/>
    <n v="1"/>
  </r>
  <r>
    <s v="92587"/>
    <d v="2025-08-30T00:00:00"/>
    <x v="122"/>
    <x v="2"/>
    <s v="Sacramento"/>
    <n v="0"/>
    <n v="0"/>
    <n v="0"/>
    <n v="40"/>
    <n v="-40"/>
    <n v="0"/>
    <s v="Farrah Race"/>
    <s v="Alex Blangeres"/>
    <s v="Farrah Race"/>
    <n v="0"/>
  </r>
  <r>
    <s v="92665"/>
    <d v="2025-08-30T00:00:00"/>
    <x v="122"/>
    <x v="2"/>
    <s v="Sacramento"/>
    <n v="0"/>
    <n v="0"/>
    <n v="0"/>
    <n v="675"/>
    <n v="-675"/>
    <n v="0"/>
    <s v="Farrah Race"/>
    <s v="Alex Blangeres"/>
    <s v="Farrah Race"/>
    <n v="0"/>
  </r>
  <r>
    <s v="92789"/>
    <d v="2025-08-30T00:00:00"/>
    <x v="122"/>
    <x v="2"/>
    <s v="Sacramento"/>
    <n v="0"/>
    <n v="0"/>
    <n v="0"/>
    <n v="525"/>
    <n v="-525"/>
    <n v="0"/>
    <s v="Farrah Race"/>
    <s v="Alex Blangeres"/>
    <s v="Farrah Race"/>
    <n v="0"/>
  </r>
  <r>
    <s v="89622"/>
    <d v="2025-08-30T00:00:00"/>
    <x v="123"/>
    <x v="10"/>
    <s v="Sacramento"/>
    <n v="0"/>
    <n v="0"/>
    <n v="0"/>
    <n v="1800"/>
    <n v="-1800"/>
    <n v="0"/>
    <s v="Andrea Greever"/>
    <s v="Simon Sheppard"/>
    <s v="Andrea Greever"/>
    <n v="0"/>
  </r>
  <r>
    <s v="92359"/>
    <d v="2025-08-18T00:00:00"/>
    <x v="124"/>
    <x v="3"/>
    <s v="San Jose"/>
    <n v="0"/>
    <n v="0"/>
    <n v="0"/>
    <n v="-356.25"/>
    <n v="356.25"/>
    <n v="0"/>
    <s v="Mary Sparacino"/>
    <s v="Chris Cicisly"/>
    <s v="Mary Sparacino"/>
    <n v="0"/>
  </r>
  <r>
    <s v="93725"/>
    <d v="2025-08-05T00:00:00"/>
    <x v="125"/>
    <x v="0"/>
    <s v="San Francisco"/>
    <n v="0"/>
    <n v="0"/>
    <n v="0"/>
    <n v="13.23"/>
    <n v="-13.23"/>
    <n v="0"/>
    <s v="Anthony Pantaleoni,Hana Estrada"/>
    <s v="Owen Cunningham"/>
    <s v="Anthony Pantaleoni"/>
    <n v="0"/>
  </r>
  <r>
    <s v="93725"/>
    <d v="2025-08-07T00:00:00"/>
    <x v="125"/>
    <x v="0"/>
    <s v="San Francisco"/>
    <n v="0"/>
    <n v="0"/>
    <n v="0"/>
    <n v="-135"/>
    <n v="135"/>
    <n v="0"/>
    <s v="Anthony Pantaleoni,Hana Estrada"/>
    <s v="Owen Cunningham"/>
    <s v="Anthony Pantaleoni"/>
    <n v="0"/>
  </r>
  <r>
    <s v="93725"/>
    <d v="2025-08-12T00:00:00"/>
    <x v="125"/>
    <x v="0"/>
    <s v="San Francisco"/>
    <n v="0"/>
    <n v="-405"/>
    <n v="-405"/>
    <n v="0"/>
    <n v="-405"/>
    <n v="1"/>
    <s v="Anthony Pantaleoni,Hana Estrada"/>
    <s v="Owen Cunningham"/>
    <s v="Anthony Pantaleoni"/>
    <n v="0"/>
  </r>
  <r>
    <s v="91773"/>
    <d v="2025-08-05T00:00:00"/>
    <x v="126"/>
    <x v="6"/>
    <s v="San Jose"/>
    <n v="0"/>
    <n v="0"/>
    <n v="0"/>
    <n v="-300"/>
    <n v="300"/>
    <n v="0"/>
    <s v="Maria Estrada"/>
    <s v="Kate Ingelstrom"/>
    <s v="Maria Estrada"/>
    <n v="0"/>
  </r>
  <r>
    <s v="92332"/>
    <d v="2025-08-18T00:00:00"/>
    <x v="126"/>
    <x v="6"/>
    <s v="San Jose"/>
    <n v="0"/>
    <n v="0"/>
    <n v="0"/>
    <n v="20.47"/>
    <n v="-20.47"/>
    <n v="0"/>
    <s v="Maria Estrada"/>
    <s v="Kate Ingelstrom"/>
    <s v="Maria Estrada"/>
    <n v="0"/>
  </r>
  <r>
    <s v="92095"/>
    <d v="2025-08-04T00:00:00"/>
    <x v="127"/>
    <x v="2"/>
    <s v="Sacramento"/>
    <n v="0"/>
    <n v="0"/>
    <n v="0"/>
    <n v="28"/>
    <n v="-28"/>
    <n v="0"/>
    <s v="Andrea Greever"/>
    <s v="Alex Blangeres"/>
    <s v="Andrea Greever"/>
    <n v="0"/>
  </r>
  <r>
    <s v="92095"/>
    <d v="2025-08-28T00:00:00"/>
    <x v="127"/>
    <x v="2"/>
    <s v="Sacramento"/>
    <n v="0"/>
    <n v="0"/>
    <n v="0"/>
    <n v="100"/>
    <n v="-100"/>
    <n v="0"/>
    <s v="Andrea Greever"/>
    <s v="Alex Blangeres"/>
    <s v="Andrea Greever"/>
    <n v="0"/>
  </r>
  <r>
    <s v="94007"/>
    <d v="2025-08-29T00:00:00"/>
    <x v="127"/>
    <x v="2"/>
    <s v="Sacramento"/>
    <n v="15932.94"/>
    <n v="0"/>
    <n v="15932.94"/>
    <n v="13049.1"/>
    <n v="2883.84"/>
    <n v="0.18099861"/>
    <s v="Andrea Greever"/>
    <s v="Alex Blangeres"/>
    <s v="Andrea Greever"/>
    <n v="1"/>
  </r>
  <r>
    <s v="93035"/>
    <d v="2025-08-01T00:00:00"/>
    <x v="128"/>
    <x v="2"/>
    <s v="Sacramento"/>
    <n v="3629.28"/>
    <n v="0"/>
    <n v="3629.28"/>
    <n v="2930.94"/>
    <n v="698.34"/>
    <n v="0.19241833"/>
    <s v="Erika Duarte"/>
    <s v="Alex Blangeres"/>
    <s v="Erika Duarte"/>
    <n v="1"/>
  </r>
  <r>
    <s v="93035"/>
    <d v="2025-08-04T00:00:00"/>
    <x v="128"/>
    <x v="2"/>
    <s v="Sacramento"/>
    <n v="0"/>
    <n v="0"/>
    <n v="0"/>
    <n v="-13.51"/>
    <n v="13.51"/>
    <n v="0"/>
    <s v="Erika Duarte"/>
    <s v="Alex Blangeres"/>
    <s v="Erika Duarte"/>
    <n v="0"/>
  </r>
  <r>
    <s v="93563"/>
    <d v="2025-08-07T00:00:00"/>
    <x v="128"/>
    <x v="2"/>
    <s v="Sacramento"/>
    <n v="1922.29"/>
    <n v="0"/>
    <n v="1922.29"/>
    <n v="1581.76"/>
    <n v="340.53"/>
    <n v="0.17714809000000001"/>
    <s v="Erika Duarte"/>
    <s v="Alex Blangeres"/>
    <s v="Erika Duarte"/>
    <n v="1"/>
  </r>
  <r>
    <s v="93727"/>
    <d v="2025-08-07T00:00:00"/>
    <x v="128"/>
    <x v="4"/>
    <s v="Sacramento"/>
    <n v="896.7"/>
    <n v="0"/>
    <n v="896.7"/>
    <n v="717.36"/>
    <n v="179.34"/>
    <n v="0.2"/>
    <s v="Erika Duarte"/>
    <s v="Alex Blangeres"/>
    <s v="Erika Duarte"/>
    <n v="1"/>
  </r>
  <r>
    <s v="93929"/>
    <d v="2025-08-07T00:00:00"/>
    <x v="128"/>
    <x v="4"/>
    <s v="Sacramento"/>
    <n v="254.46"/>
    <n v="0"/>
    <n v="254.46"/>
    <n v="209.25"/>
    <n v="45.21"/>
    <n v="0.17767036"/>
    <s v="Erika Duarte"/>
    <s v="Alex Blangeres"/>
    <s v="Erika Duarte"/>
    <n v="1"/>
  </r>
  <r>
    <s v="93731"/>
    <d v="2025-08-07T00:00:00"/>
    <x v="128"/>
    <x v="2"/>
    <s v="Sacramento"/>
    <n v="2302.8200000000002"/>
    <n v="0"/>
    <n v="2302.8200000000002"/>
    <n v="1850.65"/>
    <n v="452.17"/>
    <n v="0.1963549"/>
    <s v="Erika Duarte"/>
    <s v="Alex Blangeres"/>
    <s v="Erika Duarte"/>
    <n v="1"/>
  </r>
  <r>
    <s v="93731"/>
    <d v="2025-08-08T00:00:00"/>
    <x v="128"/>
    <x v="2"/>
    <s v="Sacramento"/>
    <n v="0"/>
    <n v="0"/>
    <n v="0"/>
    <n v="-0.03"/>
    <n v="0.03"/>
    <n v="0"/>
    <s v="Erika Duarte"/>
    <s v="Alex Blangeres"/>
    <s v="Erika Duarte"/>
    <n v="0"/>
  </r>
  <r>
    <s v="93035"/>
    <d v="2025-08-11T00:00:00"/>
    <x v="128"/>
    <x v="2"/>
    <s v="Sacramento"/>
    <n v="0"/>
    <n v="0"/>
    <n v="0"/>
    <n v="-123.42"/>
    <n v="123.42"/>
    <n v="0"/>
    <s v="Erika Duarte"/>
    <s v="Alex Blangeres"/>
    <s v="Erika Duarte"/>
    <n v="0"/>
  </r>
  <r>
    <s v="93563"/>
    <d v="2025-08-11T00:00:00"/>
    <x v="128"/>
    <x v="2"/>
    <s v="Sacramento"/>
    <n v="0"/>
    <n v="0"/>
    <n v="0"/>
    <n v="-35.72"/>
    <n v="35.72"/>
    <n v="0"/>
    <s v="Erika Duarte"/>
    <s v="Alex Blangeres"/>
    <s v="Erika Duarte"/>
    <n v="0"/>
  </r>
  <r>
    <s v="93929"/>
    <d v="2025-08-11T00:00:00"/>
    <x v="128"/>
    <x v="4"/>
    <s v="Sacramento"/>
    <n v="0"/>
    <n v="0"/>
    <n v="0"/>
    <n v="-10.039999999999999"/>
    <n v="10.039999999999999"/>
    <n v="0"/>
    <s v="Erika Duarte"/>
    <s v="Alex Blangeres"/>
    <s v="Erika Duarte"/>
    <n v="0"/>
  </r>
  <r>
    <s v="93035"/>
    <d v="2025-08-12T00:00:00"/>
    <x v="128"/>
    <x v="2"/>
    <s v="Sacramento"/>
    <n v="0"/>
    <n v="0"/>
    <n v="0"/>
    <n v="146.83000000000001"/>
    <n v="-146.83000000000001"/>
    <n v="0"/>
    <s v="Erika Duarte"/>
    <s v="Alex Blangeres"/>
    <s v="Erika Duarte"/>
    <n v="0"/>
  </r>
  <r>
    <s v="93929"/>
    <d v="2025-08-12T00:00:00"/>
    <x v="128"/>
    <x v="4"/>
    <s v="Sacramento"/>
    <n v="0"/>
    <n v="0"/>
    <n v="0"/>
    <n v="-6.14"/>
    <n v="6.14"/>
    <n v="0"/>
    <s v="Erika Duarte"/>
    <s v="Alex Blangeres"/>
    <s v="Erika Duarte"/>
    <n v="0"/>
  </r>
  <r>
    <s v="93035"/>
    <d v="2025-08-14T00:00:00"/>
    <x v="128"/>
    <x v="2"/>
    <s v="Sacramento"/>
    <n v="0"/>
    <n v="0"/>
    <n v="0"/>
    <n v="-47.98"/>
    <n v="47.98"/>
    <n v="0"/>
    <s v="Erika Duarte"/>
    <s v="Alex Blangeres"/>
    <s v="Erika Duarte"/>
    <n v="0"/>
  </r>
  <r>
    <s v="93731"/>
    <d v="2025-08-25T00:00:00"/>
    <x v="128"/>
    <x v="2"/>
    <s v="Sacramento"/>
    <n v="36.47"/>
    <n v="-561.05999999999995"/>
    <n v="-524.59"/>
    <n v="-300.33"/>
    <n v="-224.26"/>
    <n v="0.42749576"/>
    <s v="Erika Duarte"/>
    <s v="Alex Blangeres"/>
    <s v="Erika Duarte"/>
    <n v="1"/>
  </r>
  <r>
    <s v="93704"/>
    <d v="2025-08-29T00:00:00"/>
    <x v="128"/>
    <x v="2"/>
    <s v="Sacramento"/>
    <n v="4146.62"/>
    <n v="0"/>
    <n v="4146.62"/>
    <n v="3385.78"/>
    <n v="760.84"/>
    <n v="0.18348438"/>
    <s v="Erika Duarte,Rayna Mitchell"/>
    <s v="Alex Blangeres"/>
    <s v="Erika Duarte"/>
    <n v="1"/>
  </r>
  <r>
    <s v="94296"/>
    <d v="2025-08-29T00:00:00"/>
    <x v="128"/>
    <x v="4"/>
    <s v="Sacramento"/>
    <n v="200"/>
    <n v="0"/>
    <n v="200"/>
    <n v="0"/>
    <n v="200"/>
    <n v="1"/>
    <s v="Rayna Mitchell"/>
    <s v="Alex Blangeres"/>
    <s v="Rayna Mitchell"/>
    <n v="1"/>
  </r>
  <r>
    <s v="94297"/>
    <d v="2025-08-29T00:00:00"/>
    <x v="128"/>
    <x v="4"/>
    <s v="Sacramento"/>
    <n v="200"/>
    <n v="0"/>
    <n v="200"/>
    <n v="0"/>
    <n v="200"/>
    <n v="1"/>
    <s v="Rayna Mitchell"/>
    <s v="Alex Blangeres"/>
    <s v="Rayna Mitchell"/>
    <n v="1"/>
  </r>
  <r>
    <s v="94249"/>
    <d v="2025-08-28T00:00:00"/>
    <x v="129"/>
    <x v="8"/>
    <s v="San Francisco"/>
    <n v="45706.55"/>
    <n v="0"/>
    <n v="45706.55"/>
    <n v="36155.660000000003"/>
    <n v="9550.89"/>
    <n v="0.20896107999999999"/>
    <s v="Anthony Pantaleoni"/>
    <s v="Olivia Gorfain"/>
    <s v="Anthony Pantaleoni"/>
    <n v="1"/>
  </r>
  <r>
    <s v="94249"/>
    <d v="2025-08-29T00:00:00"/>
    <x v="129"/>
    <x v="8"/>
    <s v="San Francisco"/>
    <n v="0"/>
    <n v="-72.459999999999994"/>
    <n v="-72.459999999999994"/>
    <n v="-823.96"/>
    <n v="751.5"/>
    <n v="-10.371239299999999"/>
    <s v="Anthony Pantaleoni"/>
    <s v="Olivia Gorfain"/>
    <s v="Anthony Pantaleoni"/>
    <n v="0"/>
  </r>
  <r>
    <s v="92270"/>
    <d v="2025-08-29T00:00:00"/>
    <x v="130"/>
    <x v="2"/>
    <s v="Sacramento"/>
    <n v="49635.19"/>
    <n v="0"/>
    <n v="49635.19"/>
    <n v="39179.660000000003"/>
    <n v="10455.530000000001"/>
    <n v="0.21064753"/>
    <s v="Erika Duarte,Rayna Mitchell"/>
    <s v="Alex Blangeres"/>
    <s v="Erika Duarte"/>
    <n v="1"/>
  </r>
  <r>
    <s v="94001"/>
    <d v="2025-08-14T00:00:00"/>
    <x v="131"/>
    <x v="2"/>
    <s v="Sacramento"/>
    <n v="4090.84"/>
    <n v="0"/>
    <n v="4090.84"/>
    <n v="3331.11"/>
    <n v="759.73"/>
    <n v="0.18571491000000001"/>
    <s v="Farrah Race,Shayle Wallis"/>
    <s v="Alex Blangeres"/>
    <s v="Farrah Race"/>
    <n v="1"/>
  </r>
  <r>
    <s v="94001"/>
    <d v="2025-08-18T00:00:00"/>
    <x v="131"/>
    <x v="2"/>
    <s v="Sacramento"/>
    <n v="0"/>
    <n v="0"/>
    <n v="0"/>
    <n v="-104"/>
    <n v="104"/>
    <n v="0"/>
    <s v="Farrah Race,Shayle Wallis"/>
    <s v="Alex Blangeres"/>
    <s v="Farrah Race"/>
    <n v="0"/>
  </r>
  <r>
    <s v="92815"/>
    <d v="2025-08-07T00:00:00"/>
    <x v="132"/>
    <x v="5"/>
    <s v="San Francisco"/>
    <n v="0"/>
    <n v="36465"/>
    <n v="36465"/>
    <n v="29500"/>
    <n v="6965"/>
    <n v="0.19100507"/>
    <s v="Paul Razo"/>
    <s v="Jill Marsh"/>
    <s v="Paul Razo"/>
    <n v="0"/>
  </r>
  <r>
    <s v="92815"/>
    <d v="2025-08-29T00:00:00"/>
    <x v="132"/>
    <x v="5"/>
    <s v="San Francisco"/>
    <n v="0"/>
    <n v="-37000"/>
    <n v="-37000"/>
    <n v="5416.25"/>
    <n v="-42416.25"/>
    <n v="1.14638514"/>
    <s v="Paul Razo"/>
    <s v="Jill Marsh"/>
    <s v="Paul Razo"/>
    <n v="0"/>
  </r>
  <r>
    <s v="93733"/>
    <d v="2025-08-04T00:00:00"/>
    <x v="133"/>
    <x v="0"/>
    <s v="San Francisco"/>
    <n v="0"/>
    <n v="0"/>
    <n v="0"/>
    <n v="-132.30000000000001"/>
    <n v="132.30000000000001"/>
    <n v="0"/>
    <s v="Lindsay Hanief"/>
    <s v="Owen Cunningham"/>
    <s v="Lindsay Hanief"/>
    <n v="0"/>
  </r>
  <r>
    <s v="92664"/>
    <d v="2025-08-05T00:00:00"/>
    <x v="133"/>
    <x v="0"/>
    <s v="San Francisco"/>
    <n v="0"/>
    <n v="0"/>
    <n v="0"/>
    <n v="3604.8"/>
    <n v="-3604.8"/>
    <n v="0"/>
    <s v="Lindsay Hanief"/>
    <s v="Owen Cunningham"/>
    <s v="Lindsay Hanief"/>
    <n v="0"/>
  </r>
  <r>
    <s v="92664"/>
    <d v="2025-08-26T00:00:00"/>
    <x v="133"/>
    <x v="0"/>
    <s v="San Francisco"/>
    <n v="0"/>
    <n v="0"/>
    <n v="0"/>
    <n v="109.55"/>
    <n v="-109.55"/>
    <n v="0"/>
    <s v="Lindsay Hanief"/>
    <s v="Owen Cunningham"/>
    <s v="Lindsay Hanief"/>
    <n v="0"/>
  </r>
  <r>
    <s v="94210"/>
    <d v="2025-08-28T00:00:00"/>
    <x v="133"/>
    <x v="0"/>
    <s v="San Francisco"/>
    <n v="277.02"/>
    <n v="0"/>
    <n v="277.02"/>
    <n v="243.79"/>
    <n v="33.229999999999997"/>
    <n v="0.11995524"/>
    <s v="Lindsay Hanief"/>
    <s v="Owen Cunningham"/>
    <s v="Lindsay Hanief"/>
    <n v="1"/>
  </r>
  <r>
    <s v="92664"/>
    <d v="2025-08-29T00:00:00"/>
    <x v="133"/>
    <x v="0"/>
    <s v="San Francisco"/>
    <n v="0"/>
    <n v="0"/>
    <n v="0"/>
    <n v="-9.4499999999999993"/>
    <n v="9.4499999999999993"/>
    <n v="0"/>
    <s v="Lindsay Hanief"/>
    <s v="Owen Cunningham"/>
    <s v="Lindsay Hanief"/>
    <n v="0"/>
  </r>
  <r>
    <s v="89890"/>
    <d v="2025-08-30T00:00:00"/>
    <x v="133"/>
    <x v="0"/>
    <s v="San Francisco"/>
    <n v="0"/>
    <n v="0"/>
    <n v="0"/>
    <n v="2025"/>
    <n v="-2025"/>
    <n v="0"/>
    <s v="Lindsay Hanief"/>
    <s v="Owen Cunningham"/>
    <s v="Lindsay Hanief"/>
    <n v="0"/>
  </r>
  <r>
    <s v="93596"/>
    <d v="2025-08-06T00:00:00"/>
    <x v="134"/>
    <x v="21"/>
    <s v="San Jose"/>
    <n v="7743.5"/>
    <n v="0"/>
    <n v="7743.5"/>
    <n v="5523"/>
    <n v="2220.5"/>
    <n v="0.28675663000000001"/>
    <s v="Casey Fleming"/>
    <s v="Kate Ingelstrom"/>
    <s v="Casey Fleming"/>
    <n v="1"/>
  </r>
  <r>
    <s v="93745"/>
    <d v="2025-08-08T00:00:00"/>
    <x v="134"/>
    <x v="21"/>
    <s v="San Jose"/>
    <n v="35769.050000000003"/>
    <n v="0"/>
    <n v="35769.050000000003"/>
    <n v="26382.14"/>
    <n v="9386.91"/>
    <n v="0.26243106999999999"/>
    <s v="Casey Fleming"/>
    <s v="Kate Ingelstrom"/>
    <s v="Casey Fleming"/>
    <n v="1"/>
  </r>
  <r>
    <s v="92526"/>
    <d v="2025-08-25T00:00:00"/>
    <x v="134"/>
    <x v="21"/>
    <s v="San Jose"/>
    <n v="6502.65"/>
    <n v="0"/>
    <n v="6502.65"/>
    <n v="4611.8599999999997"/>
    <n v="1890.79"/>
    <n v="0.29077222000000003"/>
    <s v="Casey Fleming"/>
    <s v="Kate Ingelstrom"/>
    <s v="Casey Fleming"/>
    <n v="1"/>
  </r>
  <r>
    <s v="93779"/>
    <d v="2025-08-25T00:00:00"/>
    <x v="134"/>
    <x v="21"/>
    <s v="San Jose"/>
    <n v="0"/>
    <n v="0"/>
    <n v="0"/>
    <n v="-9.41"/>
    <n v="9.41"/>
    <n v="0"/>
    <s v="Casey Fleming,Matt Fleming"/>
    <s v="Kate Ingelstrom"/>
    <s v="Casey Fleming"/>
    <n v="0"/>
  </r>
  <r>
    <s v="92377"/>
    <d v="2025-08-04T00:00:00"/>
    <x v="134"/>
    <x v="15"/>
    <s v="San Jose"/>
    <n v="0"/>
    <n v="0"/>
    <n v="0"/>
    <n v="33.19"/>
    <n v="-33.19"/>
    <n v="0"/>
    <s v="Marena Brown"/>
    <s v="Lela Huenergardt"/>
    <s v="Marena Brown"/>
    <n v="0"/>
  </r>
  <r>
    <s v="89700"/>
    <d v="2025-08-13T00:00:00"/>
    <x v="134"/>
    <x v="15"/>
    <s v="San Jose"/>
    <n v="0"/>
    <n v="0"/>
    <n v="0"/>
    <n v="661"/>
    <n v="-661"/>
    <n v="0"/>
    <s v="Marena Brown"/>
    <s v="Lela Huenergardt"/>
    <s v="Marena Brown"/>
    <n v="0"/>
  </r>
  <r>
    <s v="93524"/>
    <d v="2025-08-27T00:00:00"/>
    <x v="134"/>
    <x v="15"/>
    <s v="San Jose"/>
    <n v="1462.41"/>
    <n v="0"/>
    <n v="1462.41"/>
    <n v="1195.1400000000001"/>
    <n v="267.27"/>
    <n v="0.18275996"/>
    <s v="Marena Brown"/>
    <s v="Lela Huenergardt"/>
    <s v="Marena Brown"/>
    <n v="1"/>
  </r>
  <r>
    <s v="89700"/>
    <d v="2025-08-28T00:00:00"/>
    <x v="134"/>
    <x v="15"/>
    <s v="San Jose"/>
    <n v="0"/>
    <n v="0"/>
    <n v="0"/>
    <n v="304"/>
    <n v="-304"/>
    <n v="0"/>
    <s v="Marena Brown"/>
    <s v="Lela Huenergardt"/>
    <s v="Marena Brown"/>
    <n v="0"/>
  </r>
  <r>
    <s v="93524"/>
    <d v="2025-08-29T00:00:00"/>
    <x v="134"/>
    <x v="15"/>
    <s v="San Jose"/>
    <n v="0"/>
    <n v="0"/>
    <n v="0"/>
    <n v="-26.8"/>
    <n v="26.8"/>
    <n v="0"/>
    <s v="Marena Brown"/>
    <s v="Lela Huenergardt"/>
    <s v="Marena Brown"/>
    <n v="0"/>
  </r>
  <r>
    <s v="91082"/>
    <d v="2025-08-01T00:00:00"/>
    <x v="135"/>
    <x v="15"/>
    <s v="San Jose"/>
    <n v="0"/>
    <n v="0"/>
    <n v="0"/>
    <n v="0"/>
    <n v="0"/>
    <n v="0"/>
    <s v="Marena Brown"/>
    <s v="Lela Huenergardt"/>
    <s v="Marena Brown"/>
    <n v="0"/>
  </r>
  <r>
    <s v="93913"/>
    <d v="2025-08-12T00:00:00"/>
    <x v="136"/>
    <x v="3"/>
    <s v="San Jose"/>
    <n v="12365.85"/>
    <n v="0"/>
    <n v="12365.85"/>
    <n v="9646.9500000000007"/>
    <n v="2718.9"/>
    <n v="0.21987166"/>
    <s v="Mary Sparacino"/>
    <s v="Chris Cicisly"/>
    <s v="Mary Sparacino"/>
    <n v="1"/>
  </r>
  <r>
    <s v="93913"/>
    <d v="2025-08-14T00:00:00"/>
    <x v="136"/>
    <x v="3"/>
    <s v="San Jose"/>
    <n v="0"/>
    <n v="0"/>
    <n v="0"/>
    <n v="-95"/>
    <n v="95"/>
    <n v="0"/>
    <s v="Mary Sparacino"/>
    <s v="Chris Cicisly"/>
    <s v="Mary Sparacino"/>
    <n v="0"/>
  </r>
  <r>
    <s v="93913"/>
    <d v="2025-08-27T00:00:00"/>
    <x v="136"/>
    <x v="3"/>
    <s v="San Jose"/>
    <n v="0"/>
    <n v="0"/>
    <n v="0"/>
    <n v="-75"/>
    <n v="75"/>
    <n v="0"/>
    <s v="Mary Sparacino"/>
    <s v="Chris Cicisly"/>
    <s v="Mary Sparacino"/>
    <n v="0"/>
  </r>
  <r>
    <s v="91784"/>
    <d v="2025-08-28T00:00:00"/>
    <x v="137"/>
    <x v="15"/>
    <s v="San Jose"/>
    <n v="0"/>
    <n v="0"/>
    <n v="0"/>
    <n v="119.42"/>
    <n v="-119.42"/>
    <n v="0"/>
    <s v="Marena Brown"/>
    <s v="Lela Huenergardt"/>
    <s v="Marena Brown"/>
    <n v="0"/>
  </r>
  <r>
    <s v="92269"/>
    <d v="2025-08-28T00:00:00"/>
    <x v="137"/>
    <x v="15"/>
    <s v="San Jose"/>
    <n v="0"/>
    <n v="260"/>
    <n v="260"/>
    <n v="200"/>
    <n v="60"/>
    <n v="0.23076922999999999"/>
    <s v="Marena Brown"/>
    <s v="Lela Huenergardt"/>
    <s v="Marena Brown"/>
    <n v="0"/>
  </r>
  <r>
    <s v="92269"/>
    <d v="2025-08-29T00:00:00"/>
    <x v="137"/>
    <x v="15"/>
    <s v="San Jose"/>
    <n v="0"/>
    <n v="-260"/>
    <n v="-260"/>
    <n v="-200"/>
    <n v="-60"/>
    <n v="0.23076922999999999"/>
    <s v="Marena Brown"/>
    <s v="Lela Huenergardt"/>
    <s v="Marena Brown"/>
    <n v="0"/>
  </r>
  <r>
    <s v="92838"/>
    <d v="2025-08-29T00:00:00"/>
    <x v="138"/>
    <x v="15"/>
    <s v="San Jose"/>
    <n v="0"/>
    <n v="0"/>
    <n v="0"/>
    <n v="593.1"/>
    <n v="-593.1"/>
    <n v="0"/>
    <s v="Marena Brown"/>
    <s v="Lela Huenergardt"/>
    <s v="Marena Brown"/>
    <n v="0"/>
  </r>
  <r>
    <s v="94245"/>
    <d v="2025-08-29T00:00:00"/>
    <x v="138"/>
    <x v="15"/>
    <s v="San Jose"/>
    <n v="268.23"/>
    <n v="0"/>
    <n v="268.23"/>
    <n v="0"/>
    <n v="268.23"/>
    <n v="1"/>
    <s v="Marena Brown"/>
    <s v="Lela Huenergardt"/>
    <s v="Marena Brown"/>
    <n v="1"/>
  </r>
  <r>
    <s v="93962"/>
    <d v="2025-08-20T00:00:00"/>
    <x v="139"/>
    <x v="2"/>
    <s v="Sacramento"/>
    <n v="2186.08"/>
    <n v="0"/>
    <n v="2186.08"/>
    <n v="1761.07"/>
    <n v="425.01"/>
    <n v="0.19441649"/>
    <s v="Andrea Greever"/>
    <s v="Alex Blangeres"/>
    <s v="Andrea Greever"/>
    <n v="1"/>
  </r>
  <r>
    <s v="90013"/>
    <d v="2025-08-26T00:00:00"/>
    <x v="140"/>
    <x v="0"/>
    <s v="San Francisco"/>
    <n v="0"/>
    <n v="0"/>
    <n v="0"/>
    <n v="100"/>
    <n v="-100"/>
    <n v="0"/>
    <s v="Chryslyn Perkins"/>
    <s v="Owen Cunningham"/>
    <s v="Chryslyn Perkins"/>
    <n v="0"/>
  </r>
  <r>
    <s v="93452"/>
    <d v="2025-08-28T00:00:00"/>
    <x v="141"/>
    <x v="0"/>
    <s v="San Francisco"/>
    <n v="4430.76"/>
    <n v="0"/>
    <n v="4430.76"/>
    <n v="2880"/>
    <n v="1550.76"/>
    <n v="0.34999865000000002"/>
    <s v="Patty Medina"/>
    <s v="Owen Cunningham"/>
    <s v="Patty Medina"/>
    <n v="1"/>
  </r>
  <r>
    <s v="91061"/>
    <d v="2025-08-01T00:00:00"/>
    <x v="142"/>
    <x v="0"/>
    <s v="San Francisco"/>
    <n v="0"/>
    <n v="0"/>
    <n v="0"/>
    <n v="74.59"/>
    <n v="-74.59"/>
    <n v="0"/>
    <s v="Kimi Katsuyoshi"/>
    <s v="Owen Cunningham"/>
    <s v="Kimi Katsuyoshi"/>
    <n v="0"/>
  </r>
  <r>
    <s v="91061"/>
    <d v="2025-08-04T00:00:00"/>
    <x v="142"/>
    <x v="0"/>
    <s v="San Francisco"/>
    <n v="0"/>
    <n v="0"/>
    <n v="0"/>
    <n v="5.48"/>
    <n v="-5.48"/>
    <n v="0"/>
    <s v="Kimi Katsuyoshi"/>
    <s v="Owen Cunningham"/>
    <s v="Kimi Katsuyoshi"/>
    <n v="0"/>
  </r>
  <r>
    <s v="91061"/>
    <d v="2025-08-06T00:00:00"/>
    <x v="142"/>
    <x v="0"/>
    <s v="San Francisco"/>
    <n v="0"/>
    <n v="0"/>
    <n v="0"/>
    <n v="0.27"/>
    <n v="-0.27"/>
    <n v="0"/>
    <s v="Kimi Katsuyoshi"/>
    <s v="Owen Cunningham"/>
    <s v="Kimi Katsuyoshi"/>
    <n v="0"/>
  </r>
  <r>
    <s v="94079"/>
    <d v="2025-08-16T00:00:00"/>
    <x v="142"/>
    <x v="0"/>
    <s v="San Francisco"/>
    <n v="0"/>
    <n v="0"/>
    <n v="0"/>
    <n v="99929.87"/>
    <n v="-99929.87"/>
    <n v="0"/>
    <s v="Kimi Katsuyoshi"/>
    <s v="Owen Cunningham"/>
    <s v="Kimi Katsuyoshi"/>
    <n v="0"/>
  </r>
  <r>
    <s v="94079"/>
    <d v="2025-08-22T00:00:00"/>
    <x v="142"/>
    <x v="0"/>
    <s v="San Francisco"/>
    <n v="0"/>
    <n v="0"/>
    <n v="0"/>
    <n v="341.98"/>
    <n v="-341.98"/>
    <n v="0"/>
    <s v="Kimi Katsuyoshi"/>
    <s v="Owen Cunningham"/>
    <s v="Kimi Katsuyoshi"/>
    <n v="0"/>
  </r>
  <r>
    <s v="93589"/>
    <d v="2025-08-27T00:00:00"/>
    <x v="142"/>
    <x v="0"/>
    <s v="San Francisco"/>
    <n v="0"/>
    <n v="21827.14"/>
    <n v="21827.14"/>
    <n v="16370.36"/>
    <n v="5456.78"/>
    <n v="0.24999977000000001"/>
    <s v="Kimi Katsuyoshi"/>
    <s v="Owen Cunningham"/>
    <s v="Kimi Katsuyoshi"/>
    <n v="0"/>
  </r>
  <r>
    <s v="93589"/>
    <d v="2025-08-28T00:00:00"/>
    <x v="142"/>
    <x v="0"/>
    <s v="San Francisco"/>
    <n v="0"/>
    <n v="28.17"/>
    <n v="28.17"/>
    <n v="20"/>
    <n v="8.17"/>
    <n v="0.29002485"/>
    <s v="Kimi Katsuyoshi"/>
    <s v="Owen Cunningham"/>
    <s v="Kimi Katsuyoshi"/>
    <n v="0"/>
  </r>
  <r>
    <s v="93653"/>
    <d v="2025-08-04T00:00:00"/>
    <x v="142"/>
    <x v="0"/>
    <s v="San Francisco"/>
    <n v="2617"/>
    <n v="0"/>
    <n v="2617"/>
    <n v="1844.41"/>
    <n v="772.59"/>
    <n v="0.29521972000000002"/>
    <s v="Kimi Katsuyoshi,Melissa Avalos"/>
    <s v="Owen Cunningham"/>
    <s v="Kimi Katsuyoshi"/>
    <n v="1"/>
  </r>
  <r>
    <s v="93672"/>
    <d v="2025-08-05T00:00:00"/>
    <x v="142"/>
    <x v="0"/>
    <s v="San Francisco"/>
    <n v="2570"/>
    <n v="0"/>
    <n v="2570"/>
    <n v="1812.99"/>
    <n v="757.01"/>
    <n v="0.29455641999999999"/>
    <s v="Kimi Katsuyoshi,Melissa Avalos"/>
    <s v="Owen Cunningham"/>
    <s v="Kimi Katsuyoshi"/>
    <n v="1"/>
  </r>
  <r>
    <s v="93892"/>
    <d v="2025-08-07T00:00:00"/>
    <x v="142"/>
    <x v="0"/>
    <s v="San Francisco"/>
    <n v="3567"/>
    <n v="0"/>
    <n v="3567"/>
    <n v="1937.06"/>
    <n v="1629.94"/>
    <n v="0.45694982000000001"/>
    <s v="Kimi Katsuyoshi,Melissa Avalos"/>
    <s v="Owen Cunningham"/>
    <s v="Kimi Katsuyoshi"/>
    <n v="1"/>
  </r>
  <r>
    <s v="93973"/>
    <d v="2025-08-08T00:00:00"/>
    <x v="142"/>
    <x v="0"/>
    <s v="San Francisco"/>
    <n v="0"/>
    <n v="0"/>
    <n v="0"/>
    <n v="76.47"/>
    <n v="-76.47"/>
    <n v="0"/>
    <s v="Kimi Katsuyoshi,Melissa Avalos"/>
    <s v="Owen Cunningham"/>
    <s v="Kimi Katsuyoshi"/>
    <n v="0"/>
  </r>
  <r>
    <s v="91391"/>
    <d v="2025-08-12T00:00:00"/>
    <x v="142"/>
    <x v="0"/>
    <s v="San Francisco"/>
    <n v="0"/>
    <n v="0"/>
    <n v="0"/>
    <n v="14.32"/>
    <n v="-14.32"/>
    <n v="0"/>
    <s v="Kimi Katsuyoshi,Melissa Avalos"/>
    <s v="Owen Cunningham"/>
    <s v="Kimi Katsuyoshi"/>
    <n v="0"/>
  </r>
  <r>
    <s v="93273"/>
    <d v="2025-08-13T00:00:00"/>
    <x v="142"/>
    <x v="0"/>
    <s v="San Francisco"/>
    <n v="0"/>
    <n v="-5.04"/>
    <n v="-5.04"/>
    <n v="0"/>
    <n v="-5.04"/>
    <n v="1"/>
    <s v="Kimi Katsuyoshi,Melissa Avalos"/>
    <s v="Owen Cunningham"/>
    <s v="Kimi Katsuyoshi"/>
    <n v="0"/>
  </r>
  <r>
    <s v="93886"/>
    <d v="2025-08-18T00:00:00"/>
    <x v="142"/>
    <x v="0"/>
    <s v="San Francisco"/>
    <n v="5574"/>
    <n v="0"/>
    <n v="5574"/>
    <n v="4176.6000000000004"/>
    <n v="1397.4"/>
    <n v="0.25069967999999998"/>
    <s v="Kimi Katsuyoshi,Melissa Avalos"/>
    <s v="Owen Cunningham"/>
    <s v="Kimi Katsuyoshi"/>
    <n v="1"/>
  </r>
  <r>
    <s v="91391"/>
    <d v="2025-08-20T00:00:00"/>
    <x v="142"/>
    <x v="0"/>
    <s v="San Francisco"/>
    <n v="0"/>
    <n v="0"/>
    <n v="0"/>
    <n v="91.42"/>
    <n v="-91.42"/>
    <n v="0"/>
    <s v="Kimi Katsuyoshi,Melissa Avalos"/>
    <s v="Owen Cunningham"/>
    <s v="Kimi Katsuyoshi"/>
    <n v="0"/>
  </r>
  <r>
    <s v="93773"/>
    <d v="2025-08-21T00:00:00"/>
    <x v="142"/>
    <x v="0"/>
    <s v="San Francisco"/>
    <n v="1375"/>
    <n v="0"/>
    <n v="1375"/>
    <n v="970.61"/>
    <n v="404.39"/>
    <n v="0.29410182000000001"/>
    <s v="Kimi Katsuyoshi,Melissa Avalos"/>
    <s v="Owen Cunningham"/>
    <s v="Kimi Katsuyoshi"/>
    <n v="1"/>
  </r>
  <r>
    <s v="93712"/>
    <d v="2025-08-15T00:00:00"/>
    <x v="143"/>
    <x v="16"/>
    <s v="San Francisco"/>
    <n v="1427.43"/>
    <n v="0"/>
    <n v="1427.43"/>
    <n v="1427.43"/>
    <n v="0"/>
    <n v="0"/>
    <s v="Anthony Pantaleoni"/>
    <s v="Jill Marsh"/>
    <s v="Anthony Pantaleoni"/>
    <n v="1"/>
  </r>
  <r>
    <s v="92634"/>
    <d v="2025-08-26T00:00:00"/>
    <x v="143"/>
    <x v="16"/>
    <s v="San Francisco"/>
    <n v="0"/>
    <n v="0"/>
    <n v="0"/>
    <n v="0.03"/>
    <n v="-0.03"/>
    <n v="0"/>
    <s v="Anthony Pantaleoni"/>
    <s v="Jill Marsh"/>
    <s v="Anthony Pantaleoni"/>
    <n v="0"/>
  </r>
  <r>
    <s v="92850"/>
    <d v="2025-08-07T00:00:00"/>
    <x v="144"/>
    <x v="5"/>
    <s v="San Francisco"/>
    <n v="8225.35"/>
    <n v="0"/>
    <n v="8225.35"/>
    <n v="6829.38"/>
    <n v="1395.97"/>
    <n v="0.16971557000000001"/>
    <s v="Josie Maitlen"/>
    <s v="Jill Marsh"/>
    <s v="Josie Maitlen"/>
    <n v="1"/>
  </r>
  <r>
    <s v="93241"/>
    <d v="2025-08-07T00:00:00"/>
    <x v="144"/>
    <x v="5"/>
    <s v="San Francisco"/>
    <n v="0"/>
    <n v="0"/>
    <n v="0"/>
    <n v="-4323.09"/>
    <n v="4323.09"/>
    <n v="0"/>
    <s v="Josie Maitlen"/>
    <s v="Jill Marsh"/>
    <s v="Josie Maitlen"/>
    <n v="0"/>
  </r>
  <r>
    <s v="91560"/>
    <d v="2025-08-08T00:00:00"/>
    <x v="144"/>
    <x v="5"/>
    <s v="San Francisco"/>
    <n v="0"/>
    <n v="0"/>
    <n v="0"/>
    <n v="4.9400000000000004"/>
    <n v="-4.9400000000000004"/>
    <n v="0"/>
    <s v="Josie Maitlen"/>
    <s v="Jill Marsh"/>
    <s v="Josie Maitlen"/>
    <n v="0"/>
  </r>
  <r>
    <s v="92850"/>
    <d v="2025-08-11T00:00:00"/>
    <x v="144"/>
    <x v="5"/>
    <s v="San Francisco"/>
    <n v="0"/>
    <n v="0"/>
    <n v="0"/>
    <n v="73.739999999999995"/>
    <n v="-73.739999999999995"/>
    <n v="0"/>
    <s v="Josie Maitlen"/>
    <s v="Jill Marsh"/>
    <s v="Josie Maitlen"/>
    <n v="0"/>
  </r>
  <r>
    <s v="92850"/>
    <d v="2025-08-13T00:00:00"/>
    <x v="144"/>
    <x v="5"/>
    <s v="San Francisco"/>
    <n v="0"/>
    <n v="53.03"/>
    <n v="53.03"/>
    <n v="82.44"/>
    <n v="-29.41"/>
    <n v="-0.55459174"/>
    <s v="Josie Maitlen"/>
    <s v="Jill Marsh"/>
    <s v="Josie Maitlen"/>
    <n v="0"/>
  </r>
  <r>
    <s v="93344"/>
    <d v="2025-08-21T00:00:00"/>
    <x v="144"/>
    <x v="5"/>
    <s v="San Francisco"/>
    <n v="10468.25"/>
    <n v="0"/>
    <n v="10468.25"/>
    <n v="7759.02"/>
    <n v="2709.23"/>
    <n v="0.25880448"/>
    <s v="Josie Maitlen"/>
    <s v="Jill Marsh"/>
    <s v="Josie Maitlen"/>
    <n v="1"/>
  </r>
  <r>
    <s v="90758"/>
    <d v="2025-08-01T00:00:00"/>
    <x v="144"/>
    <x v="5"/>
    <s v="San Francisco"/>
    <n v="0"/>
    <n v="0"/>
    <n v="0"/>
    <n v="31.5"/>
    <n v="-31.5"/>
    <n v="0"/>
    <s v="Josie Maitlen,Melissa Rokes"/>
    <s v="Jill Marsh"/>
    <s v="Josie Maitlen"/>
    <n v="0"/>
  </r>
  <r>
    <s v="89415"/>
    <d v="2025-08-25T00:00:00"/>
    <x v="144"/>
    <x v="5"/>
    <s v="San Francisco"/>
    <n v="0"/>
    <n v="0"/>
    <n v="0"/>
    <n v="1217.67"/>
    <n v="-1217.67"/>
    <n v="0"/>
    <s v="Josie Maitlen,Melissa Rokes"/>
    <s v="Jill Marsh"/>
    <s v="Josie Maitlen"/>
    <n v="0"/>
  </r>
  <r>
    <s v="86211"/>
    <d v="2025-08-28T00:00:00"/>
    <x v="144"/>
    <x v="5"/>
    <s v="San Francisco"/>
    <n v="0"/>
    <n v="3925.36"/>
    <n v="3925.36"/>
    <n v="3361.68"/>
    <n v="563.67999999999995"/>
    <n v="0.14359957000000001"/>
    <s v="Paul Razo"/>
    <s v="Jill Marsh"/>
    <s v="Paul Razo"/>
    <n v="0"/>
  </r>
  <r>
    <s v="94262"/>
    <d v="2025-08-28T00:00:00"/>
    <x v="144"/>
    <x v="10"/>
    <s v="Sacramento"/>
    <n v="74.2"/>
    <n v="0"/>
    <n v="74.2"/>
    <n v="74.2"/>
    <n v="0"/>
    <n v="0"/>
    <s v="Rayna Mitchell"/>
    <s v="Simon Sheppard"/>
    <s v="Rayna Mitchell"/>
    <n v="1"/>
  </r>
  <r>
    <s v="93758"/>
    <d v="2025-08-07T00:00:00"/>
    <x v="145"/>
    <x v="8"/>
    <s v="San Francisco"/>
    <n v="922700.95"/>
    <n v="0"/>
    <n v="922700.95"/>
    <n v="807819.15"/>
    <n v="114881.8"/>
    <n v="0.12450600000000001"/>
    <s v="Josie Maitlen,Torrey Carroll"/>
    <s v="Olivia Gorfain"/>
    <s v="Torrey Carroll"/>
    <n v="1"/>
  </r>
  <r>
    <s v="93758"/>
    <d v="2025-08-08T00:00:00"/>
    <x v="145"/>
    <x v="8"/>
    <s v="San Francisco"/>
    <n v="0"/>
    <n v="0"/>
    <n v="0"/>
    <n v="0"/>
    <n v="0"/>
    <n v="0"/>
    <s v="Josie Maitlen,Torrey Carroll"/>
    <s v="Olivia Gorfain"/>
    <s v="Torrey Carroll"/>
    <n v="0"/>
  </r>
  <r>
    <s v="93861"/>
    <d v="2025-08-09T00:00:00"/>
    <x v="145"/>
    <x v="8"/>
    <s v="San Francisco"/>
    <n v="1461527.12"/>
    <n v="0"/>
    <n v="1461527.12"/>
    <n v="1313268.3600000001"/>
    <n v="148258.76"/>
    <n v="0.10144098999999999"/>
    <s v="Josie Maitlen,Torrey Carroll"/>
    <s v="Olivia Gorfain"/>
    <s v="Torrey Carroll"/>
    <n v="1"/>
  </r>
  <r>
    <s v="93862"/>
    <d v="2025-08-09T00:00:00"/>
    <x v="145"/>
    <x v="8"/>
    <s v="San Francisco"/>
    <n v="847992.85"/>
    <n v="0"/>
    <n v="847992.85"/>
    <n v="761291.09"/>
    <n v="86701.759999999995"/>
    <n v="0.1022435"/>
    <s v="Josie Maitlen,Torrey Carroll"/>
    <s v="Olivia Gorfain"/>
    <s v="Torrey Carroll"/>
    <n v="1"/>
  </r>
  <r>
    <s v="93910"/>
    <d v="2025-08-09T00:00:00"/>
    <x v="145"/>
    <x v="8"/>
    <s v="San Francisco"/>
    <n v="600551.06000000006"/>
    <n v="0"/>
    <n v="600551.06000000006"/>
    <n v="540262.75"/>
    <n v="60288.31"/>
    <n v="0.10038832"/>
    <s v="Josie Maitlen,Torrey Carroll"/>
    <s v="Olivia Gorfain"/>
    <s v="Torrey Carroll"/>
    <n v="1"/>
  </r>
  <r>
    <s v="93758"/>
    <d v="2025-08-11T00:00:00"/>
    <x v="145"/>
    <x v="8"/>
    <s v="San Francisco"/>
    <n v="0"/>
    <n v="0"/>
    <n v="0"/>
    <n v="94"/>
    <n v="-94"/>
    <n v="0"/>
    <s v="Josie Maitlen,Torrey Carroll"/>
    <s v="Olivia Gorfain"/>
    <s v="Torrey Carroll"/>
    <n v="0"/>
  </r>
  <r>
    <s v="93758"/>
    <d v="2025-08-12T00:00:00"/>
    <x v="145"/>
    <x v="8"/>
    <s v="San Francisco"/>
    <n v="0"/>
    <n v="0"/>
    <n v="0"/>
    <n v="-3588.25"/>
    <n v="3588.25"/>
    <n v="0"/>
    <s v="Josie Maitlen,Torrey Carroll"/>
    <s v="Olivia Gorfain"/>
    <s v="Torrey Carroll"/>
    <n v="0"/>
  </r>
  <r>
    <s v="93861"/>
    <d v="2025-08-12T00:00:00"/>
    <x v="145"/>
    <x v="8"/>
    <s v="San Francisco"/>
    <n v="0"/>
    <n v="0"/>
    <n v="0"/>
    <n v="763.85"/>
    <n v="-763.85"/>
    <n v="0"/>
    <s v="Josie Maitlen,Torrey Carroll"/>
    <s v="Olivia Gorfain"/>
    <s v="Torrey Carroll"/>
    <n v="0"/>
  </r>
  <r>
    <s v="93862"/>
    <d v="2025-08-12T00:00:00"/>
    <x v="145"/>
    <x v="8"/>
    <s v="San Francisco"/>
    <n v="0"/>
    <n v="0"/>
    <n v="0"/>
    <n v="-481.99"/>
    <n v="481.99"/>
    <n v="0"/>
    <s v="Josie Maitlen,Torrey Carroll"/>
    <s v="Olivia Gorfain"/>
    <s v="Torrey Carroll"/>
    <n v="0"/>
  </r>
  <r>
    <s v="93758"/>
    <d v="2025-08-13T00:00:00"/>
    <x v="145"/>
    <x v="8"/>
    <s v="San Francisco"/>
    <n v="0"/>
    <n v="0"/>
    <n v="0"/>
    <n v="-331.77"/>
    <n v="331.77"/>
    <n v="0"/>
    <s v="Josie Maitlen,Torrey Carroll"/>
    <s v="Olivia Gorfain"/>
    <s v="Torrey Carroll"/>
    <n v="0"/>
  </r>
  <r>
    <s v="93861"/>
    <d v="2025-08-15T00:00:00"/>
    <x v="145"/>
    <x v="8"/>
    <s v="San Francisco"/>
    <n v="0"/>
    <n v="0"/>
    <n v="0"/>
    <n v="0.06"/>
    <n v="-0.06"/>
    <n v="0"/>
    <s v="Josie Maitlen,Torrey Carroll"/>
    <s v="Olivia Gorfain"/>
    <s v="Torrey Carroll"/>
    <n v="0"/>
  </r>
  <r>
    <s v="93950"/>
    <d v="2025-08-15T00:00:00"/>
    <x v="145"/>
    <x v="8"/>
    <s v="San Francisco"/>
    <n v="377780"/>
    <n v="0"/>
    <n v="377780"/>
    <n v="324148.93"/>
    <n v="53631.07"/>
    <n v="0.14196375999999999"/>
    <s v="Josie Maitlen,Torrey Carroll"/>
    <s v="Olivia Gorfain"/>
    <s v="Torrey Carroll"/>
    <n v="1"/>
  </r>
  <r>
    <s v="93910"/>
    <d v="2025-08-16T00:00:00"/>
    <x v="145"/>
    <x v="8"/>
    <s v="San Francisco"/>
    <n v="0"/>
    <n v="0"/>
    <n v="0"/>
    <n v="-472.92"/>
    <n v="472.92"/>
    <n v="0"/>
    <s v="Josie Maitlen,Torrey Carroll"/>
    <s v="Olivia Gorfain"/>
    <s v="Torrey Carroll"/>
    <n v="0"/>
  </r>
  <r>
    <s v="93758"/>
    <d v="2025-08-18T00:00:00"/>
    <x v="145"/>
    <x v="8"/>
    <s v="San Francisco"/>
    <n v="0"/>
    <n v="0"/>
    <n v="0"/>
    <n v="1243"/>
    <n v="-1243"/>
    <n v="0"/>
    <s v="Josie Maitlen,Torrey Carroll"/>
    <s v="Olivia Gorfain"/>
    <s v="Torrey Carroll"/>
    <n v="0"/>
  </r>
  <r>
    <s v="93950"/>
    <d v="2025-08-21T00:00:00"/>
    <x v="145"/>
    <x v="8"/>
    <s v="San Francisco"/>
    <n v="0"/>
    <n v="0"/>
    <n v="0"/>
    <n v="-135.97999999999999"/>
    <n v="135.97999999999999"/>
    <n v="0"/>
    <s v="Josie Maitlen,Torrey Carroll"/>
    <s v="Olivia Gorfain"/>
    <s v="Torrey Carroll"/>
    <n v="0"/>
  </r>
  <r>
    <s v="93758"/>
    <d v="2025-08-22T00:00:00"/>
    <x v="145"/>
    <x v="8"/>
    <s v="San Francisco"/>
    <n v="0"/>
    <n v="-2139.96"/>
    <n v="-2139.96"/>
    <n v="-5991.89"/>
    <n v="3851.93"/>
    <n v="-1.8000009299999999"/>
    <s v="Josie Maitlen,Torrey Carroll"/>
    <s v="Olivia Gorfain"/>
    <s v="Torrey Carroll"/>
    <n v="0"/>
  </r>
  <r>
    <s v="90066"/>
    <d v="2025-08-05T00:00:00"/>
    <x v="146"/>
    <x v="6"/>
    <s v="San Jose"/>
    <n v="0"/>
    <n v="0"/>
    <n v="0"/>
    <n v="764.34"/>
    <n v="-764.34"/>
    <n v="0"/>
    <s v="Genesis Rita"/>
    <s v="Kate Ingelstrom"/>
    <s v="Genesis Rita"/>
    <n v="0"/>
  </r>
  <r>
    <s v="93756"/>
    <d v="2025-08-12T00:00:00"/>
    <x v="146"/>
    <x v="6"/>
    <s v="San Jose"/>
    <n v="0"/>
    <n v="67.92"/>
    <n v="67.92"/>
    <n v="50.93"/>
    <n v="16.989999999999998"/>
    <n v="0.25014723"/>
    <s v="Genesis Rita"/>
    <s v="Kate Ingelstrom"/>
    <s v="Genesis Rita"/>
    <n v="0"/>
  </r>
  <r>
    <s v="90066"/>
    <d v="2025-08-14T00:00:00"/>
    <x v="146"/>
    <x v="6"/>
    <s v="San Jose"/>
    <n v="0"/>
    <n v="0"/>
    <n v="0"/>
    <n v="1588.28"/>
    <n v="-1588.28"/>
    <n v="0"/>
    <s v="Genesis Rita"/>
    <s v="Kate Ingelstrom"/>
    <s v="Genesis Rita"/>
    <n v="0"/>
  </r>
  <r>
    <s v="93837"/>
    <d v="2025-08-18T00:00:00"/>
    <x v="146"/>
    <x v="6"/>
    <s v="San Jose"/>
    <n v="6750.92"/>
    <n v="0"/>
    <n v="6750.92"/>
    <n v="4690.4399999999996"/>
    <n v="2060.48"/>
    <n v="0.30521470000000001"/>
    <s v="Genesis Rita"/>
    <s v="Kate Ingelstrom"/>
    <s v="Genesis Rita"/>
    <n v="1"/>
  </r>
  <r>
    <s v="94061"/>
    <d v="2025-08-19T00:00:00"/>
    <x v="146"/>
    <x v="6"/>
    <s v="San Jose"/>
    <n v="12904.52"/>
    <n v="0"/>
    <n v="12904.52"/>
    <n v="8593.48"/>
    <n v="4311.04"/>
    <n v="0.33407208999999999"/>
    <s v="Genesis Rita"/>
    <s v="Kate Ingelstrom"/>
    <s v="Genesis Rita"/>
    <n v="1"/>
  </r>
  <r>
    <s v="93837"/>
    <d v="2025-08-20T00:00:00"/>
    <x v="146"/>
    <x v="6"/>
    <s v="San Jose"/>
    <n v="0"/>
    <n v="33.96"/>
    <n v="33.96"/>
    <n v="25.47"/>
    <n v="8.49"/>
    <n v="0.25"/>
    <s v="Genesis Rita"/>
    <s v="Kate Ingelstrom"/>
    <s v="Genesis Rita"/>
    <n v="0"/>
  </r>
  <r>
    <s v="94061"/>
    <d v="2025-08-22T00:00:00"/>
    <x v="146"/>
    <x v="6"/>
    <s v="San Jose"/>
    <n v="298"/>
    <n v="-298"/>
    <n v="0"/>
    <n v="-25.84"/>
    <n v="25.84"/>
    <n v="0"/>
    <s v="Genesis Rita"/>
    <s v="Kate Ingelstrom"/>
    <s v="Genesis Rita"/>
    <n v="1"/>
  </r>
  <r>
    <s v="94061"/>
    <d v="2025-08-24T00:00:00"/>
    <x v="146"/>
    <x v="6"/>
    <s v="San Jose"/>
    <n v="0"/>
    <n v="342.31"/>
    <n v="342.31"/>
    <n v="256.73"/>
    <n v="85.58"/>
    <n v="0.25000729999999999"/>
    <s v="Genesis Rita"/>
    <s v="Kate Ingelstrom"/>
    <s v="Genesis Rita"/>
    <n v="0"/>
  </r>
  <r>
    <s v="93837"/>
    <d v="2025-08-25T00:00:00"/>
    <x v="146"/>
    <x v="6"/>
    <s v="San Jose"/>
    <n v="0"/>
    <n v="0"/>
    <n v="0"/>
    <n v="214.94"/>
    <n v="-214.94"/>
    <n v="0"/>
    <s v="Genesis Rita"/>
    <s v="Kate Ingelstrom"/>
    <s v="Genesis Rita"/>
    <n v="0"/>
  </r>
  <r>
    <s v="91126"/>
    <d v="2025-08-01T00:00:00"/>
    <x v="147"/>
    <x v="8"/>
    <s v="San Francisco"/>
    <n v="0"/>
    <n v="0"/>
    <n v="0"/>
    <n v="0"/>
    <n v="0"/>
    <n v="0"/>
    <s v="Anthony Pantaleoni"/>
    <s v="Olivia Gorfain"/>
    <s v="Anthony Pantaleoni"/>
    <n v="0"/>
  </r>
  <r>
    <s v="91126"/>
    <d v="2025-08-04T00:00:00"/>
    <x v="147"/>
    <x v="8"/>
    <s v="San Francisco"/>
    <n v="0"/>
    <n v="0"/>
    <n v="0"/>
    <n v="-3.15"/>
    <n v="3.15"/>
    <n v="0"/>
    <s v="Anthony Pantaleoni"/>
    <s v="Olivia Gorfain"/>
    <s v="Anthony Pantaleoni"/>
    <n v="0"/>
  </r>
  <r>
    <s v="91126"/>
    <d v="2025-08-05T00:00:00"/>
    <x v="147"/>
    <x v="8"/>
    <s v="San Francisco"/>
    <n v="0"/>
    <n v="0"/>
    <n v="0"/>
    <n v="-0.01"/>
    <n v="0.01"/>
    <n v="0"/>
    <s v="Anthony Pantaleoni"/>
    <s v="Olivia Gorfain"/>
    <s v="Anthony Pantaleoni"/>
    <n v="0"/>
  </r>
  <r>
    <s v="91126"/>
    <d v="2025-08-07T00:00:00"/>
    <x v="147"/>
    <x v="8"/>
    <s v="San Francisco"/>
    <n v="0"/>
    <n v="0"/>
    <n v="0"/>
    <n v="-18.600000000000001"/>
    <n v="18.600000000000001"/>
    <n v="0"/>
    <s v="Anthony Pantaleoni"/>
    <s v="Olivia Gorfain"/>
    <s v="Anthony Pantaleoni"/>
    <n v="0"/>
  </r>
  <r>
    <s v="91126"/>
    <d v="2025-08-08T00:00:00"/>
    <x v="147"/>
    <x v="8"/>
    <s v="San Francisco"/>
    <n v="0"/>
    <n v="0"/>
    <n v="0"/>
    <n v="-365.38"/>
    <n v="365.38"/>
    <n v="0"/>
    <s v="Anthony Pantaleoni"/>
    <s v="Olivia Gorfain"/>
    <s v="Anthony Pantaleoni"/>
    <n v="0"/>
  </r>
  <r>
    <s v="91126"/>
    <d v="2025-08-09T00:00:00"/>
    <x v="147"/>
    <x v="8"/>
    <s v="San Francisco"/>
    <n v="0"/>
    <n v="0"/>
    <n v="0"/>
    <n v="-26.93"/>
    <n v="26.93"/>
    <n v="0"/>
    <s v="Anthony Pantaleoni"/>
    <s v="Olivia Gorfain"/>
    <s v="Anthony Pantaleoni"/>
    <n v="0"/>
  </r>
  <r>
    <s v="91126"/>
    <d v="2025-08-14T00:00:00"/>
    <x v="147"/>
    <x v="8"/>
    <s v="San Francisco"/>
    <n v="0"/>
    <n v="0"/>
    <n v="0"/>
    <n v="-1255.78"/>
    <n v="1255.78"/>
    <n v="0"/>
    <s v="Anthony Pantaleoni"/>
    <s v="Olivia Gorfain"/>
    <s v="Anthony Pantaleoni"/>
    <n v="0"/>
  </r>
  <r>
    <s v="91126"/>
    <d v="2025-08-21T00:00:00"/>
    <x v="147"/>
    <x v="8"/>
    <s v="San Francisco"/>
    <n v="0"/>
    <n v="0"/>
    <n v="0"/>
    <n v="399"/>
    <n v="-399"/>
    <n v="0"/>
    <s v="Anthony Pantaleoni"/>
    <s v="Olivia Gorfain"/>
    <s v="Anthony Pantaleoni"/>
    <n v="0"/>
  </r>
  <r>
    <s v="91126"/>
    <d v="2025-08-26T00:00:00"/>
    <x v="147"/>
    <x v="8"/>
    <s v="San Francisco"/>
    <n v="0"/>
    <n v="0"/>
    <n v="0"/>
    <n v="-7.0000000000000007E-2"/>
    <n v="7.0000000000000007E-2"/>
    <n v="0"/>
    <s v="Anthony Pantaleoni"/>
    <s v="Olivia Gorfain"/>
    <s v="Anthony Pantaleoni"/>
    <n v="0"/>
  </r>
  <r>
    <s v="91126"/>
    <d v="2025-08-29T00:00:00"/>
    <x v="147"/>
    <x v="8"/>
    <s v="San Francisco"/>
    <n v="0"/>
    <n v="0"/>
    <n v="0"/>
    <n v="-2154.59"/>
    <n v="2154.59"/>
    <n v="0"/>
    <s v="Anthony Pantaleoni"/>
    <s v="Olivia Gorfain"/>
    <s v="Anthony Pantaleoni"/>
    <n v="0"/>
  </r>
  <r>
    <s v="90253"/>
    <d v="2025-08-29T00:00:00"/>
    <x v="147"/>
    <x v="8"/>
    <s v="San Francisco"/>
    <n v="3494718.72"/>
    <n v="0"/>
    <n v="3494718.72"/>
    <n v="2821110.1"/>
    <n v="673608.62"/>
    <n v="0.19275044999999999"/>
    <s v="Anthony Pantaleoni"/>
    <s v="Olivia Gorfain"/>
    <s v="Anthony Pantaleoni"/>
    <n v="1"/>
  </r>
  <r>
    <s v="94014"/>
    <d v="2025-08-27T00:00:00"/>
    <x v="148"/>
    <x v="16"/>
    <s v="San Francisco"/>
    <n v="3578.73"/>
    <n v="0"/>
    <n v="3578.73"/>
    <n v="3041.91"/>
    <n v="536.82000000000005"/>
    <n v="0.15000293000000001"/>
    <s v="Matt Denning"/>
    <s v="Jill Marsh"/>
    <s v="Other"/>
    <n v="1"/>
  </r>
  <r>
    <s v="89501"/>
    <d v="2025-08-04T00:00:00"/>
    <x v="149"/>
    <x v="3"/>
    <s v="San Jose"/>
    <n v="0"/>
    <n v="0"/>
    <n v="0"/>
    <n v="3053.02"/>
    <n v="-3053.02"/>
    <n v="0"/>
    <s v="Mary Sparacino"/>
    <s v="Chris Cicisly"/>
    <s v="Mary Sparacino"/>
    <n v="0"/>
  </r>
  <r>
    <s v="93587"/>
    <d v="2025-08-06T00:00:00"/>
    <x v="150"/>
    <x v="5"/>
    <s v="San Francisco"/>
    <n v="11922"/>
    <n v="0"/>
    <n v="11922"/>
    <n v="9117.7000000000007"/>
    <n v="2804.3"/>
    <n v="0.2352206"/>
    <s v="Patty Medina"/>
    <s v="Jill Marsh"/>
    <s v="Patty Medina"/>
    <n v="1"/>
  </r>
  <r>
    <s v="91941"/>
    <d v="2025-08-13T00:00:00"/>
    <x v="151"/>
    <x v="5"/>
    <s v="San Francisco"/>
    <n v="0"/>
    <n v="0"/>
    <n v="0"/>
    <n v="11.75"/>
    <n v="-11.75"/>
    <n v="0"/>
    <s v="Patty Medina"/>
    <s v="Jill Marsh"/>
    <s v="Patty Medina"/>
    <n v="0"/>
  </r>
  <r>
    <s v="94074"/>
    <d v="2025-08-21T00:00:00"/>
    <x v="152"/>
    <x v="5"/>
    <s v="San Francisco"/>
    <n v="420"/>
    <n v="0"/>
    <n v="420"/>
    <n v="189"/>
    <n v="231"/>
    <n v="0.55000000000000004"/>
    <s v="Patty Medina"/>
    <s v="Jill Marsh"/>
    <s v="Patty Medina"/>
    <n v="1"/>
  </r>
  <r>
    <s v="94074"/>
    <d v="2025-08-29T00:00:00"/>
    <x v="152"/>
    <x v="5"/>
    <s v="San Francisco"/>
    <n v="0"/>
    <n v="0"/>
    <n v="0"/>
    <n v="12.6"/>
    <n v="-12.6"/>
    <n v="0"/>
    <s v="Patty Medina"/>
    <s v="Jill Marsh"/>
    <s v="Patty Medina"/>
    <n v="0"/>
  </r>
  <r>
    <s v="94011"/>
    <d v="2025-08-14T00:00:00"/>
    <x v="153"/>
    <x v="5"/>
    <s v="San Francisco"/>
    <n v="161"/>
    <n v="0"/>
    <n v="161"/>
    <n v="147.06"/>
    <n v="13.94"/>
    <n v="8.6583850000000004E-2"/>
    <s v="Lindsay Hanief"/>
    <s v="Jill Marsh"/>
    <s v="Lindsay Hanief"/>
    <n v="1"/>
  </r>
  <r>
    <s v="90598"/>
    <d v="2025-08-25T00:00:00"/>
    <x v="153"/>
    <x v="5"/>
    <s v="San Francisco"/>
    <n v="0"/>
    <n v="0"/>
    <n v="0"/>
    <n v="294.13"/>
    <n v="-294.13"/>
    <n v="0"/>
    <s v="Lindsay Hanief"/>
    <s v="Jill Marsh"/>
    <s v="Lindsay Hanief"/>
    <n v="0"/>
  </r>
  <r>
    <s v="93547"/>
    <d v="2025-08-04T00:00:00"/>
    <x v="154"/>
    <x v="5"/>
    <s v="San Francisco"/>
    <n v="17044.77"/>
    <n v="0"/>
    <n v="17044.77"/>
    <n v="13861.25"/>
    <n v="3183.52"/>
    <n v="0.18677400999999999"/>
    <s v="Lindsay Hanief"/>
    <s v="Jill Marsh"/>
    <s v="Lindsay Hanief"/>
    <n v="1"/>
  </r>
  <r>
    <s v="93547"/>
    <d v="2025-08-06T00:00:00"/>
    <x v="154"/>
    <x v="5"/>
    <s v="San Francisco"/>
    <n v="0"/>
    <n v="0"/>
    <n v="0"/>
    <n v="-458.09"/>
    <n v="458.09"/>
    <n v="0"/>
    <s v="Lindsay Hanief"/>
    <s v="Jill Marsh"/>
    <s v="Lindsay Hanief"/>
    <n v="0"/>
  </r>
  <r>
    <s v="93411"/>
    <d v="2025-08-13T00:00:00"/>
    <x v="154"/>
    <x v="5"/>
    <s v="San Francisco"/>
    <n v="6768.46"/>
    <n v="0"/>
    <n v="6768.46"/>
    <n v="5240.6000000000004"/>
    <n v="1527.86"/>
    <n v="0.22573229"/>
    <s v="Lindsay Hanief"/>
    <s v="Jill Marsh"/>
    <s v="Lindsay Hanief"/>
    <n v="1"/>
  </r>
  <r>
    <s v="93649"/>
    <d v="2025-08-14T00:00:00"/>
    <x v="154"/>
    <x v="5"/>
    <s v="San Francisco"/>
    <n v="5554.22"/>
    <n v="0"/>
    <n v="5554.22"/>
    <n v="4389.9799999999996"/>
    <n v="1164.24"/>
    <n v="0.20961358999999999"/>
    <s v="Lindsay Hanief"/>
    <s v="Jill Marsh"/>
    <s v="Lindsay Hanief"/>
    <n v="1"/>
  </r>
  <r>
    <s v="92936"/>
    <d v="2025-08-25T00:00:00"/>
    <x v="154"/>
    <x v="5"/>
    <s v="San Francisco"/>
    <n v="76800.09"/>
    <n v="0"/>
    <n v="76800.09"/>
    <n v="58529.1"/>
    <n v="18270.990000000002"/>
    <n v="0.23790323999999999"/>
    <s v="Lindsay Hanief"/>
    <s v="Jill Marsh"/>
    <s v="Lindsay Hanief"/>
    <n v="1"/>
  </r>
  <r>
    <s v="92936"/>
    <d v="2025-08-28T00:00:00"/>
    <x v="154"/>
    <x v="5"/>
    <s v="San Francisco"/>
    <n v="0"/>
    <n v="0"/>
    <n v="0"/>
    <n v="561.70000000000005"/>
    <n v="-561.70000000000005"/>
    <n v="0"/>
    <s v="Lindsay Hanief"/>
    <s v="Jill Marsh"/>
    <s v="Lindsay Hanief"/>
    <n v="0"/>
  </r>
  <r>
    <s v="92936"/>
    <d v="2025-08-29T00:00:00"/>
    <x v="154"/>
    <x v="5"/>
    <s v="San Francisco"/>
    <n v="0"/>
    <n v="0"/>
    <n v="0"/>
    <n v="1045.6600000000001"/>
    <n v="-1045.6600000000001"/>
    <n v="0"/>
    <s v="Lindsay Hanief"/>
    <s v="Jill Marsh"/>
    <s v="Lindsay Hanief"/>
    <n v="0"/>
  </r>
  <r>
    <s v="93547"/>
    <d v="2025-08-30T00:00:00"/>
    <x v="154"/>
    <x v="5"/>
    <s v="San Francisco"/>
    <n v="0"/>
    <n v="0"/>
    <n v="0"/>
    <n v="42.5"/>
    <n v="-42.5"/>
    <n v="0"/>
    <s v="Lindsay Hanief"/>
    <s v="Jill Marsh"/>
    <s v="Lindsay Hanief"/>
    <n v="0"/>
  </r>
  <r>
    <s v="90222"/>
    <d v="2025-08-21T00:00:00"/>
    <x v="154"/>
    <x v="5"/>
    <s v="San Francisco"/>
    <n v="0"/>
    <n v="0"/>
    <n v="0"/>
    <n v="75"/>
    <n v="-75"/>
    <n v="0"/>
    <s v="Melissa Rokes,Patty Medina"/>
    <s v="Jill Marsh"/>
    <s v="Melissa Rokes"/>
    <n v="0"/>
  </r>
  <r>
    <s v="90068"/>
    <d v="2025-08-04T00:00:00"/>
    <x v="154"/>
    <x v="5"/>
    <s v="San Francisco"/>
    <n v="0"/>
    <n v="0"/>
    <n v="0"/>
    <n v="24.93"/>
    <n v="-24.93"/>
    <n v="0"/>
    <s v="Patty Medina"/>
    <s v="Jill Marsh"/>
    <s v="Patty Medina"/>
    <n v="0"/>
  </r>
  <r>
    <s v="92866"/>
    <d v="2025-08-05T00:00:00"/>
    <x v="154"/>
    <x v="5"/>
    <s v="San Francisco"/>
    <n v="0"/>
    <n v="0"/>
    <n v="0"/>
    <n v="271.2"/>
    <n v="-271.2"/>
    <n v="0"/>
    <s v="Patty Medina"/>
    <s v="Jill Marsh"/>
    <s v="Patty Medina"/>
    <n v="0"/>
  </r>
  <r>
    <s v="91988"/>
    <d v="2025-08-06T00:00:00"/>
    <x v="154"/>
    <x v="5"/>
    <s v="San Francisco"/>
    <n v="0"/>
    <n v="0"/>
    <n v="0"/>
    <n v="529.42999999999995"/>
    <n v="-529.42999999999995"/>
    <n v="0"/>
    <s v="Patty Medina"/>
    <s v="Jill Marsh"/>
    <s v="Patty Medina"/>
    <n v="0"/>
  </r>
  <r>
    <s v="88211"/>
    <d v="2025-08-07T00:00:00"/>
    <x v="154"/>
    <x v="5"/>
    <s v="San Francisco"/>
    <n v="0"/>
    <n v="0"/>
    <n v="0"/>
    <n v="3476.56"/>
    <n v="-3476.56"/>
    <n v="0"/>
    <s v="Patty Medina"/>
    <s v="Jill Marsh"/>
    <s v="Patty Medina"/>
    <n v="0"/>
  </r>
  <r>
    <s v="91980"/>
    <d v="2025-08-07T00:00:00"/>
    <x v="154"/>
    <x v="5"/>
    <s v="San Francisco"/>
    <n v="0"/>
    <n v="0"/>
    <n v="0"/>
    <n v="3215.52"/>
    <n v="-3215.52"/>
    <n v="0"/>
    <s v="Patty Medina"/>
    <s v="Jill Marsh"/>
    <s v="Patty Medina"/>
    <n v="0"/>
  </r>
  <r>
    <s v="92866"/>
    <d v="2025-08-07T00:00:00"/>
    <x v="154"/>
    <x v="5"/>
    <s v="San Francisco"/>
    <n v="0"/>
    <n v="0"/>
    <n v="0"/>
    <n v="-0.99"/>
    <n v="0.99"/>
    <n v="0"/>
    <s v="Patty Medina"/>
    <s v="Jill Marsh"/>
    <s v="Patty Medina"/>
    <n v="0"/>
  </r>
  <r>
    <s v="93939"/>
    <d v="2025-08-07T00:00:00"/>
    <x v="154"/>
    <x v="5"/>
    <s v="San Francisco"/>
    <n v="0"/>
    <n v="0"/>
    <n v="0"/>
    <n v="978.12"/>
    <n v="-978.12"/>
    <n v="0"/>
    <s v="Patty Medina"/>
    <s v="Jill Marsh"/>
    <s v="Patty Medina"/>
    <n v="0"/>
  </r>
  <r>
    <s v="91854"/>
    <d v="2025-08-12T00:00:00"/>
    <x v="154"/>
    <x v="5"/>
    <s v="San Francisco"/>
    <n v="0"/>
    <n v="0"/>
    <n v="0"/>
    <n v="-2817.72"/>
    <n v="2817.72"/>
    <n v="0"/>
    <s v="Patty Medina"/>
    <s v="Jill Marsh"/>
    <s v="Patty Medina"/>
    <n v="0"/>
  </r>
  <r>
    <s v="93947"/>
    <d v="2025-08-12T00:00:00"/>
    <x v="154"/>
    <x v="5"/>
    <s v="San Francisco"/>
    <n v="2800"/>
    <n v="0"/>
    <n v="2800"/>
    <n v="3294.2"/>
    <n v="-494.2"/>
    <n v="-0.17649999999999999"/>
    <s v="Patty Medina"/>
    <s v="Jill Marsh"/>
    <s v="Patty Medina"/>
    <n v="1"/>
  </r>
  <r>
    <s v="93737"/>
    <d v="2025-08-13T00:00:00"/>
    <x v="154"/>
    <x v="5"/>
    <s v="San Francisco"/>
    <n v="425"/>
    <n v="0"/>
    <n v="425"/>
    <n v="500.01"/>
    <n v="-75.010000000000005"/>
    <n v="-0.17649412"/>
    <s v="Patty Medina"/>
    <s v="Jill Marsh"/>
    <s v="Patty Medina"/>
    <n v="1"/>
  </r>
  <r>
    <s v="93815"/>
    <d v="2025-08-14T00:00:00"/>
    <x v="154"/>
    <x v="5"/>
    <s v="San Francisco"/>
    <n v="16055"/>
    <n v="0"/>
    <n v="16055"/>
    <n v="12189.09"/>
    <n v="3865.91"/>
    <n v="0.24079165"/>
    <s v="Patty Medina"/>
    <s v="Jill Marsh"/>
    <s v="Patty Medina"/>
    <n v="1"/>
  </r>
  <r>
    <s v="91854"/>
    <d v="2025-08-14T00:00:00"/>
    <x v="154"/>
    <x v="5"/>
    <s v="San Francisco"/>
    <n v="0"/>
    <n v="0"/>
    <n v="0"/>
    <n v="469.62"/>
    <n v="-469.62"/>
    <n v="0"/>
    <s v="Patty Medina"/>
    <s v="Jill Marsh"/>
    <s v="Patty Medina"/>
    <n v="0"/>
  </r>
  <r>
    <s v="91854"/>
    <d v="2025-08-15T00:00:00"/>
    <x v="154"/>
    <x v="5"/>
    <s v="San Francisco"/>
    <n v="0"/>
    <n v="0"/>
    <n v="0"/>
    <n v="2348.1"/>
    <n v="-2348.1"/>
    <n v="0"/>
    <s v="Patty Medina"/>
    <s v="Jill Marsh"/>
    <s v="Patty Medina"/>
    <n v="0"/>
  </r>
  <r>
    <s v="92578"/>
    <d v="2025-08-19T00:00:00"/>
    <x v="154"/>
    <x v="5"/>
    <s v="San Francisco"/>
    <n v="0"/>
    <n v="0"/>
    <n v="0"/>
    <n v="335"/>
    <n v="-335"/>
    <n v="0"/>
    <s v="Patty Medina"/>
    <s v="Jill Marsh"/>
    <s v="Patty Medina"/>
    <n v="0"/>
  </r>
  <r>
    <s v="92866"/>
    <d v="2025-08-19T00:00:00"/>
    <x v="154"/>
    <x v="5"/>
    <s v="San Francisco"/>
    <n v="0"/>
    <n v="0"/>
    <n v="0"/>
    <n v="596.36"/>
    <n v="-596.36"/>
    <n v="0"/>
    <s v="Patty Medina"/>
    <s v="Jill Marsh"/>
    <s v="Patty Medina"/>
    <n v="0"/>
  </r>
  <r>
    <s v="92866"/>
    <d v="2025-08-27T00:00:00"/>
    <x v="154"/>
    <x v="5"/>
    <s v="San Francisco"/>
    <n v="0"/>
    <n v="0"/>
    <n v="0"/>
    <n v="-73.14"/>
    <n v="73.14"/>
    <n v="0"/>
    <s v="Patty Medina"/>
    <s v="Jill Marsh"/>
    <s v="Patty Medina"/>
    <n v="0"/>
  </r>
  <r>
    <s v="92405"/>
    <d v="2025-08-25T00:00:00"/>
    <x v="155"/>
    <x v="13"/>
    <s v="Sacramento"/>
    <n v="63974.83"/>
    <n v="0"/>
    <n v="63974.83"/>
    <n v="53420.72"/>
    <n v="10554.11"/>
    <n v="0.16497285"/>
    <s v="Rayna Mitchell"/>
    <s v="Alex Blangeres"/>
    <s v="Rayna Mitchell"/>
    <n v="1"/>
  </r>
  <r>
    <s v="92405"/>
    <d v="2025-08-29T00:00:00"/>
    <x v="155"/>
    <x v="13"/>
    <s v="Sacramento"/>
    <n v="0"/>
    <n v="0"/>
    <n v="0"/>
    <n v="24.13"/>
    <n v="-24.13"/>
    <n v="0"/>
    <s v="Rayna Mitchell"/>
    <s v="Alex Blangeres"/>
    <s v="Rayna Mitchell"/>
    <n v="0"/>
  </r>
  <r>
    <s v="91258"/>
    <d v="2025-08-26T00:00:00"/>
    <x v="156"/>
    <x v="10"/>
    <s v="Sacramento"/>
    <n v="0"/>
    <n v="0"/>
    <n v="0"/>
    <n v="750"/>
    <n v="-750"/>
    <n v="0"/>
    <s v="Farrah Race"/>
    <s v="Simon Sheppard"/>
    <s v="Farrah Race"/>
    <n v="0"/>
  </r>
  <r>
    <s v="93931"/>
    <d v="2025-08-14T00:00:00"/>
    <x v="157"/>
    <x v="6"/>
    <s v="San Jose"/>
    <n v="9633.56"/>
    <n v="0"/>
    <n v="9633.56"/>
    <n v="7706.47"/>
    <n v="1927.09"/>
    <n v="0.20003924000000001"/>
    <s v="Casey Fleming"/>
    <s v="Kate Ingelstrom"/>
    <s v="Casey Fleming"/>
    <n v="1"/>
  </r>
  <r>
    <s v="93986"/>
    <d v="2025-08-19T00:00:00"/>
    <x v="158"/>
    <x v="22"/>
    <s v="Sacramento"/>
    <n v="1594.3"/>
    <n v="0"/>
    <n v="1594.3"/>
    <n v="1328.77"/>
    <n v="265.52999999999997"/>
    <n v="0.16654958"/>
    <s v="Rayna Mitchell"/>
    <s v="Krissa Collins"/>
    <s v="Rayna Mitchell"/>
    <n v="1"/>
  </r>
  <r>
    <s v="93986"/>
    <d v="2025-08-25T00:00:00"/>
    <x v="158"/>
    <x v="22"/>
    <s v="Sacramento"/>
    <n v="0"/>
    <n v="0"/>
    <n v="0"/>
    <n v="-32.590000000000003"/>
    <n v="32.590000000000003"/>
    <n v="0"/>
    <s v="Rayna Mitchell"/>
    <s v="Krissa Collins"/>
    <s v="Rayna Mitchell"/>
    <n v="0"/>
  </r>
  <r>
    <s v="93986"/>
    <d v="2025-08-26T00:00:00"/>
    <x v="158"/>
    <x v="22"/>
    <s v="Sacramento"/>
    <n v="0"/>
    <n v="0"/>
    <n v="0"/>
    <n v="21.5"/>
    <n v="-21.5"/>
    <n v="0"/>
    <s v="Rayna Mitchell"/>
    <s v="Krissa Collins"/>
    <s v="Rayna Mitchell"/>
    <n v="0"/>
  </r>
  <r>
    <s v="92704"/>
    <d v="2025-08-06T00:00:00"/>
    <x v="159"/>
    <x v="3"/>
    <s v="San Jose"/>
    <n v="4233"/>
    <n v="0"/>
    <n v="4233"/>
    <n v="3613.97"/>
    <n v="619.03"/>
    <n v="0.14623907"/>
    <s v="Mary Sparacino"/>
    <s v="Chris Cicisly"/>
    <s v="Mary Sparacino"/>
    <n v="1"/>
  </r>
  <r>
    <s v="92704"/>
    <d v="2025-08-07T00:00:00"/>
    <x v="159"/>
    <x v="3"/>
    <s v="San Jose"/>
    <n v="0"/>
    <n v="0"/>
    <n v="0"/>
    <n v="1.6"/>
    <n v="-1.6"/>
    <n v="0"/>
    <s v="Mary Sparacino"/>
    <s v="Chris Cicisly"/>
    <s v="Mary Sparacino"/>
    <n v="0"/>
  </r>
  <r>
    <s v="92704"/>
    <d v="2025-08-08T00:00:00"/>
    <x v="159"/>
    <x v="3"/>
    <s v="San Jose"/>
    <n v="0"/>
    <n v="0"/>
    <n v="0"/>
    <n v="0.34"/>
    <n v="-0.34"/>
    <n v="0"/>
    <s v="Mary Sparacino"/>
    <s v="Chris Cicisly"/>
    <s v="Mary Sparacino"/>
    <n v="0"/>
  </r>
  <r>
    <s v="92704"/>
    <d v="2025-08-26T00:00:00"/>
    <x v="159"/>
    <x v="3"/>
    <s v="San Jose"/>
    <n v="0"/>
    <n v="0"/>
    <n v="0"/>
    <n v="-0.01"/>
    <n v="0.01"/>
    <n v="0"/>
    <s v="Mary Sparacino"/>
    <s v="Chris Cicisly"/>
    <s v="Mary Sparacino"/>
    <n v="0"/>
  </r>
  <r>
    <s v="93817"/>
    <d v="2025-08-18T00:00:00"/>
    <x v="160"/>
    <x v="3"/>
    <s v="San Jose"/>
    <n v="570"/>
    <n v="0"/>
    <n v="570"/>
    <n v="513.54"/>
    <n v="56.46"/>
    <n v="9.9052630000000003E-2"/>
    <s v="Mary Sparacino"/>
    <s v="Chris Cicisly"/>
    <s v="Mary Sparacino"/>
    <n v="1"/>
  </r>
  <r>
    <s v="93147"/>
    <d v="2025-08-15T00:00:00"/>
    <x v="161"/>
    <x v="17"/>
    <s v="San Jose"/>
    <n v="92206.67"/>
    <n v="0"/>
    <n v="92206.67"/>
    <n v="71896.320000000007"/>
    <n v="20310.349999999999"/>
    <n v="0.22026986000000001"/>
    <s v="Casey Fleming"/>
    <s v="Kate Ingelstrom"/>
    <s v="Casey Fleming"/>
    <n v="1"/>
  </r>
  <r>
    <s v="93147"/>
    <d v="2025-08-18T00:00:00"/>
    <x v="161"/>
    <x v="17"/>
    <s v="San Jose"/>
    <n v="0"/>
    <n v="0"/>
    <n v="0"/>
    <n v="19.55"/>
    <n v="-19.55"/>
    <n v="0"/>
    <s v="Casey Fleming"/>
    <s v="Kate Ingelstrom"/>
    <s v="Casey Fleming"/>
    <n v="0"/>
  </r>
  <r>
    <s v="93147"/>
    <d v="2025-08-19T00:00:00"/>
    <x v="161"/>
    <x v="17"/>
    <s v="San Jose"/>
    <n v="0"/>
    <n v="0"/>
    <n v="0"/>
    <n v="-344.44"/>
    <n v="344.44"/>
    <n v="0"/>
    <s v="Casey Fleming"/>
    <s v="Kate Ingelstrom"/>
    <s v="Casey Fleming"/>
    <n v="0"/>
  </r>
  <r>
    <s v="93147"/>
    <d v="2025-08-25T00:00:00"/>
    <x v="161"/>
    <x v="17"/>
    <s v="San Jose"/>
    <n v="0"/>
    <n v="0"/>
    <n v="0"/>
    <n v="-315"/>
    <n v="315"/>
    <n v="0"/>
    <s v="Casey Fleming"/>
    <s v="Kate Ingelstrom"/>
    <s v="Casey Fleming"/>
    <n v="0"/>
  </r>
  <r>
    <s v="87849"/>
    <d v="2025-08-21T00:00:00"/>
    <x v="162"/>
    <x v="10"/>
    <s v="Sacramento"/>
    <n v="0"/>
    <n v="0"/>
    <n v="0"/>
    <n v="-187.5"/>
    <n v="187.5"/>
    <n v="0"/>
    <s v="Farrah Race"/>
    <s v="Simon Sheppard"/>
    <s v="Farrah Race"/>
    <n v="0"/>
  </r>
  <r>
    <s v="89444"/>
    <d v="2025-08-21T00:00:00"/>
    <x v="162"/>
    <x v="10"/>
    <s v="Sacramento"/>
    <n v="0"/>
    <n v="0"/>
    <n v="0"/>
    <n v="-712.5"/>
    <n v="712.5"/>
    <n v="0"/>
    <s v="Farrah Race"/>
    <s v="Simon Sheppard"/>
    <s v="Farrah Race"/>
    <n v="0"/>
  </r>
  <r>
    <s v="90761"/>
    <d v="2025-08-22T00:00:00"/>
    <x v="162"/>
    <x v="10"/>
    <s v="Sacramento"/>
    <n v="0"/>
    <n v="0"/>
    <n v="0"/>
    <n v="-487.5"/>
    <n v="487.5"/>
    <n v="0"/>
    <s v="Farrah Race"/>
    <s v="Simon Sheppard"/>
    <s v="Farrah Race"/>
    <n v="0"/>
  </r>
  <r>
    <s v="91067"/>
    <d v="2025-08-22T00:00:00"/>
    <x v="162"/>
    <x v="10"/>
    <s v="Sacramento"/>
    <n v="0"/>
    <n v="0"/>
    <n v="0"/>
    <n v="-450"/>
    <n v="450"/>
    <n v="0"/>
    <s v="Farrah Race"/>
    <s v="Simon Sheppard"/>
    <s v="Farrah Race"/>
    <n v="0"/>
  </r>
  <r>
    <s v="93172"/>
    <d v="2025-08-26T00:00:00"/>
    <x v="163"/>
    <x v="14"/>
    <s v="San Jose"/>
    <n v="249666.8"/>
    <n v="0"/>
    <n v="249666.8"/>
    <n v="182894.52"/>
    <n v="66772.28"/>
    <n v="0.26744557000000002"/>
    <s v="Maria Estrada"/>
    <s v="Kate Ingelstrom"/>
    <s v="Maria Estrada"/>
    <n v="1"/>
  </r>
  <r>
    <s v="93172"/>
    <d v="2025-08-28T00:00:00"/>
    <x v="163"/>
    <x v="14"/>
    <s v="San Jose"/>
    <n v="0"/>
    <n v="2439"/>
    <n v="2439"/>
    <n v="1714.62"/>
    <n v="724.38"/>
    <n v="0.29699877000000002"/>
    <s v="Maria Estrada"/>
    <s v="Kate Ingelstrom"/>
    <s v="Maria Estrada"/>
    <n v="0"/>
  </r>
  <r>
    <s v="93172"/>
    <d v="2025-08-29T00:00:00"/>
    <x v="163"/>
    <x v="14"/>
    <s v="San Jose"/>
    <n v="0"/>
    <n v="0"/>
    <n v="0"/>
    <n v="161.47999999999999"/>
    <n v="-161.47999999999999"/>
    <n v="0"/>
    <s v="Maria Estrada"/>
    <s v="Kate Ingelstrom"/>
    <s v="Maria Estrada"/>
    <n v="0"/>
  </r>
  <r>
    <s v="94248"/>
    <d v="2025-08-28T00:00:00"/>
    <x v="164"/>
    <x v="10"/>
    <s v="Sacramento"/>
    <n v="5104.28"/>
    <n v="0"/>
    <n v="5104.28"/>
    <n v="4083.42"/>
    <n v="1020.86"/>
    <n v="0.20000077999999999"/>
    <s v="Erika Duarte"/>
    <s v="Simon Sheppard"/>
    <s v="Erika Duarte"/>
    <n v="1"/>
  </r>
  <r>
    <s v="92401"/>
    <d v="2025-08-01T00:00:00"/>
    <x v="165"/>
    <x v="3"/>
    <s v="Sacramento"/>
    <n v="0"/>
    <n v="0"/>
    <n v="0"/>
    <n v="68.209999999999994"/>
    <n v="-68.209999999999994"/>
    <n v="0"/>
    <s v="Farrah Race"/>
    <s v="Chris Cicisly"/>
    <s v="Farrah Race"/>
    <n v="0"/>
  </r>
  <r>
    <s v="92402"/>
    <d v="2025-08-01T00:00:00"/>
    <x v="165"/>
    <x v="3"/>
    <s v="Sacramento"/>
    <n v="0"/>
    <n v="0"/>
    <n v="0"/>
    <n v="-381.24"/>
    <n v="381.24"/>
    <n v="0"/>
    <s v="Farrah Race"/>
    <s v="Chris Cicisly"/>
    <s v="Farrah Race"/>
    <n v="0"/>
  </r>
  <r>
    <s v="92402"/>
    <d v="2025-08-04T00:00:00"/>
    <x v="165"/>
    <x v="3"/>
    <s v="Sacramento"/>
    <n v="0"/>
    <n v="-118.46"/>
    <n v="-118.46"/>
    <n v="2487.42"/>
    <n v="-2605.88"/>
    <n v="21.997973999999999"/>
    <s v="Farrah Race"/>
    <s v="Chris Cicisly"/>
    <s v="Farrah Race"/>
    <n v="0"/>
  </r>
  <r>
    <s v="93633"/>
    <d v="2025-08-04T00:00:00"/>
    <x v="165"/>
    <x v="3"/>
    <s v="Sacramento"/>
    <n v="0"/>
    <n v="0"/>
    <n v="0"/>
    <n v="-735"/>
    <n v="735"/>
    <n v="0"/>
    <s v="Farrah Race"/>
    <s v="Chris Cicisly"/>
    <s v="Farrah Race"/>
    <n v="0"/>
  </r>
  <r>
    <s v="92402"/>
    <d v="2025-08-06T00:00:00"/>
    <x v="165"/>
    <x v="3"/>
    <s v="Sacramento"/>
    <n v="0"/>
    <n v="-1115"/>
    <n v="-1115"/>
    <n v="-715.22"/>
    <n v="-399.78"/>
    <n v="0.35854709000000001"/>
    <s v="Farrah Race"/>
    <s v="Chris Cicisly"/>
    <s v="Farrah Race"/>
    <n v="0"/>
  </r>
  <r>
    <s v="92401"/>
    <d v="2025-08-07T00:00:00"/>
    <x v="165"/>
    <x v="3"/>
    <s v="Sacramento"/>
    <n v="0"/>
    <n v="0"/>
    <n v="0"/>
    <n v="-472.5"/>
    <n v="472.5"/>
    <n v="0"/>
    <s v="Farrah Race"/>
    <s v="Chris Cicisly"/>
    <s v="Farrah Race"/>
    <n v="0"/>
  </r>
  <r>
    <s v="92402"/>
    <d v="2025-08-07T00:00:00"/>
    <x v="165"/>
    <x v="3"/>
    <s v="Sacramento"/>
    <n v="0"/>
    <n v="0"/>
    <n v="0"/>
    <n v="-2581"/>
    <n v="2581"/>
    <n v="0"/>
    <s v="Farrah Race"/>
    <s v="Chris Cicisly"/>
    <s v="Farrah Race"/>
    <n v="0"/>
  </r>
  <r>
    <s v="93633"/>
    <d v="2025-08-08T00:00:00"/>
    <x v="165"/>
    <x v="3"/>
    <s v="Sacramento"/>
    <n v="0"/>
    <n v="161.94999999999999"/>
    <n v="161.94999999999999"/>
    <n v="121.51"/>
    <n v="40.44"/>
    <n v="0.2497067"/>
    <s v="Farrah Race"/>
    <s v="Chris Cicisly"/>
    <s v="Farrah Race"/>
    <n v="0"/>
  </r>
  <r>
    <s v="93633"/>
    <d v="2025-08-14T00:00:00"/>
    <x v="165"/>
    <x v="3"/>
    <s v="Sacramento"/>
    <n v="0"/>
    <n v="0"/>
    <n v="0"/>
    <n v="508.8"/>
    <n v="-508.8"/>
    <n v="0"/>
    <s v="Farrah Race"/>
    <s v="Chris Cicisly"/>
    <s v="Farrah Race"/>
    <n v="0"/>
  </r>
  <r>
    <s v="93662"/>
    <d v="2025-08-28T00:00:00"/>
    <x v="165"/>
    <x v="3"/>
    <s v="Sacramento"/>
    <n v="0"/>
    <n v="0"/>
    <n v="0"/>
    <n v="264.70999999999998"/>
    <n v="-264.70999999999998"/>
    <n v="0"/>
    <s v="Farrah Race"/>
    <s v="Chris Cicisly"/>
    <s v="Farrah Race"/>
    <n v="0"/>
  </r>
  <r>
    <s v="92401"/>
    <d v="2025-08-30T00:00:00"/>
    <x v="165"/>
    <x v="3"/>
    <s v="Sacramento"/>
    <n v="0"/>
    <n v="0"/>
    <n v="0"/>
    <n v="120"/>
    <n v="-120"/>
    <n v="0"/>
    <s v="Farrah Race"/>
    <s v="Chris Cicisly"/>
    <s v="Farrah Race"/>
    <n v="0"/>
  </r>
  <r>
    <s v="92877"/>
    <d v="2025-08-30T00:00:00"/>
    <x v="165"/>
    <x v="3"/>
    <s v="Sacramento"/>
    <n v="0"/>
    <n v="0"/>
    <n v="0"/>
    <n v="45"/>
    <n v="-45"/>
    <n v="0"/>
    <s v="Farrah Race"/>
    <s v="Chris Cicisly"/>
    <s v="Farrah Race"/>
    <n v="0"/>
  </r>
  <r>
    <s v="93762"/>
    <d v="2025-08-18T00:00:00"/>
    <x v="166"/>
    <x v="10"/>
    <s v="Sacramento"/>
    <n v="3382.67"/>
    <n v="0"/>
    <n v="3382.67"/>
    <n v="2608.9899999999998"/>
    <n v="773.68"/>
    <n v="0.22871873000000001"/>
    <s v="Rayna Mitchell"/>
    <s v="Simon Sheppard"/>
    <s v="Rayna Mitchell"/>
    <n v="1"/>
  </r>
  <r>
    <s v="81826"/>
    <d v="2025-08-04T00:00:00"/>
    <x v="167"/>
    <x v="2"/>
    <s v="Sacramento"/>
    <n v="0"/>
    <n v="0"/>
    <n v="0"/>
    <n v="-0.01"/>
    <n v="0.01"/>
    <n v="0"/>
    <s v="Farrah Race"/>
    <s v="Alex Blangeres"/>
    <s v="Farrah Race"/>
    <n v="0"/>
  </r>
  <r>
    <s v="81826"/>
    <d v="2025-08-05T00:00:00"/>
    <x v="167"/>
    <x v="2"/>
    <s v="Sacramento"/>
    <n v="0"/>
    <n v="-3350"/>
    <n v="-3350"/>
    <n v="-2680"/>
    <n v="-670"/>
    <n v="0.2"/>
    <s v="Farrah Race"/>
    <s v="Alex Blangeres"/>
    <s v="Farrah Race"/>
    <n v="0"/>
  </r>
  <r>
    <s v="93945"/>
    <d v="2025-08-20T00:00:00"/>
    <x v="167"/>
    <x v="2"/>
    <s v="Sacramento"/>
    <n v="12321.25"/>
    <n v="0"/>
    <n v="12321.25"/>
    <n v="10077.290000000001"/>
    <n v="2243.96"/>
    <n v="0.18212112999999999"/>
    <s v="Farrah Race"/>
    <s v="Alex Blangeres"/>
    <s v="Farrah Race"/>
    <n v="1"/>
  </r>
  <r>
    <s v="81826"/>
    <d v="2025-08-27T00:00:00"/>
    <x v="167"/>
    <x v="2"/>
    <s v="Sacramento"/>
    <n v="0"/>
    <n v="0"/>
    <n v="0"/>
    <n v="407.04"/>
    <n v="-407.04"/>
    <n v="0"/>
    <s v="Farrah Race"/>
    <s v="Alex Blangeres"/>
    <s v="Farrah Race"/>
    <n v="0"/>
  </r>
  <r>
    <s v="93945"/>
    <d v="2025-08-27T00:00:00"/>
    <x v="167"/>
    <x v="2"/>
    <s v="Sacramento"/>
    <n v="0"/>
    <n v="0"/>
    <n v="0"/>
    <n v="-13"/>
    <n v="13"/>
    <n v="0"/>
    <s v="Farrah Race"/>
    <s v="Alex Blangeres"/>
    <s v="Farrah Race"/>
    <n v="0"/>
  </r>
  <r>
    <s v="93945"/>
    <d v="2025-08-28T00:00:00"/>
    <x v="167"/>
    <x v="2"/>
    <s v="Sacramento"/>
    <n v="0"/>
    <n v="0"/>
    <n v="0"/>
    <n v="-710.25"/>
    <n v="710.25"/>
    <n v="0"/>
    <s v="Farrah Race"/>
    <s v="Alex Blangeres"/>
    <s v="Farrah Race"/>
    <n v="0"/>
  </r>
  <r>
    <s v="93670"/>
    <d v="2025-08-27T00:00:00"/>
    <x v="168"/>
    <x v="15"/>
    <s v="San Jose"/>
    <n v="0"/>
    <n v="572.02"/>
    <n v="572.02"/>
    <n v="446.19"/>
    <n v="125.83"/>
    <n v="0.21997483000000001"/>
    <s v="Marena Brown"/>
    <s v="Lela Huenergardt"/>
    <s v="Marena Brown"/>
    <n v="0"/>
  </r>
  <r>
    <s v="90871"/>
    <d v="2025-08-29T00:00:00"/>
    <x v="168"/>
    <x v="15"/>
    <s v="San Jose"/>
    <n v="0"/>
    <n v="0"/>
    <n v="0"/>
    <n v="-1125"/>
    <n v="1125"/>
    <n v="0"/>
    <s v="Marena Brown"/>
    <s v="Lela Huenergardt"/>
    <s v="Marena Brown"/>
    <n v="0"/>
  </r>
  <r>
    <s v="93686"/>
    <d v="2025-08-13T00:00:00"/>
    <x v="169"/>
    <x v="16"/>
    <s v="San Francisco"/>
    <n v="2610"/>
    <n v="0"/>
    <n v="2610"/>
    <n v="1260"/>
    <n v="1350"/>
    <n v="0.51724137999999997"/>
    <s v="Matt Denning"/>
    <s v="Jill Marsh"/>
    <s v="Other"/>
    <n v="1"/>
  </r>
  <r>
    <s v="93686"/>
    <d v="2025-08-14T00:00:00"/>
    <x v="169"/>
    <x v="16"/>
    <s v="San Francisco"/>
    <n v="0"/>
    <n v="0"/>
    <n v="0"/>
    <n v="222.39"/>
    <n v="-222.39"/>
    <n v="0"/>
    <s v="Matt Denning"/>
    <s v="Jill Marsh"/>
    <s v="Other"/>
    <n v="0"/>
  </r>
  <r>
    <s v="93492"/>
    <d v="2025-08-13T00:00:00"/>
    <x v="170"/>
    <x v="10"/>
    <s v="Sacramento"/>
    <n v="225"/>
    <n v="0"/>
    <n v="225"/>
    <n v="264.70999999999998"/>
    <n v="-39.71"/>
    <n v="-0.17648889000000001"/>
    <s v="Farrah Race"/>
    <s v="Simon Sheppard"/>
    <s v="Farrah Race"/>
    <n v="1"/>
  </r>
  <r>
    <s v="94052"/>
    <d v="2025-08-14T00:00:00"/>
    <x v="170"/>
    <x v="10"/>
    <s v="Sacramento"/>
    <n v="425"/>
    <n v="0"/>
    <n v="425"/>
    <n v="435.31"/>
    <n v="-10.31"/>
    <n v="-2.425882E-2"/>
    <s v="Farrah Race"/>
    <s v="Simon Sheppard"/>
    <s v="Farrah Race"/>
    <n v="1"/>
  </r>
  <r>
    <s v="87557"/>
    <d v="2025-08-30T00:00:00"/>
    <x v="170"/>
    <x v="10"/>
    <s v="Sacramento"/>
    <n v="0"/>
    <n v="0"/>
    <n v="0"/>
    <n v="187.5"/>
    <n v="-187.5"/>
    <n v="0"/>
    <s v="Farrah Race"/>
    <s v="Simon Sheppard"/>
    <s v="Farrah Race"/>
    <n v="0"/>
  </r>
  <r>
    <s v="93464"/>
    <d v="2025-08-13T00:00:00"/>
    <x v="171"/>
    <x v="10"/>
    <s v="Sacramento"/>
    <n v="0"/>
    <n v="0"/>
    <n v="0"/>
    <n v="-0.02"/>
    <n v="0.02"/>
    <n v="0"/>
    <s v="Erika Duarte"/>
    <s v="Simon Sheppard"/>
    <s v="Erika Duarte"/>
    <n v="0"/>
  </r>
  <r>
    <s v="94033"/>
    <d v="2025-08-18T00:00:00"/>
    <x v="171"/>
    <x v="10"/>
    <s v="Sacramento"/>
    <n v="873.46"/>
    <n v="0"/>
    <n v="873.46"/>
    <n v="681.3"/>
    <n v="192.16"/>
    <n v="0.21999863"/>
    <s v="Erika Duarte"/>
    <s v="Simon Sheppard"/>
    <s v="Erika Duarte"/>
    <n v="1"/>
  </r>
  <r>
    <s v="94033"/>
    <d v="2025-08-22T00:00:00"/>
    <x v="171"/>
    <x v="10"/>
    <s v="Sacramento"/>
    <n v="0"/>
    <n v="0"/>
    <n v="0"/>
    <n v="-471.08"/>
    <n v="471.08"/>
    <n v="0"/>
    <s v="Erika Duarte"/>
    <s v="Simon Sheppard"/>
    <s v="Erika Duarte"/>
    <n v="0"/>
  </r>
  <r>
    <s v="94043"/>
    <d v="2025-08-26T00:00:00"/>
    <x v="172"/>
    <x v="2"/>
    <s v="Sacramento"/>
    <n v="2870.5"/>
    <n v="0"/>
    <n v="2870.5"/>
    <n v="2218.15"/>
    <n v="652.35"/>
    <n v="0.22726006000000001"/>
    <s v="Farrah Race"/>
    <s v="Alex Blangeres"/>
    <s v="Farrah Race"/>
    <n v="1"/>
  </r>
  <r>
    <s v="91755"/>
    <d v="2025-08-01T00:00:00"/>
    <x v="173"/>
    <x v="20"/>
    <s v="San Jose"/>
    <n v="0"/>
    <n v="0"/>
    <n v="0"/>
    <n v="26.66"/>
    <n v="-26.66"/>
    <n v="0"/>
    <s v="Jenni Lombardi"/>
    <s v="Kate Ingelstrom"/>
    <s v="Jenni Lombardi"/>
    <n v="0"/>
  </r>
  <r>
    <s v="92928"/>
    <d v="2025-08-04T00:00:00"/>
    <x v="173"/>
    <x v="20"/>
    <s v="San Jose"/>
    <n v="0"/>
    <n v="0"/>
    <n v="0"/>
    <n v="-5.01"/>
    <n v="5.01"/>
    <n v="0"/>
    <s v="Jenni Lombardi"/>
    <s v="Kate Ingelstrom"/>
    <s v="Jenni Lombardi"/>
    <n v="0"/>
  </r>
  <r>
    <s v="93852"/>
    <d v="2025-08-04T00:00:00"/>
    <x v="173"/>
    <x v="20"/>
    <s v="San Jose"/>
    <n v="3411.85"/>
    <n v="0"/>
    <n v="3411.85"/>
    <n v="2900"/>
    <n v="511.85"/>
    <n v="0.15002124999999999"/>
    <s v="Jenni Lombardi"/>
    <s v="Kate Ingelstrom"/>
    <s v="Jenni Lombardi"/>
    <n v="1"/>
  </r>
  <r>
    <s v="92024"/>
    <d v="2025-08-05T00:00:00"/>
    <x v="173"/>
    <x v="20"/>
    <s v="San Jose"/>
    <n v="0"/>
    <n v="0"/>
    <n v="0"/>
    <n v="34971.25"/>
    <n v="-34971.25"/>
    <n v="0"/>
    <s v="Jenni Lombardi"/>
    <s v="Kate Ingelstrom"/>
    <s v="Jenni Lombardi"/>
    <n v="0"/>
  </r>
  <r>
    <s v="92304"/>
    <d v="2025-08-05T00:00:00"/>
    <x v="173"/>
    <x v="20"/>
    <s v="San Jose"/>
    <n v="0"/>
    <n v="0"/>
    <n v="0"/>
    <n v="288"/>
    <n v="-288"/>
    <n v="0"/>
    <s v="Jenni Lombardi"/>
    <s v="Kate Ingelstrom"/>
    <s v="Jenni Lombardi"/>
    <n v="0"/>
  </r>
  <r>
    <s v="93871"/>
    <d v="2025-08-05T00:00:00"/>
    <x v="173"/>
    <x v="20"/>
    <s v="San Jose"/>
    <n v="26985.31"/>
    <n v="0"/>
    <n v="26985.31"/>
    <n v="22937.4"/>
    <n v="4047.91"/>
    <n v="0.15000421"/>
    <s v="Jenni Lombardi"/>
    <s v="Kate Ingelstrom"/>
    <s v="Jenni Lombardi"/>
    <n v="1"/>
  </r>
  <r>
    <s v="93894"/>
    <d v="2025-08-06T00:00:00"/>
    <x v="173"/>
    <x v="20"/>
    <s v="San Jose"/>
    <n v="19614.689999999999"/>
    <n v="0"/>
    <n v="19614.689999999999"/>
    <n v="16672.400000000001"/>
    <n v="2942.29"/>
    <n v="0.15000441"/>
    <s v="Jenni Lombardi"/>
    <s v="Kate Ingelstrom"/>
    <s v="Jenni Lombardi"/>
    <n v="1"/>
  </r>
  <r>
    <s v="91755"/>
    <d v="2025-08-07T00:00:00"/>
    <x v="173"/>
    <x v="20"/>
    <s v="San Jose"/>
    <n v="0"/>
    <n v="0"/>
    <n v="0"/>
    <n v="-120.84"/>
    <n v="120.84"/>
    <n v="0"/>
    <s v="Jenni Lombardi"/>
    <s v="Kate Ingelstrom"/>
    <s v="Jenni Lombardi"/>
    <n v="0"/>
  </r>
  <r>
    <s v="91756"/>
    <d v="2025-08-07T00:00:00"/>
    <x v="173"/>
    <x v="20"/>
    <s v="San Jose"/>
    <n v="0"/>
    <n v="0"/>
    <n v="0"/>
    <n v="1"/>
    <n v="-1"/>
    <n v="0"/>
    <s v="Jenni Lombardi"/>
    <s v="Kate Ingelstrom"/>
    <s v="Jenni Lombardi"/>
    <n v="0"/>
  </r>
  <r>
    <s v="92304"/>
    <d v="2025-08-07T00:00:00"/>
    <x v="173"/>
    <x v="20"/>
    <s v="San Jose"/>
    <n v="0"/>
    <n v="0"/>
    <n v="0"/>
    <n v="-167.16"/>
    <n v="167.16"/>
    <n v="0"/>
    <s v="Jenni Lombardi"/>
    <s v="Kate Ingelstrom"/>
    <s v="Jenni Lombardi"/>
    <n v="0"/>
  </r>
  <r>
    <s v="93871"/>
    <d v="2025-08-07T00:00:00"/>
    <x v="173"/>
    <x v="20"/>
    <s v="San Jose"/>
    <n v="0"/>
    <n v="0"/>
    <n v="0"/>
    <n v="-1321.32"/>
    <n v="1321.32"/>
    <n v="0"/>
    <s v="Jenni Lombardi"/>
    <s v="Kate Ingelstrom"/>
    <s v="Jenni Lombardi"/>
    <n v="0"/>
  </r>
  <r>
    <s v="93908"/>
    <d v="2025-08-07T00:00:00"/>
    <x v="173"/>
    <x v="20"/>
    <s v="San Jose"/>
    <n v="10877.36"/>
    <n v="0"/>
    <n v="10877.36"/>
    <n v="9245.7099999999991"/>
    <n v="1631.65"/>
    <n v="0.15000422999999999"/>
    <s v="Jenni Lombardi"/>
    <s v="Kate Ingelstrom"/>
    <s v="Jenni Lombardi"/>
    <n v="1"/>
  </r>
  <r>
    <s v="93909"/>
    <d v="2025-08-07T00:00:00"/>
    <x v="173"/>
    <x v="20"/>
    <s v="San Jose"/>
    <n v="24546.45"/>
    <n v="0"/>
    <n v="24546.45"/>
    <n v="20864.53"/>
    <n v="3681.92"/>
    <n v="0.14999805999999999"/>
    <s v="Jenni Lombardi"/>
    <s v="Kate Ingelstrom"/>
    <s v="Jenni Lombardi"/>
    <n v="1"/>
  </r>
  <r>
    <s v="93963"/>
    <d v="2025-08-07T00:00:00"/>
    <x v="173"/>
    <x v="20"/>
    <s v="San Jose"/>
    <n v="628.94000000000005"/>
    <n v="0"/>
    <n v="628.94000000000005"/>
    <n v="534.6"/>
    <n v="94.34"/>
    <n v="0.14999841"/>
    <s v="Jenni Lombardi"/>
    <s v="Kate Ingelstrom"/>
    <s v="Jenni Lombardi"/>
    <n v="1"/>
  </r>
  <r>
    <s v="92304"/>
    <d v="2025-08-08T00:00:00"/>
    <x v="173"/>
    <x v="20"/>
    <s v="San Jose"/>
    <n v="0"/>
    <n v="0"/>
    <n v="0"/>
    <n v="-16.82"/>
    <n v="16.82"/>
    <n v="0"/>
    <s v="Jenni Lombardi"/>
    <s v="Kate Ingelstrom"/>
    <s v="Jenni Lombardi"/>
    <n v="0"/>
  </r>
  <r>
    <s v="93922"/>
    <d v="2025-08-08T00:00:00"/>
    <x v="173"/>
    <x v="20"/>
    <s v="San Jose"/>
    <n v="98234.76"/>
    <n v="0"/>
    <n v="98234.76"/>
    <n v="83499.47"/>
    <n v="14735.29"/>
    <n v="0.15000077000000001"/>
    <s v="Jenni Lombardi"/>
    <s v="Kate Ingelstrom"/>
    <s v="Jenni Lombardi"/>
    <n v="1"/>
  </r>
  <r>
    <s v="92042"/>
    <d v="2025-08-10T00:00:00"/>
    <x v="173"/>
    <x v="20"/>
    <s v="San Jose"/>
    <n v="0"/>
    <n v="0"/>
    <n v="0"/>
    <n v="-0.04"/>
    <n v="0.04"/>
    <n v="0"/>
    <s v="Jenni Lombardi"/>
    <s v="Kate Ingelstrom"/>
    <s v="Jenni Lombardi"/>
    <n v="0"/>
  </r>
  <r>
    <s v="92304"/>
    <d v="2025-08-11T00:00:00"/>
    <x v="173"/>
    <x v="20"/>
    <s v="San Jose"/>
    <n v="0"/>
    <n v="0"/>
    <n v="0"/>
    <n v="-35"/>
    <n v="35"/>
    <n v="0"/>
    <s v="Jenni Lombardi"/>
    <s v="Kate Ingelstrom"/>
    <s v="Jenni Lombardi"/>
    <n v="0"/>
  </r>
  <r>
    <s v="93259"/>
    <d v="2025-08-11T00:00:00"/>
    <x v="173"/>
    <x v="20"/>
    <s v="San Jose"/>
    <n v="0"/>
    <n v="0"/>
    <n v="0"/>
    <n v="66.790000000000006"/>
    <n v="-66.790000000000006"/>
    <n v="0"/>
    <s v="Jenni Lombardi"/>
    <s v="Kate Ingelstrom"/>
    <s v="Jenni Lombardi"/>
    <n v="0"/>
  </r>
  <r>
    <s v="93908"/>
    <d v="2025-08-11T00:00:00"/>
    <x v="173"/>
    <x v="20"/>
    <s v="San Jose"/>
    <n v="0"/>
    <n v="-20.69"/>
    <n v="-20.69"/>
    <n v="-16.670000000000002"/>
    <n v="-4.0199999999999996"/>
    <n v="0.19429676000000001"/>
    <s v="Jenni Lombardi"/>
    <s v="Kate Ingelstrom"/>
    <s v="Jenni Lombardi"/>
    <n v="0"/>
  </r>
  <r>
    <s v="86911"/>
    <d v="2025-08-12T00:00:00"/>
    <x v="173"/>
    <x v="20"/>
    <s v="San Jose"/>
    <n v="0"/>
    <n v="0"/>
    <n v="0"/>
    <n v="46.92"/>
    <n v="-46.92"/>
    <n v="0"/>
    <s v="Jenni Lombardi"/>
    <s v="Kate Ingelstrom"/>
    <s v="Jenni Lombardi"/>
    <n v="0"/>
  </r>
  <r>
    <s v="86911"/>
    <d v="2025-08-13T00:00:00"/>
    <x v="173"/>
    <x v="20"/>
    <s v="San Jose"/>
    <n v="0"/>
    <n v="0"/>
    <n v="0"/>
    <n v="2.2999999999999998"/>
    <n v="-2.2999999999999998"/>
    <n v="0"/>
    <s v="Jenni Lombardi"/>
    <s v="Kate Ingelstrom"/>
    <s v="Jenni Lombardi"/>
    <n v="0"/>
  </r>
  <r>
    <s v="93922"/>
    <d v="2025-08-13T00:00:00"/>
    <x v="173"/>
    <x v="20"/>
    <s v="San Jose"/>
    <n v="0"/>
    <n v="0"/>
    <n v="0"/>
    <n v="-181.91"/>
    <n v="181.91"/>
    <n v="0"/>
    <s v="Jenni Lombardi"/>
    <s v="Kate Ingelstrom"/>
    <s v="Jenni Lombardi"/>
    <n v="0"/>
  </r>
  <r>
    <s v="94016"/>
    <d v="2025-08-13T00:00:00"/>
    <x v="173"/>
    <x v="20"/>
    <s v="San Jose"/>
    <n v="7756.8"/>
    <n v="0"/>
    <n v="7756.8"/>
    <n v="6593.4"/>
    <n v="1163.4000000000001"/>
    <n v="0.14998453"/>
    <s v="Jenni Lombardi"/>
    <s v="Kate Ingelstrom"/>
    <s v="Jenni Lombardi"/>
    <n v="1"/>
  </r>
  <r>
    <s v="92042"/>
    <d v="2025-08-14T00:00:00"/>
    <x v="173"/>
    <x v="20"/>
    <s v="San Jose"/>
    <n v="0"/>
    <n v="0"/>
    <n v="0"/>
    <n v="-4.9000000000000004"/>
    <n v="4.9000000000000004"/>
    <n v="0"/>
    <s v="Jenni Lombardi"/>
    <s v="Kate Ingelstrom"/>
    <s v="Jenni Lombardi"/>
    <n v="0"/>
  </r>
  <r>
    <s v="93891"/>
    <d v="2025-08-14T00:00:00"/>
    <x v="173"/>
    <x v="20"/>
    <s v="San Jose"/>
    <n v="34253.800000000003"/>
    <n v="0"/>
    <n v="34253.800000000003"/>
    <n v="29115"/>
    <n v="5138.8"/>
    <n v="0.15002130999999999"/>
    <s v="Jenni Lombardi"/>
    <s v="Kate Ingelstrom"/>
    <s v="Jenni Lombardi"/>
    <n v="1"/>
  </r>
  <r>
    <s v="89502"/>
    <d v="2025-08-14T00:00:00"/>
    <x v="173"/>
    <x v="20"/>
    <s v="San Jose"/>
    <n v="0"/>
    <n v="0"/>
    <n v="0"/>
    <n v="7220"/>
    <n v="-7220"/>
    <n v="0"/>
    <s v="Jenni Lombardi"/>
    <s v="Kate Ingelstrom"/>
    <s v="Jenni Lombardi"/>
    <n v="0"/>
  </r>
  <r>
    <s v="90202"/>
    <d v="2025-08-14T00:00:00"/>
    <x v="173"/>
    <x v="20"/>
    <s v="San Jose"/>
    <n v="0"/>
    <n v="0"/>
    <n v="0"/>
    <n v="150"/>
    <n v="-150"/>
    <n v="0"/>
    <s v="Jenni Lombardi"/>
    <s v="Kate Ingelstrom"/>
    <s v="Jenni Lombardi"/>
    <n v="0"/>
  </r>
  <r>
    <s v="92022"/>
    <d v="2025-08-14T00:00:00"/>
    <x v="173"/>
    <x v="20"/>
    <s v="San Jose"/>
    <n v="0"/>
    <n v="0"/>
    <n v="0"/>
    <n v="652.5"/>
    <n v="-652.5"/>
    <n v="0"/>
    <s v="Jenni Lombardi"/>
    <s v="Kate Ingelstrom"/>
    <s v="Jenni Lombardi"/>
    <n v="0"/>
  </r>
  <r>
    <s v="92024"/>
    <d v="2025-08-14T00:00:00"/>
    <x v="173"/>
    <x v="20"/>
    <s v="San Jose"/>
    <n v="0"/>
    <n v="0"/>
    <n v="0"/>
    <n v="2865"/>
    <n v="-2865"/>
    <n v="0"/>
    <s v="Jenni Lombardi"/>
    <s v="Kate Ingelstrom"/>
    <s v="Jenni Lombardi"/>
    <n v="0"/>
  </r>
  <r>
    <s v="92029"/>
    <d v="2025-08-14T00:00:00"/>
    <x v="173"/>
    <x v="20"/>
    <s v="San Jose"/>
    <n v="0"/>
    <n v="0"/>
    <n v="0"/>
    <n v="360"/>
    <n v="-360"/>
    <n v="0"/>
    <s v="Jenni Lombardi"/>
    <s v="Kate Ingelstrom"/>
    <s v="Jenni Lombardi"/>
    <n v="0"/>
  </r>
  <r>
    <s v="94049"/>
    <d v="2025-08-14T00:00:00"/>
    <x v="173"/>
    <x v="20"/>
    <s v="San Jose"/>
    <n v="9975"/>
    <n v="0"/>
    <n v="9975"/>
    <n v="0"/>
    <n v="9975"/>
    <n v="1"/>
    <s v="Jenni Lombardi"/>
    <s v="Kate Ingelstrom"/>
    <s v="Jenni Lombardi"/>
    <n v="1"/>
  </r>
  <r>
    <s v="94050"/>
    <d v="2025-08-14T00:00:00"/>
    <x v="173"/>
    <x v="20"/>
    <s v="San Jose"/>
    <n v="625"/>
    <n v="0"/>
    <n v="625"/>
    <n v="0"/>
    <n v="625"/>
    <n v="1"/>
    <s v="Jenni Lombardi"/>
    <s v="Kate Ingelstrom"/>
    <s v="Jenni Lombardi"/>
    <n v="1"/>
  </r>
  <r>
    <s v="94051"/>
    <d v="2025-08-14T00:00:00"/>
    <x v="173"/>
    <x v="20"/>
    <s v="San Jose"/>
    <n v="250"/>
    <n v="0"/>
    <n v="250"/>
    <n v="0"/>
    <n v="250"/>
    <n v="1"/>
    <s v="Jenni Lombardi"/>
    <s v="Kate Ingelstrom"/>
    <s v="Jenni Lombardi"/>
    <n v="1"/>
  </r>
  <r>
    <s v="94053"/>
    <d v="2025-08-14T00:00:00"/>
    <x v="173"/>
    <x v="20"/>
    <s v="San Jose"/>
    <n v="3075"/>
    <n v="0"/>
    <n v="3075"/>
    <n v="0"/>
    <n v="3075"/>
    <n v="1"/>
    <s v="Jenni Lombardi"/>
    <s v="Kate Ingelstrom"/>
    <s v="Jenni Lombardi"/>
    <n v="1"/>
  </r>
  <r>
    <s v="94054"/>
    <d v="2025-08-14T00:00:00"/>
    <x v="173"/>
    <x v="20"/>
    <s v="San Jose"/>
    <n v="200"/>
    <n v="0"/>
    <n v="200"/>
    <n v="0"/>
    <n v="200"/>
    <n v="1"/>
    <s v="Jenni Lombardi"/>
    <s v="Kate Ingelstrom"/>
    <s v="Jenni Lombardi"/>
    <n v="1"/>
  </r>
  <r>
    <s v="94055"/>
    <d v="2025-08-14T00:00:00"/>
    <x v="173"/>
    <x v="20"/>
    <s v="San Jose"/>
    <n v="325"/>
    <n v="0"/>
    <n v="325"/>
    <n v="0"/>
    <n v="325"/>
    <n v="1"/>
    <s v="Jenni Lombardi"/>
    <s v="Kate Ingelstrom"/>
    <s v="Jenni Lombardi"/>
    <n v="1"/>
  </r>
  <r>
    <s v="94089"/>
    <d v="2025-08-18T00:00:00"/>
    <x v="173"/>
    <x v="20"/>
    <s v="San Jose"/>
    <n v="360"/>
    <n v="0"/>
    <n v="360"/>
    <n v="240"/>
    <n v="120"/>
    <n v="0.33333332999999998"/>
    <s v="Jenni Lombardi"/>
    <s v="Kate Ingelstrom"/>
    <s v="Jenni Lombardi"/>
    <n v="1"/>
  </r>
  <r>
    <s v="92042"/>
    <d v="2025-08-19T00:00:00"/>
    <x v="173"/>
    <x v="20"/>
    <s v="San Jose"/>
    <n v="0"/>
    <n v="0"/>
    <n v="0"/>
    <n v="-319.5"/>
    <n v="319.5"/>
    <n v="0"/>
    <s v="Jenni Lombardi"/>
    <s v="Kate Ingelstrom"/>
    <s v="Jenni Lombardi"/>
    <n v="0"/>
  </r>
  <r>
    <s v="94208"/>
    <d v="2025-08-26T00:00:00"/>
    <x v="173"/>
    <x v="20"/>
    <s v="San Jose"/>
    <n v="212.95"/>
    <n v="0"/>
    <n v="212.95"/>
    <n v="181"/>
    <n v="31.95"/>
    <n v="0.15003522"/>
    <s v="Jenni Lombardi"/>
    <s v="Kate Ingelstrom"/>
    <s v="Jenni Lombardi"/>
    <n v="1"/>
  </r>
  <r>
    <s v="92043"/>
    <d v="2025-08-27T00:00:00"/>
    <x v="173"/>
    <x v="20"/>
    <s v="San Jose"/>
    <n v="0"/>
    <n v="0"/>
    <n v="0"/>
    <n v="4.0199999999999996"/>
    <n v="-4.0199999999999996"/>
    <n v="0"/>
    <s v="Jenni Lombardi"/>
    <s v="Kate Ingelstrom"/>
    <s v="Jenni Lombardi"/>
    <n v="0"/>
  </r>
  <r>
    <s v="86911"/>
    <d v="2025-08-28T00:00:00"/>
    <x v="173"/>
    <x v="20"/>
    <s v="San Jose"/>
    <n v="0"/>
    <n v="0"/>
    <n v="0"/>
    <n v="37.450000000000003"/>
    <n v="-37.450000000000003"/>
    <n v="0"/>
    <s v="Jenni Lombardi"/>
    <s v="Kate Ingelstrom"/>
    <s v="Jenni Lombardi"/>
    <n v="0"/>
  </r>
  <r>
    <s v="94265"/>
    <d v="2025-08-28T00:00:00"/>
    <x v="173"/>
    <x v="20"/>
    <s v="San Jose"/>
    <n v="5061.29"/>
    <n v="0"/>
    <n v="5061.29"/>
    <n v="4302.1000000000004"/>
    <n v="759.19"/>
    <n v="0.14999931"/>
    <s v="Jenni Lombardi"/>
    <s v="Kate Ingelstrom"/>
    <s v="Jenni Lombardi"/>
    <n v="1"/>
  </r>
  <r>
    <s v="94266"/>
    <d v="2025-08-28T00:00:00"/>
    <x v="173"/>
    <x v="20"/>
    <s v="San Jose"/>
    <n v="4769.49"/>
    <n v="0"/>
    <n v="4769.49"/>
    <n v="4054.07"/>
    <n v="715.42"/>
    <n v="0.14999926999999999"/>
    <s v="Jenni Lombardi"/>
    <s v="Kate Ingelstrom"/>
    <s v="Jenni Lombardi"/>
    <n v="1"/>
  </r>
  <r>
    <s v="92928"/>
    <d v="2025-08-29T00:00:00"/>
    <x v="173"/>
    <x v="20"/>
    <s v="San Jose"/>
    <n v="0"/>
    <n v="0"/>
    <n v="0"/>
    <n v="237"/>
    <n v="-237"/>
    <n v="0"/>
    <s v="Jenni Lombardi"/>
    <s v="Kate Ingelstrom"/>
    <s v="Jenni Lombardi"/>
    <n v="0"/>
  </r>
  <r>
    <s v="93084"/>
    <d v="2025-08-08T00:00:00"/>
    <x v="174"/>
    <x v="10"/>
    <s v="Sacramento"/>
    <n v="1040"/>
    <n v="0"/>
    <n v="1040"/>
    <n v="768.6"/>
    <n v="271.39999999999998"/>
    <n v="0.26096153999999999"/>
    <s v="Rayna Mitchell"/>
    <s v="Simon Sheppard"/>
    <s v="Rayna Mitchell"/>
    <n v="1"/>
  </r>
  <r>
    <s v="93084"/>
    <d v="2025-08-11T00:00:00"/>
    <x v="174"/>
    <x v="10"/>
    <s v="Sacramento"/>
    <n v="0"/>
    <n v="0"/>
    <n v="0"/>
    <n v="-14.15"/>
    <n v="14.15"/>
    <n v="0"/>
    <s v="Rayna Mitchell"/>
    <s v="Simon Sheppard"/>
    <s v="Rayna Mitchell"/>
    <n v="0"/>
  </r>
  <r>
    <s v="93084"/>
    <d v="2025-08-14T00:00:00"/>
    <x v="174"/>
    <x v="10"/>
    <s v="Sacramento"/>
    <n v="0"/>
    <n v="0"/>
    <n v="0"/>
    <n v="22.78"/>
    <n v="-22.78"/>
    <n v="0"/>
    <s v="Rayna Mitchell"/>
    <s v="Simon Sheppard"/>
    <s v="Rayna Mitchell"/>
    <n v="0"/>
  </r>
  <r>
    <s v="92467"/>
    <d v="2025-08-30T00:00:00"/>
    <x v="175"/>
    <x v="5"/>
    <s v="San Francisco"/>
    <n v="0"/>
    <n v="0"/>
    <n v="0"/>
    <n v="37.5"/>
    <n v="-37.5"/>
    <n v="0"/>
    <s v="Eddie Cabrera"/>
    <s v="Jill Marsh"/>
    <s v="Other"/>
    <n v="0"/>
  </r>
  <r>
    <s v="93921"/>
    <d v="2025-08-14T00:00:00"/>
    <x v="176"/>
    <x v="3"/>
    <s v="San Jose"/>
    <n v="5702.2"/>
    <n v="0"/>
    <n v="5702.2"/>
    <n v="4498.26"/>
    <n v="1203.94"/>
    <n v="0.21113604999999999"/>
    <s v="Mary Sparacino"/>
    <s v="Chris Cicisly"/>
    <s v="Mary Sparacino"/>
    <n v="1"/>
  </r>
  <r>
    <s v="93921"/>
    <d v="2025-08-21T00:00:00"/>
    <x v="176"/>
    <x v="3"/>
    <s v="San Jose"/>
    <n v="0"/>
    <n v="0"/>
    <n v="0"/>
    <n v="9.8699999999999992"/>
    <n v="-9.8699999999999992"/>
    <n v="0"/>
    <s v="Mary Sparacino"/>
    <s v="Chris Cicisly"/>
    <s v="Mary Sparacino"/>
    <n v="0"/>
  </r>
  <r>
    <s v="93942"/>
    <d v="2025-08-25T00:00:00"/>
    <x v="176"/>
    <x v="3"/>
    <s v="San Jose"/>
    <n v="8710.24"/>
    <n v="0"/>
    <n v="8710.24"/>
    <n v="6922.68"/>
    <n v="1787.56"/>
    <n v="0.20522510999999999"/>
    <s v="Mary Sparacino"/>
    <s v="Chris Cicisly"/>
    <s v="Mary Sparacino"/>
    <n v="1"/>
  </r>
  <r>
    <s v="93942"/>
    <d v="2025-08-27T00:00:00"/>
    <x v="176"/>
    <x v="3"/>
    <s v="San Jose"/>
    <n v="0"/>
    <n v="236.21"/>
    <n v="236.21"/>
    <n v="304.87"/>
    <n v="-68.66"/>
    <n v="-0.29067355"/>
    <s v="Mary Sparacino"/>
    <s v="Chris Cicisly"/>
    <s v="Mary Sparacino"/>
    <n v="0"/>
  </r>
  <r>
    <s v="93825"/>
    <d v="2025-08-01T00:00:00"/>
    <x v="177"/>
    <x v="8"/>
    <s v="San Jose"/>
    <n v="0"/>
    <n v="0"/>
    <n v="0"/>
    <n v="10"/>
    <n v="-10"/>
    <n v="0"/>
    <s v="Anthony Pantaleoni,Hana Estrada"/>
    <s v="Olivia Gorfain"/>
    <s v="Anthony Pantaleoni"/>
    <n v="0"/>
  </r>
  <r>
    <s v="93825"/>
    <d v="2025-08-08T00:00:00"/>
    <x v="177"/>
    <x v="8"/>
    <s v="San Jose"/>
    <n v="0"/>
    <n v="0"/>
    <n v="0"/>
    <n v="1075.28"/>
    <n v="-1075.28"/>
    <n v="0"/>
    <s v="Anthony Pantaleoni,Hana Estrada"/>
    <s v="Olivia Gorfain"/>
    <s v="Anthony Pantaleoni"/>
    <n v="0"/>
  </r>
  <r>
    <s v="93825"/>
    <d v="2025-08-10T00:00:00"/>
    <x v="177"/>
    <x v="8"/>
    <s v="San Jose"/>
    <n v="0"/>
    <n v="0"/>
    <n v="0"/>
    <n v="505"/>
    <n v="-505"/>
    <n v="0"/>
    <s v="Anthony Pantaleoni,Hana Estrada"/>
    <s v="Olivia Gorfain"/>
    <s v="Anthony Pantaleoni"/>
    <n v="0"/>
  </r>
  <r>
    <s v="93825"/>
    <d v="2025-08-11T00:00:00"/>
    <x v="177"/>
    <x v="8"/>
    <s v="San Jose"/>
    <n v="0"/>
    <n v="0"/>
    <n v="0"/>
    <n v="-80"/>
    <n v="80"/>
    <n v="0"/>
    <s v="Anthony Pantaleoni,Hana Estrada"/>
    <s v="Olivia Gorfain"/>
    <s v="Anthony Pantaleoni"/>
    <n v="0"/>
  </r>
  <r>
    <s v="93825"/>
    <d v="2025-08-21T00:00:00"/>
    <x v="177"/>
    <x v="8"/>
    <s v="San Jose"/>
    <n v="0"/>
    <n v="0"/>
    <n v="0"/>
    <n v="19.64"/>
    <n v="-19.64"/>
    <n v="0"/>
    <s v="Anthony Pantaleoni,Hana Estrada"/>
    <s v="Olivia Gorfain"/>
    <s v="Anthony Pantaleoni"/>
    <n v="0"/>
  </r>
  <r>
    <s v="93748"/>
    <d v="2025-08-26T00:00:00"/>
    <x v="178"/>
    <x v="22"/>
    <s v="Sacramento"/>
    <n v="57468.73"/>
    <n v="0"/>
    <n v="57468.73"/>
    <n v="45621.63"/>
    <n v="11847.1"/>
    <n v="0.20614863"/>
    <s v="Farrah Race"/>
    <s v="Krissa Collins"/>
    <s v="Farrah Race"/>
    <n v="1"/>
  </r>
  <r>
    <s v="92532"/>
    <d v="2025-08-27T00:00:00"/>
    <x v="178"/>
    <x v="22"/>
    <s v="Sacramento"/>
    <n v="38432.839999999997"/>
    <n v="0"/>
    <n v="38432.839999999997"/>
    <n v="32379.54"/>
    <n v="6053.3"/>
    <n v="0.15750332"/>
    <s v="Farrah Race"/>
    <s v="Krissa Collins"/>
    <s v="Farrah Race"/>
    <n v="1"/>
  </r>
  <r>
    <s v="93748"/>
    <d v="2025-08-28T00:00:00"/>
    <x v="178"/>
    <x v="22"/>
    <s v="Sacramento"/>
    <n v="0"/>
    <n v="-344.23"/>
    <n v="-344.23"/>
    <n v="-367.69"/>
    <n v="23.46"/>
    <n v="-6.8152110000000002E-2"/>
    <s v="Farrah Race"/>
    <s v="Krissa Collins"/>
    <s v="Farrah Race"/>
    <n v="0"/>
  </r>
  <r>
    <s v="92532"/>
    <d v="2025-08-28T00:00:00"/>
    <x v="178"/>
    <x v="22"/>
    <s v="Sacramento"/>
    <n v="0"/>
    <n v="-332.48"/>
    <n v="-332.48"/>
    <n v="-91.4"/>
    <n v="-241.08"/>
    <n v="0.72509625"/>
    <s v="Farrah Race"/>
    <s v="Krissa Collins"/>
    <s v="Farrah Race"/>
    <n v="0"/>
  </r>
  <r>
    <s v="93748"/>
    <d v="2025-08-29T00:00:00"/>
    <x v="178"/>
    <x v="22"/>
    <s v="Sacramento"/>
    <n v="0"/>
    <n v="-1912.11"/>
    <n v="-1912.11"/>
    <n v="-648.47"/>
    <n v="-1263.6400000000001"/>
    <n v="0.66086155999999996"/>
    <s v="Farrah Race"/>
    <s v="Krissa Collins"/>
    <s v="Farrah Race"/>
    <n v="0"/>
  </r>
  <r>
    <s v="93601"/>
    <d v="2025-08-08T00:00:00"/>
    <x v="179"/>
    <x v="0"/>
    <s v="San Francisco"/>
    <n v="76975.13"/>
    <n v="0"/>
    <n v="76975.13"/>
    <n v="54156.21"/>
    <n v="22818.92"/>
    <n v="0.29644535999999999"/>
    <s v="Carina Collison"/>
    <s v="Owen Cunningham"/>
    <s v="Carina Collison"/>
    <n v="1"/>
  </r>
  <r>
    <s v="93601"/>
    <d v="2025-08-12T00:00:00"/>
    <x v="179"/>
    <x v="0"/>
    <s v="San Francisco"/>
    <n v="0"/>
    <n v="-489.86"/>
    <n v="-489.86"/>
    <n v="-342.9"/>
    <n v="-146.96"/>
    <n v="0.30000408000000001"/>
    <s v="Carina Collison"/>
    <s v="Owen Cunningham"/>
    <s v="Carina Collison"/>
    <n v="0"/>
  </r>
  <r>
    <s v="93601"/>
    <d v="2025-08-13T00:00:00"/>
    <x v="179"/>
    <x v="0"/>
    <s v="San Francisco"/>
    <n v="0"/>
    <n v="0"/>
    <n v="0"/>
    <n v="-150.69999999999999"/>
    <n v="150.69999999999999"/>
    <n v="0"/>
    <s v="Carina Collison"/>
    <s v="Owen Cunningham"/>
    <s v="Carina Collison"/>
    <n v="0"/>
  </r>
  <r>
    <s v="93039"/>
    <d v="2025-08-21T00:00:00"/>
    <x v="179"/>
    <x v="0"/>
    <s v="San Francisco"/>
    <n v="0"/>
    <n v="0"/>
    <n v="0"/>
    <n v="109.02"/>
    <n v="-109.02"/>
    <n v="0"/>
    <s v="Carina Collison"/>
    <s v="Owen Cunningham"/>
    <s v="Carina Collison"/>
    <n v="0"/>
  </r>
  <r>
    <s v="91509"/>
    <d v="2025-08-01T00:00:00"/>
    <x v="179"/>
    <x v="0"/>
    <s v="San Francisco"/>
    <n v="645"/>
    <n v="0"/>
    <n v="645"/>
    <n v="449.55"/>
    <n v="195.45"/>
    <n v="0.30302326000000002"/>
    <s v="Chryslyn Perkins"/>
    <s v="Owen Cunningham"/>
    <s v="Chryslyn Perkins"/>
    <n v="1"/>
  </r>
  <r>
    <s v="93552"/>
    <d v="2025-08-01T00:00:00"/>
    <x v="179"/>
    <x v="0"/>
    <s v="San Francisco"/>
    <n v="6045"/>
    <n v="0"/>
    <n v="6045"/>
    <n v="3200.08"/>
    <n v="2844.92"/>
    <n v="0.47062366"/>
    <s v="Chryslyn Perkins"/>
    <s v="Owen Cunningham"/>
    <s v="Chryslyn Perkins"/>
    <n v="1"/>
  </r>
  <r>
    <s v="91509"/>
    <d v="2025-08-02T00:00:00"/>
    <x v="179"/>
    <x v="0"/>
    <s v="San Francisco"/>
    <n v="0"/>
    <n v="-645"/>
    <n v="-645"/>
    <n v="-449.55"/>
    <n v="-195.45"/>
    <n v="0.30302326000000002"/>
    <s v="Chryslyn Perkins"/>
    <s v="Owen Cunningham"/>
    <s v="Chryslyn Perkins"/>
    <n v="0"/>
  </r>
  <r>
    <s v="91535"/>
    <d v="2025-08-18T00:00:00"/>
    <x v="179"/>
    <x v="0"/>
    <s v="San Francisco"/>
    <n v="0"/>
    <n v="0"/>
    <n v="0"/>
    <n v="132.37"/>
    <n v="-132.37"/>
    <n v="0"/>
    <s v="Chryslyn Perkins"/>
    <s v="Owen Cunningham"/>
    <s v="Chryslyn Perkins"/>
    <n v="0"/>
  </r>
  <r>
    <s v="91509"/>
    <d v="2025-08-27T00:00:00"/>
    <x v="179"/>
    <x v="0"/>
    <s v="San Francisco"/>
    <n v="0"/>
    <n v="0"/>
    <n v="0"/>
    <n v="0"/>
    <n v="0"/>
    <n v="0"/>
    <s v="Chryslyn Perkins"/>
    <s v="Owen Cunningham"/>
    <s v="Chryslyn Perkins"/>
    <n v="0"/>
  </r>
  <r>
    <s v="93882"/>
    <d v="2025-08-05T00:00:00"/>
    <x v="180"/>
    <x v="8"/>
    <s v="San Francisco"/>
    <n v="975"/>
    <n v="0"/>
    <n v="975"/>
    <n v="382.36"/>
    <n v="592.64"/>
    <n v="0.60783589999999998"/>
    <s v="Melissa Rokes"/>
    <s v="Olivia Gorfain"/>
    <s v="Melissa Rokes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200E5-E53C-014F-A92D-D3D9EBF5449B}" name="PivotTable5" cacheId="4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 rowHeaderCaption="Client">
  <location ref="A4:B52" firstHeaderRow="1" firstDataRow="1" firstDataCol="1" rowPageCount="1" colPageCount="1"/>
  <pivotFields count="15">
    <pivotField axis="axisRow" showAll="0">
      <items count="71">
        <item x="56"/>
        <item x="64"/>
        <item x="57"/>
        <item x="65"/>
        <item x="25"/>
        <item x="34"/>
        <item x="36"/>
        <item x="30"/>
        <item x="21"/>
        <item x="52"/>
        <item x="13"/>
        <item x="44"/>
        <item x="14"/>
        <item x="22"/>
        <item x="16"/>
        <item x="29"/>
        <item x="2"/>
        <item x="8"/>
        <item x="51"/>
        <item x="20"/>
        <item x="26"/>
        <item x="35"/>
        <item x="19"/>
        <item x="6"/>
        <item x="61"/>
        <item x="4"/>
        <item x="43"/>
        <item x="11"/>
        <item x="54"/>
        <item x="33"/>
        <item x="38"/>
        <item x="39"/>
        <item x="63"/>
        <item x="17"/>
        <item x="55"/>
        <item x="0"/>
        <item x="1"/>
        <item m="1" x="67"/>
        <item x="46"/>
        <item x="45"/>
        <item x="24"/>
        <item x="18"/>
        <item x="50"/>
        <item x="58"/>
        <item x="59"/>
        <item x="7"/>
        <item x="47"/>
        <item x="31"/>
        <item x="53"/>
        <item x="48"/>
        <item x="23"/>
        <item x="27"/>
        <item x="32"/>
        <item x="37"/>
        <item x="49"/>
        <item m="1" x="68"/>
        <item m="1" x="69"/>
        <item x="3"/>
        <item x="9"/>
        <item x="60"/>
        <item x="28"/>
        <item x="10"/>
        <item x="66"/>
        <item x="62"/>
        <item x="40"/>
        <item x="41"/>
        <item x="42"/>
        <item x="12"/>
        <item x="15"/>
        <item x="5"/>
        <item t="default"/>
      </items>
    </pivotField>
    <pivotField showAll="0"/>
    <pivotField showAll="0"/>
    <pivotField name="Director" axis="axisPage" showAll="0">
      <items count="49">
        <item x="10"/>
        <item x="15"/>
        <item x="17"/>
        <item x="5"/>
        <item x="7"/>
        <item m="1" x="18"/>
        <item x="6"/>
        <item x="12"/>
        <item x="14"/>
        <item m="1" x="36"/>
        <item x="3"/>
        <item x="8"/>
        <item x="9"/>
        <item m="1" x="41"/>
        <item m="1" x="42"/>
        <item x="13"/>
        <item x="0"/>
        <item m="1" x="23"/>
        <item m="1" x="45"/>
        <item m="1" x="47"/>
        <item x="1"/>
        <item m="1" x="39"/>
        <item x="4"/>
        <item m="1" x="44"/>
        <item m="1" x="46"/>
        <item x="2"/>
        <item m="1" x="40"/>
        <item x="11"/>
        <item m="1" x="34"/>
        <item m="1" x="21"/>
        <item m="1" x="31"/>
        <item m="1" x="33"/>
        <item m="1" x="22"/>
        <item m="1" x="20"/>
        <item m="1" x="26"/>
        <item m="1" x="27"/>
        <item m="1" x="19"/>
        <item x="16"/>
        <item m="1" x="43"/>
        <item m="1" x="24"/>
        <item m="1" x="25"/>
        <item m="1" x="28"/>
        <item m="1" x="29"/>
        <item m="1" x="30"/>
        <item m="1" x="32"/>
        <item m="1" x="35"/>
        <item m="1" x="37"/>
        <item m="1" x="38"/>
        <item t="default"/>
      </items>
    </pivotField>
    <pivotField axis="axisRow" showAll="0" sortType="ascending">
      <items count="2742">
        <item sd="0" m="1" x="956"/>
        <item sd="0" m="1" x="1464"/>
        <item sd="0" m="1" x="2141"/>
        <item sd="0" m="1" x="272"/>
        <item sd="0" m="1" x="870"/>
        <item sd="0" m="1" x="575"/>
        <item sd="0" m="1" x="2057"/>
        <item sd="0" m="1" x="1442"/>
        <item sd="0" m="1" x="361"/>
        <item sd="0" m="1" x="118"/>
        <item sd="0" m="1" x="1346"/>
        <item sd="0" m="1" x="725"/>
        <item sd="0" m="1" x="1254"/>
        <item sd="0" m="1" x="282"/>
        <item sd="0" m="1" x="2036"/>
        <item sd="0" m="1" x="2157"/>
        <item sd="0" m="1" x="1796"/>
        <item sd="0" m="1" x="951"/>
        <item sd="0" m="1" x="1887"/>
        <item sd="0" m="1" x="1870"/>
        <item sd="0" m="1" x="2717"/>
        <item sd="0" x="5"/>
        <item sd="0" m="1" x="491"/>
        <item sd="0" m="1" x="1549"/>
        <item sd="0" m="1" x="1484"/>
        <item sd="0" m="1" x="727"/>
        <item sd="0" m="1" x="1288"/>
        <item sd="0" m="1" x="1739"/>
        <item sd="0" m="1" x="804"/>
        <item sd="0" m="1" x="451"/>
        <item sd="0" m="1" x="1888"/>
        <item sd="0" x="12"/>
        <item sd="0" m="1" x="2159"/>
        <item sd="0" m="1" x="1623"/>
        <item sd="0" m="1" x="2037"/>
        <item sd="0" m="1" x="78"/>
        <item sd="0" m="1" x="2611"/>
        <item sd="0" m="1" x="1378"/>
        <item sd="0" m="1" x="1556"/>
        <item sd="0" m="1" x="959"/>
        <item sd="0" m="1" x="177"/>
        <item sd="0" m="1" x="2038"/>
        <item sd="0" m="1" x="1737"/>
        <item sd="0" m="1" x="2160"/>
        <item sd="0" m="1" x="2161"/>
        <item sd="0" m="1" x="357"/>
        <item sd="0" m="1" x="1142"/>
        <item sd="0" m="1" x="1003"/>
        <item sd="0" m="1" x="2688"/>
        <item sd="0" m="1" x="2162"/>
        <item sd="0" m="1" x="1096"/>
        <item sd="0" m="1" x="1016"/>
        <item sd="0" m="1" x="2039"/>
        <item sd="0" m="1" x="88"/>
        <item sd="0" m="1" x="1738"/>
        <item sd="0" m="1" x="2163"/>
        <item sd="0" m="1" x="1459"/>
        <item sd="0" m="1" x="2164"/>
        <item sd="0" m="1" x="2153"/>
        <item sd="0" m="1" x="89"/>
        <item sd="0" m="1" x="2165"/>
        <item sd="0" m="1" x="730"/>
        <item sd="0" m="1" x="1630"/>
        <item sd="0" m="1" x="1005"/>
        <item sd="0" m="1" x="2166"/>
        <item sd="0" m="1" x="1348"/>
        <item sd="0" m="1" x="1006"/>
        <item sd="0" m="1" x="731"/>
        <item sd="0" m="1" x="1651"/>
        <item sd="0" m="1" x="2167"/>
        <item sd="0" m="1" x="1008"/>
        <item sd="0" m="1" x="2168"/>
        <item sd="0" m="1" x="1367"/>
        <item sd="0" m="1" x="2146"/>
        <item sd="0" m="1" x="90"/>
        <item sd="0" m="1" x="2169"/>
        <item sd="0" m="1" x="266"/>
        <item sd="0" m="1" x="922"/>
        <item sd="0" m="1" x="442"/>
        <item sd="0" m="1" x="364"/>
        <item sd="0" m="1" x="732"/>
        <item sd="0" m="1" x="1555"/>
        <item sd="0" m="1" x="2170"/>
        <item sd="0" m="1" x="418"/>
        <item sd="0" m="1" x="887"/>
        <item sd="0" m="1" x="265"/>
        <item sd="0" m="1" x="292"/>
        <item sd="0" m="1" x="2171"/>
        <item sd="0" m="1" x="68"/>
        <item sd="0" m="1" x="521"/>
        <item sd="0" m="1" x="616"/>
        <item sd="0" m="1" x="2484"/>
        <item sd="0" m="1" x="617"/>
        <item sd="0" m="1" x="284"/>
        <item sd="0" m="1" x="2172"/>
        <item sd="0" m="1" x="2659"/>
        <item sd="0" m="1" x="1617"/>
        <item sd="0" m="1" x="1363"/>
        <item sd="0" m="1" x="2173"/>
        <item sd="0" m="1" x="232"/>
        <item sd="0" m="1" x="2174"/>
        <item sd="0" m="1" x="2175"/>
        <item sd="0" m="1" x="2176"/>
        <item sd="0" m="1" x="2040"/>
        <item sd="0" m="1" x="562"/>
        <item sd="0" m="1" x="1476"/>
        <item sd="0" m="1" x="242"/>
        <item sd="0" m="1" x="181"/>
        <item sd="0" m="1" x="1465"/>
        <item sd="0" m="1" x="2678"/>
        <item sd="0" m="1" x="1482"/>
        <item sd="0" m="1" x="815"/>
        <item sd="0" m="1" x="1128"/>
        <item sd="0" m="1" x="2489"/>
        <item sd="0" m="1" x="2177"/>
        <item sd="0" m="1" x="2385"/>
        <item sd="0" m="1" x="1129"/>
        <item sd="0" m="1" x="2178"/>
        <item sd="0" m="1" x="2181"/>
        <item sd="0" m="1" x="1012"/>
        <item sd="0" m="1" x="890"/>
        <item sd="0" m="1" x="2182"/>
        <item sd="0" m="1" x="1874"/>
        <item sd="0" m="1" x="2183"/>
        <item sd="0" m="1" x="1727"/>
        <item sd="0" m="1" x="2184"/>
        <item sd="0" m="1" x="1408"/>
        <item sd="0" m="1" x="238"/>
        <item sd="0" m="1" x="2185"/>
        <item sd="0" m="1" x="93"/>
        <item sd="0" m="1" x="1041"/>
        <item sd="0" m="1" x="734"/>
        <item sd="0" m="1" x="1042"/>
        <item sd="0" m="1" x="1309"/>
        <item sd="0" m="1" x="1399"/>
        <item sd="0" m="1" x="1547"/>
        <item sd="0" m="1" x="2186"/>
        <item sd="0" m="1" x="344"/>
        <item sd="0" m="1" x="94"/>
        <item sd="0" m="1" x="2187"/>
        <item sd="0" m="1" x="2188"/>
        <item sd="0" m="1" x="983"/>
        <item sd="0" m="1" x="2041"/>
        <item sd="0" m="1" x="547"/>
        <item sd="0" m="1" x="1359"/>
        <item sd="0" m="1" x="1303"/>
        <item sd="0" m="1" x="1552"/>
        <item sd="0" m="1" x="981"/>
        <item sd="0" m="1" x="54"/>
        <item sd="0" m="1" x="255"/>
        <item sd="0" m="1" x="497"/>
        <item sd="0" m="1" x="2190"/>
        <item sd="0" m="1" x="2191"/>
        <item sd="0" m="1" x="2192"/>
        <item sd="0" m="1" x="2650"/>
        <item sd="0" m="1" x="621"/>
        <item sd="0" m="1" x="1045"/>
        <item sd="0" m="1" x="880"/>
        <item sd="0" m="1" x="1046"/>
        <item sd="0" m="1" x="274"/>
        <item sd="0" m="1" x="1047"/>
        <item sd="0" m="1" x="2193"/>
        <item sd="0" m="1" x="1049"/>
        <item sd="0" m="1" x="1050"/>
        <item sd="0" m="1" x="1962"/>
        <item sd="0" m="1" x="735"/>
        <item sd="0" m="1" x="2194"/>
        <item sd="0" m="1" x="2083"/>
        <item sd="0" m="1" x="2682"/>
        <item sd="0" m="1" x="287"/>
        <item sd="0" m="1" x="432"/>
        <item sd="0" m="1" x="472"/>
        <item sd="0" m="1" x="1868"/>
        <item sd="0" m="1" x="419"/>
        <item sd="0" m="1" x="2389"/>
        <item sd="0" m="1" x="1052"/>
        <item sd="0" m="1" x="1053"/>
        <item sd="0" m="1" x="2618"/>
        <item sd="0" m="1" x="2637"/>
        <item sd="0" m="1" x="2641"/>
        <item sd="0" m="1" x="366"/>
        <item sd="0" m="1" x="296"/>
        <item sd="0" m="1" x="1218"/>
        <item sd="0" m="1" x="1151"/>
        <item sd="0" m="1" x="620"/>
        <item sd="0" m="1" x="1344"/>
        <item sd="0" m="1" x="1203"/>
        <item sd="0" m="1" x="2195"/>
        <item sd="0" m="1" x="736"/>
        <item sd="0" m="1" x="538"/>
        <item sd="0" m="1" x="2196"/>
        <item sd="0" m="1" x="1200"/>
        <item sd="0" m="1" x="1873"/>
        <item sd="0" m="1" x="1744"/>
        <item sd="0" m="1" x="2197"/>
        <item sd="0" m="1" x="1505"/>
        <item sd="0" m="1" x="622"/>
        <item sd="0" m="1" x="2261"/>
        <item sd="0" m="1" x="2000"/>
        <item sd="0" m="1" x="374"/>
        <item sd="0" m="1" x="1741"/>
        <item sd="0" m="1" x="1948"/>
        <item sd="0" m="1" x="1056"/>
        <item sd="0" m="1" x="304"/>
        <item sd="0" m="1" x="498"/>
        <item sd="0" m="1" x="737"/>
        <item sd="0" m="1" x="2042"/>
        <item sd="0" m="1" x="2198"/>
        <item sd="0" m="1" x="1643"/>
        <item sd="0" m="1" x="1475"/>
        <item sd="0" m="1" x="738"/>
        <item sd="0" m="1" x="1058"/>
        <item sd="0" m="1" x="1863"/>
        <item sd="0" m="1" x="2635"/>
        <item sd="0" m="1" x="97"/>
        <item sd="0" m="1" x="739"/>
        <item sd="0" m="1" x="516"/>
        <item sd="0" m="1" x="807"/>
        <item sd="0" m="1" x="2651"/>
        <item sd="0" m="1" x="2115"/>
        <item sd="0" m="1" x="625"/>
        <item sd="0" m="1" x="1978"/>
        <item sd="0" m="1" x="2043"/>
        <item sd="0" m="1" x="895"/>
        <item sd="0" m="1" x="626"/>
        <item sd="0" m="1" x="1063"/>
        <item sd="0" m="1" x="1253"/>
        <item sd="0" m="1" x="1393"/>
        <item sd="0" m="1" x="1020"/>
        <item sd="0" m="1" x="492"/>
        <item sd="0" m="1" x="1804"/>
        <item sd="0" m="1" x="2085"/>
        <item sd="0" m="1" x="1900"/>
        <item sd="0" m="1" x="1886"/>
        <item sd="0" m="1" x="573"/>
        <item sd="0" m="1" x="2638"/>
        <item sd="0" m="1" x="628"/>
        <item sd="0" m="1" x="2508"/>
        <item sd="0" m="1" x="464"/>
        <item sd="0" m="1" x="1224"/>
        <item sd="0" m="1" x="2002"/>
        <item sd="0" m="1" x="1500"/>
        <item sd="0" m="1" x="2199"/>
        <item sd="0" m="1" x="448"/>
        <item sd="0" m="1" x="412"/>
        <item sd="0" m="1" x="98"/>
        <item sd="0" m="1" x="1575"/>
        <item sd="0" m="1" x="2601"/>
        <item sd="0" m="1" x="1508"/>
        <item sd="0" m="1" x="741"/>
        <item sd="0" m="1" x="2200"/>
        <item sd="0" m="1" x="175"/>
        <item sd="0" m="1" x="1349"/>
        <item sd="0" m="1" x="1622"/>
        <item sd="0" m="1" x="2080"/>
        <item sd="0" m="1" x="806"/>
        <item sd="0" m="1" x="1981"/>
        <item sd="0" m="1" x="594"/>
        <item sd="0" m="1" x="2201"/>
        <item sd="0" m="1" x="1947"/>
        <item sd="0" m="1" x="1069"/>
        <item sd="0" m="1" x="47"/>
        <item sd="0" m="1" x="1382"/>
        <item sd="0" m="1" x="1701"/>
        <item sd="0" m="1" x="2681"/>
        <item sd="0" m="1" x="1355"/>
        <item sd="0" m="1" x="2202"/>
        <item sd="0" m="1" x="1364"/>
        <item sd="0" m="1" x="743"/>
        <item sd="0" m="1" x="1072"/>
        <item sd="0" m="1" x="1327"/>
        <item sd="0" m="1" x="1240"/>
        <item sd="0" m="1" x="250"/>
        <item sd="0" m="1" x="2704"/>
        <item sd="0" m="1" x="301"/>
        <item sd="0" m="1" x="2726"/>
        <item sd="0" m="1" x="2572"/>
        <item sd="0" m="1" x="744"/>
        <item sd="0" m="1" x="2018"/>
        <item sd="0" m="1" x="1073"/>
        <item sd="0" m="1" x="745"/>
        <item sd="0" m="1" x="746"/>
        <item sd="0" m="1" x="2204"/>
        <item sd="0" m="1" x="1137"/>
        <item sd="0" m="1" x="2205"/>
        <item sd="0" m="1" x="529"/>
        <item sd="0" m="1" x="577"/>
        <item sd="0" m="1" x="215"/>
        <item sd="0" m="1" x="499"/>
        <item sd="0" m="1" x="1418"/>
        <item sd="0" m="1" x="1940"/>
        <item sd="0" m="1" x="474"/>
        <item sd="0" m="1" x="986"/>
        <item sd="0" m="1" x="72"/>
        <item sd="0" m="1" x="1388"/>
        <item sd="0" m="1" x="2206"/>
        <item sd="0" m="1" x="99"/>
        <item sd="0" m="1" x="1330"/>
        <item sd="0" m="1" x="1237"/>
        <item sd="0" m="1" x="1282"/>
        <item sd="0" m="1" x="1294"/>
        <item sd="0" m="1" x="2207"/>
        <item sd="0" m="1" x="2208"/>
        <item sd="0" m="1" x="811"/>
        <item sd="0" m="1" x="747"/>
        <item sd="0" m="1" x="1310"/>
        <item sd="0" m="1" x="2081"/>
        <item sd="0" m="1" x="1771"/>
        <item sd="0" m="1" x="449"/>
        <item sd="0" m="1" x="1341"/>
        <item sd="0" m="1" x="1878"/>
        <item sd="0" m="1" x="159"/>
        <item sd="0" m="1" x="576"/>
        <item sd="0" m="1" x="551"/>
        <item sd="0" m="1" x="2209"/>
        <item sd="0" m="1" x="2003"/>
        <item sd="0" m="1" x="1078"/>
        <item sd="0" m="1" x="2210"/>
        <item sd="0" m="1" x="1453"/>
        <item sd="0" m="1" x="1935"/>
        <item sd="0" m="1" x="251"/>
        <item sd="0" m="1" x="1574"/>
        <item sd="0" m="1" x="1306"/>
        <item sd="0" m="1" x="1905"/>
        <item sd="0" m="1" x="1652"/>
        <item sd="0" m="1" x="313"/>
        <item sd="0" m="1" x="631"/>
        <item sd="0" m="1" x="1079"/>
        <item sd="0" m="1" x="526"/>
        <item sd="0" m="1" x="1757"/>
        <item sd="0" m="1" x="2211"/>
        <item sd="0" m="1" x="1037"/>
        <item sd="0" m="1" x="561"/>
        <item sd="0" m="1" x="926"/>
        <item sd="0" m="1" x="2577"/>
        <item sd="0" m="1" x="2212"/>
        <item sd="0" m="1" x="1360"/>
        <item sd="0" m="1" x="2086"/>
        <item sd="0" m="1" x="1377"/>
        <item sd="0" m="1" x="2213"/>
        <item sd="0" m="1" x="100"/>
        <item sd="0" m="1" x="476"/>
        <item sd="0" m="1" x="1336"/>
        <item sd="0" m="1" x="1907"/>
        <item sd="0" m="1" x="1956"/>
        <item sd="0" m="1" x="1909"/>
        <item sd="0" m="1" x="452"/>
        <item sd="0" m="1" x="109"/>
        <item sd="0" m="1" x="399"/>
        <item sd="0" m="1" x="1083"/>
        <item sd="0" m="1" x="2214"/>
        <item sd="0" m="1" x="1085"/>
        <item sd="0" m="1" x="748"/>
        <item sd="0" m="1" x="2215"/>
        <item sd="0" m="1" x="2589"/>
        <item sd="0" m="1" x="1087"/>
        <item sd="0" m="1" x="254"/>
        <item sd="0" m="1" x="2563"/>
        <item sd="0" m="1" x="749"/>
        <item sd="0" m="1" x="1088"/>
        <item sd="0" m="1" x="2581"/>
        <item sd="0" m="1" x="81"/>
        <item sd="0" m="1" x="1095"/>
        <item sd="0" m="1" x="158"/>
        <item sd="0" m="1" x="950"/>
        <item sd="0" m="1" x="979"/>
        <item sd="0" m="1" x="1098"/>
        <item sd="0" m="1" x="2571"/>
        <item sd="0" m="1" x="1084"/>
        <item sd="0" x="38"/>
        <item sd="0" m="1" x="2630"/>
        <item sd="0" m="1" x="103"/>
        <item sd="0" m="1" x="2716"/>
        <item sd="0" m="1" x="633"/>
        <item sd="0" m="1" x="1438"/>
        <item sd="0" m="1" x="1147"/>
        <item sd="0" m="1" x="1520"/>
        <item sd="0" m="1" x="1149"/>
        <item sd="0" m="1" x="102"/>
        <item sd="0" m="1" x="1091"/>
        <item sd="0" m="1" x="115"/>
        <item sd="0" m="1" x="116"/>
        <item sd="0" m="1" x="1152"/>
        <item sd="0" m="1" x="618"/>
        <item sd="0" m="1" x="1380"/>
        <item sd="0" m="1" x="117"/>
        <item sd="0" m="1" x="649"/>
        <item sd="0" m="1" x="648"/>
        <item sd="0" m="1" x="1089"/>
        <item sd="0" m="1" x="2670"/>
        <item sd="0" m="1" x="2216"/>
        <item sd="0" m="1" x="1090"/>
        <item sd="0" m="1" x="2004"/>
        <item sd="0" m="1" x="1021"/>
        <item sd="0" m="1" x="523"/>
        <item sd="0" m="1" x="578"/>
        <item sd="0" m="1" x="1764"/>
        <item sd="0" m="1" x="908"/>
        <item sd="0" m="1" x="2560"/>
        <item sd="0" m="1" x="1803"/>
        <item sd="0" m="1" x="2242"/>
        <item sd="0" m="1" x="49"/>
        <item sd="0" m="1" x="2044"/>
        <item sd="0" m="1" x="1397"/>
        <item sd="0" m="1" x="2649"/>
        <item sd="0" m="1" x="2217"/>
        <item sd="0" m="1" x="1163"/>
        <item sd="0" m="1" x="148"/>
        <item sd="0" m="1" x="2596"/>
        <item sd="0" m="1" x="167"/>
        <item sd="0" m="1" x="970"/>
        <item sd="0" m="1" x="1094"/>
        <item sd="0" m="1" x="2218"/>
        <item sd="0" m="1" x="1898"/>
        <item sd="0" m="1" x="2219"/>
        <item sd="0" m="1" x="883"/>
        <item sd="0" m="1" x="873"/>
        <item sd="0" m="1" x="2600"/>
        <item sd="0" m="1" x="2380"/>
        <item sd="0" m="1" x="1932"/>
        <item sd="0" m="1" x="1062"/>
        <item sd="0" m="1" x="2220"/>
        <item sd="0" m="1" x="1952"/>
        <item sd="0" m="1" x="1082"/>
        <item sd="0" m="1" x="1289"/>
        <item sd="0" m="1" x="2721"/>
        <item sd="0" m="1" x="106"/>
        <item sd="0" m="1" x="360"/>
        <item sd="0" m="1" x="1998"/>
        <item sd="0" m="1" x="2339"/>
        <item sd="0" m="1" x="2667"/>
        <item sd="0" m="1" x="545"/>
        <item sd="0" m="1" x="2087"/>
        <item sd="0" m="1" x="751"/>
        <item sd="0" m="1" x="107"/>
        <item sd="0" m="1" x="509"/>
        <item sd="0" m="1" x="259"/>
        <item sd="0" m="1" x="1097"/>
        <item sd="0" m="1" x="1080"/>
        <item sd="0" x="10"/>
        <item sd="0" m="1" x="2559"/>
        <item sd="0" m="1" x="1621"/>
        <item sd="0" m="1" x="753"/>
        <item sd="0" m="1" x="331"/>
        <item sd="0" m="1" x="932"/>
        <item sd="0" x="22"/>
        <item sd="0" x="1"/>
        <item sd="0" m="1" x="2221"/>
        <item sd="0" m="1" x="2222"/>
        <item sd="0" m="1" x="369"/>
        <item sd="0" m="1" x="453"/>
        <item sd="0" m="1" x="58"/>
        <item sd="0" m="1" x="437"/>
        <item sd="0" m="1" x="1687"/>
        <item sd="0" m="1" x="1099"/>
        <item sd="0" m="1" x="2224"/>
        <item sd="0" m="1" x="2045"/>
        <item sd="0" m="1" x="2608"/>
        <item sd="0" m="1" x="1783"/>
        <item sd="0" m="1" x="1885"/>
        <item sd="0" m="1" x="636"/>
        <item sd="0" m="1" x="108"/>
        <item sd="0" m="1" x="52"/>
        <item sd="0" m="1" x="1103"/>
        <item sd="0" x="18"/>
        <item sd="0" m="1" x="1993"/>
        <item sd="0" m="1" x="2016"/>
        <item sd="0" m="1" x="1911"/>
        <item sd="0" m="1" x="593"/>
        <item sd="0" m="1" x="754"/>
        <item sd="0" m="1" x="755"/>
        <item sd="0" m="1" x="407"/>
        <item sd="0" m="1" x="356"/>
        <item sd="0" m="1" x="1104"/>
        <item sd="0" m="1" x="2225"/>
        <item sd="0" m="1" x="1105"/>
        <item sd="0" m="1" x="756"/>
        <item sd="0" m="1" x="2158"/>
        <item sd="0" m="1" x="752"/>
        <item sd="0" m="1" x="2046"/>
        <item sd="0" m="1" x="2226"/>
        <item sd="0" m="1" x="1913"/>
        <item sd="0" m="1" x="2150"/>
        <item sd="0" m="1" x="919"/>
        <item sd="0" m="1" x="2020"/>
        <item sd="0" m="1" x="208"/>
        <item sd="0" m="1" x="1708"/>
        <item sd="0" m="1" x="1111"/>
        <item sd="0" m="1" x="454"/>
        <item sd="0" m="1" x="1112"/>
        <item sd="0" m="1" x="309"/>
        <item sd="0" m="1" x="1869"/>
        <item sd="0" m="1" x="302"/>
        <item sd="0" m="1" x="852"/>
        <item sd="0" m="1" x="1205"/>
        <item sd="0" m="1" x="1113"/>
        <item sd="0" m="1" x="713"/>
        <item sd="0" m="1" x="638"/>
        <item sd="0" m="1" x="1210"/>
        <item sd="0" m="1" x="1070"/>
        <item sd="0" m="1" x="1805"/>
        <item sd="0" m="1" x="1806"/>
        <item sd="0" m="1" x="216"/>
        <item sd="0" m="1" x="1809"/>
        <item sd="0" m="1" x="875"/>
        <item sd="0" m="1" x="2669"/>
        <item sd="0" m="1" x="1126"/>
        <item sd="0" m="1" x="110"/>
        <item sd="0" m="1" x="1054"/>
        <item sd="0" m="1" x="1830"/>
        <item sd="0" m="1" x="1832"/>
        <item sd="0" m="1" x="1818"/>
        <item sd="0" m="1" x="1106"/>
        <item sd="0" x="19"/>
        <item sd="0" m="1" x="1043"/>
        <item sd="0" m="1" x="1712"/>
        <item sd="0" x="33"/>
        <item sd="0" m="1" x="1615"/>
        <item sd="0" m="1" x="1810"/>
        <item sd="0" m="1" x="1114"/>
        <item sd="0" m="1" x="1143"/>
        <item sd="0" m="1" x="1535"/>
        <item sd="0" m="1" x="1812"/>
        <item sd="0" m="1" x="2088"/>
        <item sd="0" m="1" x="1813"/>
        <item sd="0" m="1" x="111"/>
        <item sd="0" m="1" x="2228"/>
        <item sd="0" m="1" x="1000"/>
        <item sd="0" m="1" x="2229"/>
        <item sd="0" m="1" x="2578"/>
        <item sd="0" m="1" x="2230"/>
        <item sd="0" m="1" x="1030"/>
        <item sd="0" m="1" x="2564"/>
        <item sd="0" m="1" x="946"/>
        <item sd="0" m="1" x="2231"/>
        <item sd="0" m="1" x="50"/>
        <item sd="0" m="1" x="378"/>
        <item sd="0" m="1" x="2232"/>
        <item sd="0" m="1" x="2456"/>
        <item sd="0" m="1" x="276"/>
        <item sd="0" m="1" x="758"/>
        <item sd="0" m="1" x="1010"/>
        <item sd="0" m="1" x="1120"/>
        <item sd="0" m="1" x="900"/>
        <item sd="0" m="1" x="2663"/>
        <item sd="0" m="1" x="2233"/>
        <item sd="0" m="1" x="1015"/>
        <item sd="0" m="1" x="1026"/>
        <item sd="0" m="1" x="641"/>
        <item sd="0" m="1" x="642"/>
        <item sd="0" m="1" x="597"/>
        <item sd="0" m="1" x="2606"/>
        <item sd="0" m="1" x="643"/>
        <item sd="0" m="1" x="1918"/>
        <item sd="0" m="1" x="635"/>
        <item sd="0" m="1" x="1123"/>
        <item sd="0" m="1" x="2234"/>
        <item sd="0" m="1" x="112"/>
        <item sd="0" m="1" x="1742"/>
        <item sd="0" m="1" x="878"/>
        <item sd="0" m="1" x="2235"/>
        <item sd="0" m="1" x="1984"/>
        <item sd="0" m="1" x="2007"/>
        <item sd="0" m="1" x="2236"/>
        <item sd="0" m="1" x="759"/>
        <item sd="0" m="1" x="933"/>
        <item sd="0" m="1" x="436"/>
        <item sd="0" m="1" x="2664"/>
        <item sd="0" m="1" x="2078"/>
        <item sd="0" m="1" x="1775"/>
        <item sd="0" m="1" x="2586"/>
        <item sd="0" m="1" x="475"/>
        <item sd="0" m="1" x="1109"/>
        <item sd="0" m="1" x="2674"/>
        <item sd="0" m="1" x="2657"/>
        <item sd="0" m="1" x="1700"/>
        <item sd="0" m="1" x="539"/>
        <item sd="0" m="1" x="455"/>
        <item sd="0" m="1" x="952"/>
        <item sd="0" m="1" x="315"/>
        <item sd="0" m="1" x="408"/>
        <item sd="0" m="1" x="867"/>
        <item sd="0" m="1" x="2506"/>
        <item sd="0" m="1" x="114"/>
        <item sd="0" m="1" x="2237"/>
        <item sd="0" m="1" x="1402"/>
        <item sd="0" m="1" x="164"/>
        <item sd="0" m="1" x="645"/>
        <item sd="0" m="1" x="1638"/>
        <item sd="0" m="1" x="1139"/>
        <item sd="0" m="1" x="1146"/>
        <item sd="0" m="1" x="554"/>
        <item sd="0" m="1" x="2634"/>
        <item sd="0" m="1" x="994"/>
        <item sd="0" m="1" x="2465"/>
        <item sd="0" m="1" x="1406"/>
        <item sd="0" m="1" x="1236"/>
        <item sd="0" m="1" x="1959"/>
        <item sd="0" m="1" x="1247"/>
        <item sd="0" m="1" x="1481"/>
        <item sd="0" m="1" x="1876"/>
        <item sd="0" m="1" x="1141"/>
        <item sd="0" m="1" x="1065"/>
        <item sd="0" m="1" x="646"/>
        <item sd="0" m="1" x="2731"/>
        <item sd="0" m="1" x="1573"/>
        <item sd="0" m="1" x="647"/>
        <item sd="0" m="1" x="2239"/>
        <item sd="0" m="1" x="126"/>
        <item sd="0" m="1" x="96"/>
        <item sd="0" m="1" x="1329"/>
        <item sd="0" m="1" x="760"/>
        <item sd="0" m="1" x="1270"/>
        <item sd="0" m="1" x="2558"/>
        <item sd="0" m="1" x="869"/>
        <item sd="0" m="1" x="1145"/>
        <item sd="0" m="1" x="1510"/>
        <item sd="0" x="20"/>
        <item sd="0" m="1" x="1175"/>
        <item sd="0" m="1" x="1795"/>
        <item sd="0" m="1" x="1124"/>
        <item sd="0" m="1" x="1802"/>
        <item sd="0" x="7"/>
        <item sd="0" x="37"/>
        <item sd="0" m="1" x="1298"/>
        <item sd="0" m="1" x="1339"/>
        <item sd="0" m="1" x="1816"/>
        <item sd="0" m="1" x="1762"/>
        <item sd="0" m="1" x="1532"/>
        <item sd="0" m="1" x="2240"/>
        <item sd="0" m="1" x="871"/>
        <item sd="0" m="1" x="2718"/>
        <item sd="0" m="1" x="91"/>
        <item sd="0" m="1" x="2241"/>
        <item sd="0" m="1" x="2030"/>
        <item sd="0" m="1" x="1672"/>
        <item sd="0" m="1" x="761"/>
        <item sd="0" m="1" x="2089"/>
        <item sd="0" m="1" x="2227"/>
        <item sd="0" m="1" x="762"/>
        <item sd="0" m="1" x="1148"/>
        <item sd="0" m="1" x="316"/>
        <item sd="0" m="1" x="2633"/>
        <item sd="0" m="1" x="1242"/>
        <item sd="0" m="1" x="260"/>
        <item sd="0" m="1" x="1412"/>
        <item sd="0" m="1" x="1384"/>
        <item sd="0" m="1" x="763"/>
        <item sd="0" m="1" x="1682"/>
        <item sd="0" m="1" x="385"/>
        <item sd="0" m="1" x="591"/>
        <item sd="0" m="1" x="1565"/>
        <item sd="0" m="1" x="2243"/>
        <item sd="0" m="1" x="1153"/>
        <item sd="0" m="1" x="500"/>
        <item sd="0" m="1" x="2552"/>
        <item sd="0" m="1" x="217"/>
        <item sd="0" m="1" x="1229"/>
        <item sd="0" m="1" x="373"/>
        <item sd="0" m="1" x="433"/>
        <item sd="0" m="1" x="2632"/>
        <item sd="0" m="1" x="1092"/>
        <item sd="0" m="1" x="1241"/>
        <item sd="0" m="1" x="1743"/>
        <item sd="0" m="1" x="244"/>
        <item sd="0" m="1" x="444"/>
        <item sd="0" m="1" x="2047"/>
        <item sd="0" m="1" x="1403"/>
        <item sd="0" m="1" x="1644"/>
        <item sd="0" m="1" x="1158"/>
        <item sd="0" m="1" x="1612"/>
        <item sd="0" m="1" x="372"/>
        <item sd="0" m="1" x="2588"/>
        <item sd="0" m="1" x="1872"/>
        <item sd="0" m="1" x="1478"/>
        <item sd="0" m="1" x="2244"/>
        <item sd="0" m="1" x="1865"/>
        <item sd="0" m="1" x="319"/>
        <item sd="0" m="1" x="303"/>
        <item sd="0" m="1" x="1879"/>
        <item sd="0" m="1" x="2351"/>
        <item sd="0" m="1" x="1875"/>
        <item sd="0" m="1" x="2090"/>
        <item sd="0" m="1" x="2245"/>
        <item sd="0" m="1" x="2072"/>
        <item sd="0" m="1" x="2374"/>
        <item sd="0" m="1" x="2091"/>
        <item sd="0" m="1" x="311"/>
        <item sd="0" m="1" x="2246"/>
        <item sd="0" m="1" x="2247"/>
        <item sd="0" m="1" x="333"/>
        <item sd="0" m="1" x="765"/>
        <item sd="0" m="1" x="1318"/>
        <item sd="0" m="1" x="2248"/>
        <item sd="0" m="1" x="1276"/>
        <item sd="0" m="1" x="650"/>
        <item sd="0" m="1" x="2557"/>
        <item sd="0" m="1" x="997"/>
        <item sd="0" m="1" x="1130"/>
        <item sd="0" m="1" x="2249"/>
        <item sd="0" m="1" x="1362"/>
        <item sd="0" m="1" x="1836"/>
        <item sd="0" m="1" x="131"/>
        <item sd="0" m="1" x="202"/>
        <item sd="0" m="1" x="2250"/>
        <item sd="0" m="1" x="321"/>
        <item sd="0" m="1" x="146"/>
        <item sd="0" m="1" x="2697"/>
        <item sd="0" m="1" x="652"/>
        <item sd="0" m="1" x="740"/>
        <item sd="0" m="1" x="920"/>
        <item sd="0" m="1" x="291"/>
        <item sd="0" m="1" x="1170"/>
        <item sd="0" m="1" x="513"/>
        <item sd="0" m="1" x="2251"/>
        <item sd="0" m="1" x="1899"/>
        <item sd="0" m="1" x="766"/>
        <item sd="0" m="1" x="456"/>
        <item sd="0" m="1" x="1171"/>
        <item sd="0" m="1" x="2687"/>
        <item sd="0" m="1" x="1172"/>
        <item sd="0" m="1" x="1439"/>
        <item sd="0" m="1" x="2252"/>
        <item sd="0" m="1" x="1544"/>
        <item sd="0" m="1" x="2143"/>
        <item sd="0" m="1" x="653"/>
        <item sd="0" m="1" x="615"/>
        <item sd="0" m="1" x="2615"/>
        <item sd="0" m="1" x="550"/>
        <item sd="0" m="1" x="1174"/>
        <item sd="0" m="1" x="2253"/>
        <item sd="0" m="1" x="2254"/>
        <item sd="0" m="1" x="445"/>
        <item sd="0" m="1" x="290"/>
        <item sd="0" m="1" x="1305"/>
        <item sd="0" m="1" x="1930"/>
        <item sd="0" m="1" x="767"/>
        <item sd="0" m="1" x="992"/>
        <item sd="0" m="1" x="2565"/>
        <item sd="0" m="1" x="2658"/>
        <item sd="0" m="1" x="1915"/>
        <item sd="0" m="1" x="1221"/>
        <item sd="0" m="1" x="411"/>
        <item sd="0" m="1" x="2257"/>
        <item sd="0" m="1" x="1211"/>
        <item sd="0" m="1" x="2258"/>
        <item sd="0" m="1" x="1931"/>
        <item sd="0" m="1" x="84"/>
        <item sd="0" m="1" x="1745"/>
        <item sd="0" m="1" x="1135"/>
        <item sd="0" m="1" x="2092"/>
        <item sd="0" m="1" x="654"/>
        <item sd="0" m="1" x="1413"/>
        <item sd="0" m="1" x="1131"/>
        <item sd="0" m="1" x="1215"/>
        <item sd="0" m="1" x="947"/>
        <item sd="0" m="1" x="1668"/>
        <item sd="0" m="1" x="1179"/>
        <item sd="0" m="1" x="85"/>
        <item sd="0" m="1" x="553"/>
        <item sd="0" m="1" x="768"/>
        <item sd="0" m="1" x="1194"/>
        <item sd="0" x="31"/>
        <item sd="0" m="1" x="1140"/>
        <item sd="0" m="1" x="655"/>
        <item sd="0" m="1" x="233"/>
        <item sd="0" m="1" x="769"/>
        <item sd="0" x="27"/>
        <item sd="0" m="1" x="1627"/>
        <item sd="0" m="1" x="945"/>
        <item sd="0" m="1" x="1746"/>
        <item sd="0" m="1" x="322"/>
        <item sd="0" m="1" x="1747"/>
        <item sd="0" m="1" x="1664"/>
        <item sd="0" m="1" x="1515"/>
        <item sd="0" m="1" x="1600"/>
        <item sd="0" m="1" x="1181"/>
        <item sd="0" m="1" x="1877"/>
        <item sd="0" m="1" x="2073"/>
        <item sd="0" m="1" x="891"/>
        <item sd="0" m="1" x="574"/>
        <item sd="0" m="1" x="2262"/>
        <item sd="0" m="1" x="1748"/>
        <item sd="0" m="1" x="570"/>
        <item sd="0" m="1" x="2093"/>
        <item sd="0" m="1" x="2263"/>
        <item sd="0" m="1" x="1183"/>
        <item sd="0" m="1" x="2642"/>
        <item sd="0" m="1" x="171"/>
        <item sd="0" m="1" x="256"/>
        <item sd="0" m="1" x="1405"/>
        <item sd="0" m="1" x="1531"/>
        <item sd="0" m="1" x="488"/>
        <item sd="0" m="1" x="443"/>
        <item sd="0" m="1" x="122"/>
        <item sd="0" m="1" x="1186"/>
        <item sd="0" m="1" x="2264"/>
        <item sd="0" m="1" x="326"/>
        <item sd="0" m="1" x="2265"/>
        <item sd="0" m="1" x="327"/>
        <item sd="0" m="1" x="978"/>
        <item sd="0" m="1" x="2266"/>
        <item sd="0" m="1" x="248"/>
        <item sd="0" m="1" x="534"/>
        <item sd="0" m="1" x="1506"/>
        <item sd="0" m="1" x="2077"/>
        <item sd="0" m="1" x="1498"/>
        <item sd="0" m="1" x="1287"/>
        <item sd="0" m="1" x="156"/>
        <item sd="0" m="1" x="394"/>
        <item sd="0" m="1" x="1361"/>
        <item sd="0" m="1" x="1592"/>
        <item sd="0" m="1" x="1492"/>
        <item sd="0" m="1" x="1468"/>
        <item sd="0" m="1" x="2580"/>
        <item sd="0" m="1" x="1568"/>
        <item sd="0" m="1" x="2026"/>
        <item sd="0" m="1" x="664"/>
        <item sd="0" m="1" x="1955"/>
        <item sd="0" m="1" x="2267"/>
        <item sd="0" m="1" x="295"/>
        <item sd="0" m="1" x="1191"/>
        <item sd="0" m="1" x="1729"/>
        <item sd="0" m="1" x="771"/>
        <item sd="0" m="1" x="1195"/>
        <item sd="0" m="1" x="1571"/>
        <item sd="0" m="1" x="2094"/>
        <item sd="0" m="1" x="2015"/>
        <item sd="0" m="1" x="2524"/>
        <item sd="0" m="1" x="2271"/>
        <item sd="0" m="1" x="1789"/>
        <item sd="0" m="1" x="306"/>
        <item sd="0" m="1" x="1954"/>
        <item sd="0" m="1" x="865"/>
        <item sd="0" m="1" x="1835"/>
        <item sd="0" m="1" x="801"/>
        <item sd="0" m="1" x="1790"/>
        <item sd="0" m="1" x="2272"/>
        <item sd="0" m="1" x="1774"/>
        <item sd="0" m="1" x="1653"/>
        <item sd="0" m="1" x="1441"/>
        <item sd="0" m="1" x="2095"/>
        <item sd="0" m="1" x="2274"/>
        <item sd="0" m="1" x="1793"/>
        <item sd="0" m="1" x="990"/>
        <item sd="0" m="1" x="2273"/>
        <item sd="0" m="1" x="1819"/>
        <item sd="0" m="1" x="2275"/>
        <item sd="0" m="1" x="2076"/>
        <item sd="0" m="1" x="2276"/>
        <item sd="0" m="1" x="1204"/>
        <item sd="0" m="1" x="1526"/>
        <item sd="0" m="1" x="2145"/>
        <item sd="0" m="1" x="1503"/>
        <item sd="0" m="1" x="560"/>
        <item sd="0" m="1" x="1550"/>
        <item sd="0" m="1" x="872"/>
        <item sd="0" m="1" x="2277"/>
        <item sd="0" m="1" x="1425"/>
        <item sd="0" m="1" x="1340"/>
        <item sd="0" m="1" x="1167"/>
        <item sd="0" m="1" x="2278"/>
        <item sd="0" m="1" x="2279"/>
        <item sd="0" m="1" x="772"/>
        <item sd="0" m="1" x="728"/>
        <item sd="0" m="1" x="658"/>
        <item sd="0" m="1" x="1176"/>
        <item sd="0" m="1" x="1315"/>
        <item sd="0" m="1" x="2096"/>
        <item sd="0" m="1" x="123"/>
        <item sd="0" m="1" x="1337"/>
        <item sd="0" m="1" x="270"/>
        <item sd="0" m="1" x="2280"/>
        <item sd="0" m="1" x="125"/>
        <item sd="0" m="1" x="2074"/>
        <item sd="0" m="1" x="2281"/>
        <item sd="0" m="1" x="2282"/>
        <item sd="0" m="1" x="659"/>
        <item sd="0" m="1" x="1450"/>
        <item sd="0" m="1" x="2283"/>
        <item sd="0" m="1" x="925"/>
        <item sd="0" m="1" x="1470"/>
        <item sd="0" m="1" x="1209"/>
        <item sd="0" m="1" x="660"/>
        <item sd="0" m="1" x="2550"/>
        <item sd="0" m="1" x="2648"/>
        <item sd="0" m="1" x="2345"/>
        <item sd="0" m="1" x="2097"/>
        <item sd="0" m="1" x="2048"/>
        <item sd="0" x="0"/>
        <item sd="0" m="1" x="1497"/>
        <item sd="0" m="1" x="2627"/>
        <item sd="0" m="1" x="1763"/>
        <item sd="0" m="1" x="1212"/>
        <item sd="0" m="1" x="410"/>
        <item sd="0" m="1" x="1961"/>
        <item sd="0" m="1" x="917"/>
        <item sd="0" m="1" x="988"/>
        <item sd="0" m="1" x="1197"/>
        <item sd="0" m="1" x="2284"/>
        <item sd="0" m="1" x="1213"/>
        <item sd="0" m="1" x="773"/>
        <item sd="0" m="1" x="1214"/>
        <item sd="0" m="1" x="1686"/>
        <item sd="0" m="1" x="218"/>
        <item sd="0" m="1" x="1509"/>
        <item sd="0" m="1" x="724"/>
        <item sd="0" m="1" x="1557"/>
        <item sd="0" m="1" x="330"/>
        <item sd="0" m="1" x="1216"/>
        <item sd="0" m="1" x="457"/>
        <item sd="0" m="1" x="1162"/>
        <item sd="0" m="1" x="2285"/>
        <item sd="0" m="1" x="2155"/>
        <item sd="0" m="1" x="2286"/>
        <item sd="0" m="1" x="2579"/>
        <item sd="0" m="1" x="1219"/>
        <item sd="0" m="1" x="2287"/>
        <item sd="0" m="1" x="2098"/>
        <item sd="0" m="1" x="2288"/>
        <item sd="0" m="1" x="1466"/>
        <item sd="0" m="1" x="2612"/>
        <item sd="0" m="1" x="2049"/>
        <item sd="0" m="1" x="176"/>
        <item sd="0" m="1" x="1749"/>
        <item sd="0" m="1" x="1455"/>
        <item sd="0" m="1" x="458"/>
        <item sd="0" m="1" x="1933"/>
        <item sd="0" m="1" x="1658"/>
        <item sd="0" m="1" x="775"/>
        <item sd="0" m="1" x="459"/>
        <item sd="0" m="1" x="129"/>
        <item sd="0" m="1" x="219"/>
        <item sd="0" m="1" x="2180"/>
        <item sd="0" m="1" x="750"/>
        <item sd="0" m="1" x="1044"/>
        <item sd="0" m="1" x="661"/>
        <item sd="0" m="1" x="663"/>
        <item sd="0" m="1" x="809"/>
        <item sd="0" m="1" x="130"/>
        <item sd="0" m="1" x="585"/>
        <item sd="0" m="1" x="1624"/>
        <item sd="0" m="1" x="943"/>
        <item sd="0" m="1" x="80"/>
        <item sd="0" m="1" x="1817"/>
        <item sd="0" m="1" x="2289"/>
        <item sd="0" m="1" x="1997"/>
        <item sd="0" m="1" x="960"/>
        <item sd="0" m="1" x="665"/>
        <item sd="0" m="1" x="505"/>
        <item sd="0" m="1" x="2100"/>
        <item sd="0" m="1" x="332"/>
        <item sd="0" m="1" x="776"/>
        <item sd="0" m="1" x="2290"/>
        <item sd="0" m="1" x="2291"/>
        <item sd="0" m="1" x="1169"/>
        <item sd="0" m="1" x="1022"/>
        <item sd="0" m="1" x="2101"/>
        <item sd="0" m="1" x="2710"/>
        <item sd="0" m="1" x="2292"/>
        <item sd="0" m="1" x="182"/>
        <item sd="0" m="1" x="48"/>
        <item sd="0" m="1" x="2269"/>
        <item sd="0" m="1" x="607"/>
        <item sd="0" m="1" x="2388"/>
        <item sd="0" m="1" x="252"/>
        <item sd="0" m="1" x="2692"/>
        <item sd="0" m="1" x="320"/>
        <item sd="0" m="1" x="863"/>
        <item sd="0" m="1" x="2293"/>
        <item sd="0" m="1" x="1436"/>
        <item sd="0" m="1" x="2102"/>
        <item sd="0" m="1" x="376"/>
        <item sd="0" m="1" x="2513"/>
        <item sd="0" m="1" x="359"/>
        <item sd="0" m="1" x="2147"/>
        <item sd="0" m="1" x="2154"/>
        <item sd="0" m="1" x="662"/>
        <item sd="0" m="1" x="334"/>
        <item sd="0" m="1" x="235"/>
        <item sd="0" m="1" x="2103"/>
        <item sd="0" m="1" x="76"/>
        <item sd="0" m="1" x="1919"/>
        <item sd="0" m="1" x="405"/>
        <item sd="0" m="1" x="2534"/>
        <item sd="0" m="1" x="2104"/>
        <item sd="0" m="1" x="2294"/>
        <item sd="0" m="1" x="1972"/>
        <item sd="0" m="1" x="1228"/>
        <item sd="0" m="1" x="1788"/>
        <item sd="0" x="46"/>
        <item sd="0" m="1" x="1189"/>
        <item sd="0" m="1" x="462"/>
        <item sd="0" m="1" x="1901"/>
        <item sd="0" m="1" x="777"/>
        <item sd="0" m="1" x="2592"/>
        <item sd="0" m="1" x="335"/>
        <item sd="0" m="1" x="2295"/>
        <item sd="0" m="1" x="2296"/>
        <item sd="0" m="1" x="612"/>
        <item sd="0" m="1" x="1027"/>
        <item sd="0" m="1" x="363"/>
        <item sd="0" m="1" x="1750"/>
        <item sd="0" m="1" x="1230"/>
        <item sd="0" m="1" x="1799"/>
        <item sd="0" m="1" x="1231"/>
        <item sd="0" m="1" x="2297"/>
        <item sd="0" m="1" x="1936"/>
        <item sd="0" m="1" x="579"/>
        <item sd="0" m="1" x="220"/>
        <item sd="0" m="1" x="666"/>
        <item sd="0" m="1" x="391"/>
        <item sd="0" m="1" x="2724"/>
        <item sd="0" m="1" x="2701"/>
        <item sd="0" m="1" x="2656"/>
        <item sd="0" m="1" x="778"/>
        <item sd="0" m="1" x="1675"/>
        <item sd="0" m="1" x="2298"/>
        <item sd="0" m="1" x="53"/>
        <item sd="0" m="1" x="1820"/>
        <item sd="0" m="1" x="1232"/>
        <item sd="0" m="1" x="1853"/>
        <item sd="0" m="1" x="1469"/>
        <item sd="0" m="1" x="61"/>
        <item sd="0" m="1" x="1884"/>
        <item sd="0" m="1" x="1941"/>
        <item sd="0" m="1" x="623"/>
        <item sd="0" m="1" x="2386"/>
        <item sd="0" m="1" x="1263"/>
        <item sd="0" m="1" x="1971"/>
        <item sd="0" m="1" x="1039"/>
        <item sd="0" m="1" x="1233"/>
        <item sd="0" m="1" x="530"/>
        <item sd="0" m="1" x="1892"/>
        <item sd="0" m="1" x="2300"/>
        <item sd="0" m="1" x="1165"/>
        <item sd="0" m="1" x="1507"/>
        <item sd="0" m="1" x="779"/>
        <item sd="0" m="1" x="2645"/>
        <item sd="0" m="1" x="2106"/>
        <item sd="0" m="1" x="358"/>
        <item sd="0" m="1" x="2301"/>
        <item sd="0" m="1" x="1386"/>
        <item sd="0" m="1" x="1822"/>
        <item sd="0" m="1" x="1235"/>
        <item sd="0" m="1" x="318"/>
        <item sd="0" m="1" x="2302"/>
        <item sd="0" m="1" x="1009"/>
        <item sd="0" m="1" x="1108"/>
        <item sd="0" m="1" x="2303"/>
        <item sd="0" m="1" x="2304"/>
        <item sd="0" m="1" x="1437"/>
        <item sd="0" m="1" x="581"/>
        <item sd="0" m="1" x="1100"/>
        <item sd="0" m="1" x="1071"/>
        <item sd="0" m="1" x="2305"/>
        <item sd="0" m="1" x="370"/>
        <item sd="0" m="1" x="1259"/>
        <item sd="0" m="1" x="59"/>
        <item sd="0" m="1" x="1683"/>
        <item sd="0" m="1" x="336"/>
        <item sd="0" m="1" x="60"/>
        <item sd="0" m="1" x="337"/>
        <item sd="0" m="1" x="2306"/>
        <item sd="0" m="1" x="1245"/>
        <item sd="0" m="1" x="2307"/>
        <item sd="0" m="1" x="268"/>
        <item sd="0" m="1" x="512"/>
        <item sd="0" m="1" x="1177"/>
        <item sd="0" m="1" x="868"/>
        <item sd="0" m="1" x="667"/>
        <item sd="0" m="1" x="1516"/>
        <item sd="0" m="1" x="494"/>
        <item sd="0" m="1" x="1238"/>
        <item sd="0" m="1" x="388"/>
        <item sd="0" m="1" x="283"/>
        <item sd="0" m="1" x="104"/>
        <item sd="0" m="1" x="1513"/>
        <item sd="0" m="1" x="2107"/>
        <item sd="0" m="1" x="1539"/>
        <item sd="0" m="1" x="537"/>
        <item sd="0" m="1" x="1752"/>
        <item sd="0" m="1" x="101"/>
        <item sd="0" m="1" x="195"/>
        <item sd="0" m="1" x="338"/>
        <item sd="0" m="1" x="668"/>
        <item sd="0" m="1" x="1193"/>
        <item sd="0" m="1" x="438"/>
        <item sd="0" m="1" x="221"/>
        <item sd="0" x="32"/>
        <item sd="0" m="1" x="2309"/>
        <item sd="0" m="1" x="2310"/>
        <item sd="0" m="1" x="1679"/>
        <item sd="0" m="1" x="2311"/>
        <item sd="0" m="1" x="948"/>
        <item sd="0" m="1" x="1928"/>
        <item sd="0" m="1" x="1551"/>
        <item sd="0" m="1" x="288"/>
        <item sd="0" m="1" x="273"/>
        <item sd="0" m="1" x="1711"/>
        <item sd="0" m="1" x="185"/>
        <item sd="0" m="1" x="1461"/>
        <item sd="0" m="1" x="1239"/>
        <item sd="0" m="1" x="1937"/>
        <item sd="0" m="1" x="903"/>
        <item sd="0" m="1" x="692"/>
        <item sd="0" m="1" x="506"/>
        <item sd="0" m="1" x="2312"/>
        <item sd="0" m="1" x="2313"/>
        <item sd="0" m="1" x="669"/>
        <item sd="0" m="1" x="876"/>
        <item sd="0" m="1" x="2314"/>
        <item sd="0" m="1" x="1244"/>
        <item sd="0" m="1" x="2108"/>
        <item sd="0" m="1" x="1420"/>
        <item sd="0" m="1" x="2315"/>
        <item sd="0" m="1" x="1992"/>
        <item sd="0" m="1" x="826"/>
        <item sd="0" m="1" x="2567"/>
        <item sd="0" m="1" x="774"/>
        <item sd="0" m="1" x="75"/>
        <item sd="0" m="1" x="1246"/>
        <item sd="0" m="1" x="2317"/>
        <item sd="0" m="1" x="2318"/>
        <item sd="0" m="1" x="672"/>
        <item sd="0" m="1" x="2319"/>
        <item sd="0" m="1" x="1645"/>
        <item sd="0" m="1" x="2017"/>
        <item sd="0" m="1" x="1248"/>
        <item sd="0" m="1" x="1249"/>
        <item sd="0" m="1" x="781"/>
        <item sd="0" m="1" x="1250"/>
        <item sd="0" m="1" x="1060"/>
        <item sd="0" m="1" x="671"/>
        <item sd="0" m="1" x="1252"/>
        <item sd="0" m="1" x="1880"/>
        <item sd="0" m="1" x="1286"/>
        <item sd="0" x="6"/>
        <item sd="0" m="1" x="348"/>
        <item sd="0" m="1" x="2320"/>
        <item sd="0" m="1" x="1243"/>
        <item sd="0" m="1" x="354"/>
        <item sd="0" m="1" x="2179"/>
        <item sd="0" m="1" x="2321"/>
        <item sd="0" m="1" x="1440"/>
        <item sd="0" m="1" x="884"/>
        <item sd="0" m="1" x="629"/>
        <item sd="0" m="1" x="2152"/>
        <item sd="0" m="1" x="764"/>
        <item sd="0" m="1" x="782"/>
        <item sd="0" m="1" x="2322"/>
        <item sd="0" m="1" x="783"/>
        <item sd="0" m="1" x="1371"/>
        <item sd="0" m="1" x="2323"/>
        <item sd="0" m="1" x="971"/>
        <item sd="0" m="1" x="1304"/>
        <item sd="0" m="1" x="2324"/>
        <item sd="0" m="1" x="1921"/>
        <item sd="0" m="1" x="368"/>
        <item sd="0" m="1" x="279"/>
        <item sd="0" m="1" x="57"/>
        <item sd="0" m="1" x="2325"/>
        <item sd="0" m="1" x="240"/>
        <item sd="0" m="1" x="286"/>
        <item sd="0" m="1" x="1589"/>
        <item sd="0" m="1" x="1271"/>
        <item sd="0" m="1" x="294"/>
        <item sd="0" m="1" x="549"/>
        <item sd="0" m="1" x="784"/>
        <item sd="0" m="1" x="1602"/>
        <item sd="0" m="1" x="2326"/>
        <item sd="0" m="1" x="1546"/>
        <item sd="0" m="1" x="1487"/>
        <item sd="0" m="1" x="1419"/>
        <item sd="0" m="1" x="281"/>
        <item sd="0" m="1" x="566"/>
        <item sd="0" m="1" x="341"/>
        <item sd="0" m="1" x="2554"/>
        <item sd="0" m="1" x="1740"/>
        <item sd="0" m="1" x="460"/>
        <item sd="0" m="1" x="1897"/>
        <item sd="0" m="1" x="1255"/>
        <item sd="0" m="1" x="785"/>
        <item sd="0" m="1" x="786"/>
        <item sd="0" m="1" x="2598"/>
        <item sd="0" m="1" x="477"/>
        <item sd="0" m="1" x="1753"/>
        <item sd="0" m="1" x="2056"/>
        <item sd="0" m="1" x="417"/>
        <item sd="0" x="4"/>
        <item sd="0" m="1" x="2075"/>
        <item sd="0" m="1" x="1093"/>
        <item sd="0" m="1" x="2737"/>
        <item sd="0" m="1" x="590"/>
        <item sd="0" m="1" x="2707"/>
        <item sd="0" m="1" x="1057"/>
        <item sd="0" m="1" x="599"/>
        <item sd="0" m="1" x="1654"/>
        <item sd="0" m="1" x="1257"/>
        <item sd="0" m="1" x="788"/>
        <item sd="0" m="1" x="1754"/>
        <item sd="0" m="1" x="536"/>
        <item sd="0" m="1" x="1258"/>
        <item sd="0" m="1" x="2327"/>
        <item sd="0" m="1" x="789"/>
        <item sd="0" m="1" x="567"/>
        <item sd="0" m="1" x="2328"/>
        <item sd="0" m="1" x="2329"/>
        <item sd="0" m="1" x="439"/>
        <item sd="0" m="1" x="406"/>
        <item sd="0" m="1" x="269"/>
        <item sd="0" m="1" x="1208"/>
        <item sd="0" m="1" x="1261"/>
        <item sd="0" m="1" x="1262"/>
        <item sd="0" m="1" x="592"/>
        <item sd="0" m="1" x="1522"/>
        <item sd="0" m="1" x="791"/>
        <item sd="0" m="1" x="1614"/>
        <item sd="0" m="1" x="1871"/>
        <item sd="0" m="1" x="2109"/>
        <item sd="0" m="1" x="1825"/>
        <item sd="0" m="1" x="559"/>
        <item sd="0" m="1" x="1591"/>
        <item sd="0" m="1" x="580"/>
        <item sd="0" m="1" x="1369"/>
        <item sd="0" m="1" x="548"/>
        <item sd="0" m="1" x="1192"/>
        <item sd="0" m="1" x="2105"/>
        <item sd="0" m="1" x="1256"/>
        <item sd="0" m="1" x="673"/>
        <item sd="0" m="1" x="899"/>
        <item sd="0" m="1" x="1264"/>
        <item sd="0" m="1" x="1265"/>
        <item sd="0" m="1" x="1824"/>
        <item sd="0" m="1" x="2110"/>
        <item sd="0" x="8"/>
        <item sd="0" m="1" x="511"/>
        <item sd="0" m="1" x="546"/>
        <item sd="0" m="1" x="64"/>
        <item sd="0" m="1" x="1201"/>
        <item sd="0" m="1" x="1266"/>
        <item sd="0" m="1" x="792"/>
        <item sd="0" m="1" x="1982"/>
        <item sd="0" x="44"/>
        <item sd="0" m="1" x="1577"/>
        <item sd="0" m="1" x="1613"/>
        <item sd="0" m="1" x="2330"/>
        <item sd="0" m="1" x="793"/>
        <item sd="0" m="1" x="2464"/>
        <item sd="0" m="1" x="2084"/>
        <item sd="0" m="1" x="794"/>
        <item sd="0" m="1" x="583"/>
        <item sd="0" m="1" x="1433"/>
        <item sd="0" m="1" x="1640"/>
        <item sd="0" m="1" x="2614"/>
        <item sd="0" m="1" x="503"/>
        <item sd="0" m="1" x="1267"/>
        <item sd="0" m="1" x="1036"/>
        <item sd="0" m="1" x="1302"/>
        <item sd="0" m="1" x="1225"/>
        <item sd="0" m="1" x="404"/>
        <item sd="0" m="1" x="1251"/>
        <item sd="0" m="1" x="2013"/>
        <item sd="0" m="1" x="510"/>
        <item sd="0" m="1" x="555"/>
        <item sd="0" m="1" x="1671"/>
        <item sd="0" m="1" x="1906"/>
        <item sd="0" m="1" x="2111"/>
        <item sd="0" m="1" x="1125"/>
        <item sd="0" m="1" x="461"/>
        <item sd="0" m="1" x="1351"/>
        <item sd="0" m="1" x="518"/>
        <item sd="0" m="1" x="2331"/>
        <item sd="0" m="1" x="1368"/>
        <item sd="0" m="1" x="222"/>
        <item sd="0" m="1" x="2332"/>
        <item sd="0" m="1" x="795"/>
        <item sd="0" m="1" x="674"/>
        <item sd="0" m="1" x="1132"/>
        <item sd="0" m="1" x="584"/>
        <item sd="0" m="1" x="1826"/>
        <item sd="0" m="1" x="2605"/>
        <item sd="0" m="1" x="1317"/>
        <item sd="0" m="1" x="1980"/>
        <item sd="0" m="1" x="1939"/>
        <item sd="0" m="1" x="1272"/>
        <item sd="0" m="1" x="675"/>
        <item sd="0" m="1" x="676"/>
        <item sd="0" m="1" x="1951"/>
        <item sd="0" m="1" x="2625"/>
        <item sd="0" x="13"/>
        <item sd="0" m="1" x="1474"/>
        <item sd="0" m="1" x="2333"/>
        <item sd="0" m="1" x="1277"/>
        <item sd="0" m="1" x="1572"/>
        <item sd="0" m="1" x="1278"/>
        <item sd="0" m="1" x="2334"/>
        <item sd="0" m="1" x="2335"/>
        <item sd="0" m="1" x="1784"/>
        <item sd="0" m="1" x="300"/>
        <item sd="0" m="1" x="1723"/>
        <item sd="0" m="1" x="1279"/>
        <item sd="0" m="1" x="1410"/>
        <item sd="0" m="1" x="152"/>
        <item sd="0" m="1" x="1594"/>
        <item sd="0" m="1" x="277"/>
        <item sd="0" m="1" x="1074"/>
        <item sd="0" m="1" x="132"/>
        <item sd="0" m="1" x="1934"/>
        <item sd="0" m="1" x="236"/>
        <item sd="0" m="1" x="1283"/>
        <item sd="0" m="1" x="2337"/>
        <item sd="0" m="1" x="426"/>
        <item sd="0" m="1" x="1606"/>
        <item sd="0" m="1" x="1966"/>
        <item sd="0" m="1" x="2391"/>
        <item sd="0" m="1" x="2338"/>
        <item sd="0" m="1" x="1354"/>
        <item sd="0" m="1" x="1463"/>
        <item sd="0" m="1" x="2340"/>
        <item sd="0" m="1" x="657"/>
        <item sd="0" m="1" x="2668"/>
        <item sd="0" m="1" x="906"/>
        <item sd="0" m="1" x="2341"/>
        <item sd="0" m="1" x="2739"/>
        <item sd="0" x="45"/>
        <item sd="0" m="1" x="463"/>
        <item sd="0" m="1" x="924"/>
        <item sd="0" m="1" x="1925"/>
        <item sd="0" m="1" x="2342"/>
        <item sd="0" m="1" x="2343"/>
        <item sd="0" m="1" x="2344"/>
        <item sd="0" m="1" x="963"/>
        <item sd="0" m="1" x="2033"/>
        <item sd="0" m="1" x="2346"/>
        <item sd="0" m="1" x="2223"/>
        <item sd="0" m="1" x="2715"/>
        <item sd="0" m="1" x="2613"/>
        <item sd="0" m="1" x="677"/>
        <item sd="0" m="1" x="1598"/>
        <item sd="0" m="1" x="2021"/>
        <item sd="0" m="1" x="2347"/>
        <item sd="0" m="1" x="2348"/>
        <item sd="0" m="1" x="1297"/>
        <item sd="0" m="1" x="343"/>
        <item sd="0" m="1" x="2551"/>
        <item sd="0" m="1" x="353"/>
        <item sd="0" m="1" x="1964"/>
        <item sd="0" m="1" x="441"/>
        <item sd="0" m="1" x="2050"/>
        <item sd="0" m="1" x="901"/>
        <item sd="0" m="1" x="1499"/>
        <item sd="0" m="1" x="450"/>
        <item sd="0" m="1" x="2654"/>
        <item sd="0" m="1" x="1646"/>
        <item sd="0" m="1" x="2466"/>
        <item sd="0" m="1" x="1860"/>
        <item sd="0" m="1" x="1299"/>
        <item sd="0" m="1" x="2028"/>
        <item sd="0" m="1" x="904"/>
        <item sd="0" m="1" x="2350"/>
        <item sd="0" m="1" x="135"/>
        <item sd="0" m="1" x="2336"/>
        <item sd="0" m="1" x="2349"/>
        <item sd="0" m="1" x="2582"/>
        <item sd="0" m="1" x="234"/>
        <item sd="0" m="1" x="1524"/>
        <item sd="0" m="1" x="1414"/>
        <item sd="0" m="1" x="1301"/>
        <item sd="0" m="1" x="133"/>
        <item sd="0" m="1" x="507"/>
        <item sd="0" m="1" x="527"/>
        <item sd="0" m="1" x="2112"/>
        <item sd="0" m="1" x="214"/>
        <item sd="0" m="1" x="213"/>
        <item sd="0" m="1" x="1999"/>
        <item sd="0" m="1" x="2352"/>
        <item sd="0" m="1" x="1185"/>
        <item sd="0" m="1" x="74"/>
        <item sd="0" m="1" x="1311"/>
        <item sd="0" m="1" x="2607"/>
        <item sd="0" m="1" x="2151"/>
        <item sd="0" m="1" x="1755"/>
        <item sd="0" m="1" x="184"/>
        <item sd="0" m="1" x="525"/>
        <item sd="0" m="1" x="1312"/>
        <item sd="0" m="1" x="1313"/>
        <item sd="0" m="1" x="543"/>
        <item sd="0" m="1" x="495"/>
        <item sd="0" m="1" x="2008"/>
        <item sd="0" m="1" x="1855"/>
        <item sd="0" m="1" x="944"/>
        <item sd="0" m="1" x="1081"/>
        <item sd="0" m="1" x="223"/>
        <item sd="0" m="1" x="2353"/>
        <item sd="0" m="1" x="138"/>
        <item sd="0" m="1" x="139"/>
        <item sd="0" m="1" x="73"/>
        <item sd="0" m="1" x="1007"/>
        <item sd="0" m="1" x="2354"/>
        <item sd="0" m="1" x="898"/>
        <item sd="0" m="1" x="1756"/>
        <item sd="0" m="1" x="2355"/>
        <item sd="0" m="1" x="2356"/>
        <item sd="0" m="1" x="1970"/>
        <item sd="0" m="1" x="1985"/>
        <item sd="0" m="1" x="1381"/>
        <item sd="0" m="1" x="345"/>
        <item sd="0" m="1" x="797"/>
        <item sd="0" m="1" x="678"/>
        <item sd="0" m="1" x="2358"/>
        <item sd="0" m="1" x="2496"/>
        <item sd="0" m="1" x="346"/>
        <item sd="0" m="1" x="2661"/>
        <item sd="0" m="1" x="237"/>
        <item sd="0" m="1" x="1628"/>
        <item sd="0" m="1" x="2359"/>
        <item sd="0" m="1" x="140"/>
        <item sd="0" m="1" x="1647"/>
        <item sd="0" m="1" x="1316"/>
        <item sd="0" m="1" x="1655"/>
        <item sd="0" m="1" x="1632"/>
        <item sd="0" m="1" x="1553"/>
        <item sd="0" m="1" x="1942"/>
        <item sd="0" m="1" x="1917"/>
        <item sd="0" m="1" x="2683"/>
        <item sd="0" m="1" x="836"/>
        <item sd="0" m="1" x="2360"/>
        <item sd="0" m="1" x="1949"/>
        <item sd="0" m="1" x="712"/>
        <item sd="0" m="1" x="2113"/>
        <item sd="0" m="1" x="1285"/>
        <item sd="0" m="1" x="271"/>
        <item sd="0" m="1" x="1319"/>
        <item sd="0" m="1" x="1011"/>
        <item sd="0" m="1" x="2361"/>
        <item sd="0" m="1" x="1357"/>
        <item sd="0" m="1" x="349"/>
        <item sd="0" m="1" x="2051"/>
        <item sd="0" x="3"/>
        <item sd="0" m="1" x="1963"/>
        <item sd="0" m="1" x="619"/>
        <item sd="0" m="1" x="2362"/>
        <item sd="0" m="1" x="877"/>
        <item sd="0" m="1" x="1893"/>
        <item sd="0" m="1" x="1827"/>
        <item sd="0" m="1" x="245"/>
        <item sd="0" m="1" x="996"/>
        <item sd="0" m="1" x="384"/>
        <item sd="0" m="1" x="2363"/>
        <item sd="0" m="1" x="980"/>
        <item sd="0" m="1" x="1548"/>
        <item sd="0" m="1" x="2720"/>
        <item sd="0" m="1" x="949"/>
        <item sd="0" m="1" x="1102"/>
        <item sd="0" m="1" x="689"/>
        <item sd="0" m="1" x="639"/>
        <item sd="0" m="1" x="1639"/>
        <item sd="0" m="1" x="1321"/>
        <item sd="0" m="1" x="1322"/>
        <item sd="0" m="1" x="2366"/>
        <item sd="0" m="1" x="528"/>
        <item sd="0" m="1" x="1973"/>
        <item sd="0" m="1" x="2553"/>
        <item sd="0" m="1" x="2590"/>
        <item sd="0" m="1" x="2583"/>
        <item sd="0" m="1" x="342"/>
        <item sd="0" m="1" x="1323"/>
        <item sd="0" m="1" x="2052"/>
        <item sd="0" m="1" x="1523"/>
        <item sd="0" m="1" x="1786"/>
        <item sd="0" m="1" x="1641"/>
        <item sd="0" m="1" x="1829"/>
        <item sd="0" m="1" x="681"/>
        <item sd="0" m="1" x="350"/>
        <item sd="0" m="1" x="2711"/>
        <item sd="0" m="1" x="1324"/>
        <item sd="0" m="1" x="390"/>
        <item sd="0" m="1" x="1725"/>
        <item sd="0" m="1" x="780"/>
        <item sd="0" m="1" x="2621"/>
        <item sd="0" m="1" x="955"/>
        <item sd="0" m="1" x="1924"/>
        <item sd="0" m="1" x="1950"/>
        <item sd="0" m="1" x="787"/>
        <item sd="0" x="15"/>
        <item sd="0" m="1" x="798"/>
        <item sd="0" m="1" x="323"/>
        <item sd="0" m="1" x="2364"/>
        <item sd="0" m="1" x="973"/>
        <item sd="0" m="1" x="142"/>
        <item sd="0" m="1" x="2365"/>
        <item sd="0" m="1" x="82"/>
        <item sd="0" m="1" x="1372"/>
        <item sd="0" m="1" x="1987"/>
        <item sd="0" m="1" x="1831"/>
        <item sd="0" m="1" x="1198"/>
        <item sd="0" m="1" x="916"/>
        <item sd="0" m="1" x="2685"/>
        <item sd="0" m="1" x="1953"/>
        <item sd="0" m="1" x="2703"/>
        <item sd="0" m="1" x="682"/>
        <item sd="0" m="1" x="264"/>
        <item sd="0" m="1" x="2367"/>
        <item sd="0" m="1" x="524"/>
        <item sd="0" m="1" x="1328"/>
        <item sd="0" m="1" x="1389"/>
        <item sd="0" m="1" x="2369"/>
        <item sd="0" m="1" x="1758"/>
        <item sd="0" m="1" x="1821"/>
        <item sd="0" m="1" x="965"/>
        <item sd="0" m="1" x="1334"/>
        <item sd="0" m="1" x="544"/>
        <item sd="0" m="1" x="2053"/>
        <item sd="0" m="1" x="2655"/>
        <item sd="0" m="1" x="1807"/>
        <item sd="0" m="1" x="2114"/>
        <item sd="0" m="1" x="1345"/>
        <item sd="0" m="1" x="2467"/>
        <item sd="0" m="1" x="2370"/>
        <item sd="0" m="1" x="964"/>
        <item sd="0" m="1" x="209"/>
        <item sd="0" m="1" x="2628"/>
        <item sd="0" m="1" x="1588"/>
        <item sd="0" m="1" x="1908"/>
        <item sd="0" m="1" x="1385"/>
        <item sd="0" m="1" x="1759"/>
        <item sd="0" m="1" x="51"/>
        <item sd="0" m="1" x="2371"/>
        <item sd="0" m="1" x="1275"/>
        <item sd="0" m="1" x="2677"/>
        <item sd="0" m="1" x="987"/>
        <item sd="0" m="1" x="2010"/>
        <item sd="0" m="1" x="683"/>
        <item sd="0" m="1" x="1760"/>
        <item sd="0" m="1" x="2373"/>
        <item sd="0" m="1" x="864"/>
        <item sd="0" m="1" x="2054"/>
        <item sd="0" m="1" x="1945"/>
        <item sd="0" m="1" x="684"/>
        <item sd="0" m="1" x="572"/>
        <item sd="0" m="1" x="145"/>
        <item sd="0" m="1" x="479"/>
        <item sd="0" m="1" x="1188"/>
        <item sd="0" m="1" x="799"/>
        <item sd="0" m="1" x="1833"/>
        <item sd="0" m="1" x="2375"/>
        <item sd="0" m="1" x="1761"/>
        <item sd="0" m="1" x="1883"/>
        <item sd="0" m="1" x="1048"/>
        <item sd="0" m="1" x="2568"/>
        <item sd="0" m="1" x="1891"/>
        <item sd="0" m="1" x="2376"/>
        <item sd="0" m="1" x="1716"/>
        <item sd="0" m="1" x="1642"/>
        <item sd="0" m="1" x="2377"/>
        <item sd="0" m="1" x="2432"/>
        <item sd="0" m="1" x="1542"/>
        <item sd="0" m="1" x="2691"/>
        <item sd="0" m="1" x="1370"/>
        <item sd="0" m="1" x="1133"/>
        <item sd="0" m="1" x="1636"/>
        <item sd="0" m="1" x="1815"/>
        <item sd="0" m="1" x="2665"/>
        <item sd="0" m="1" x="1320"/>
        <item sd="0" m="1" x="1447"/>
        <item sd="0" m="1" x="466"/>
        <item sd="0" m="1" x="1431"/>
        <item sd="0" m="1" x="481"/>
        <item sd="0" m="1" x="1307"/>
        <item sd="0" m="1" x="1527"/>
        <item sd="0" m="1" x="1077"/>
        <item sd="0" m="1" x="297"/>
        <item sd="0" m="1" x="2006"/>
        <item sd="0" m="1" x="147"/>
        <item sd="0" m="1" x="2378"/>
        <item sd="0" m="1" x="1199"/>
        <item sd="0" m="1" x="1452"/>
        <item sd="0" m="1" x="999"/>
        <item sd="0" m="1" x="2379"/>
        <item sd="0" m="1" x="113"/>
        <item sd="0" m="1" x="355"/>
        <item sd="0" m="1" x="1196"/>
        <item sd="0" m="1" x="1075"/>
        <item sd="0" m="1" x="831"/>
        <item sd="0" m="1" x="802"/>
        <item sd="0" m="1" x="1202"/>
        <item sd="0" m="1" x="2055"/>
        <item sd="0" m="1" x="1536"/>
        <item sd="0" m="1" x="568"/>
        <item sd="0" m="1" x="1038"/>
        <item sd="0" m="1" x="2025"/>
        <item sd="0" m="1" x="317"/>
        <item sd="0" m="1" x="1157"/>
        <item sd="0" m="1" x="154"/>
        <item sd="0" m="1" x="1300"/>
        <item sd="0" m="1" x="1485"/>
        <item sd="0" m="1" x="975"/>
        <item sd="0" m="1" x="2555"/>
        <item sd="0" m="1" x="2393"/>
        <item sd="0" m="1" x="687"/>
        <item sd="0" m="1" x="293"/>
        <item sd="0" m="1" x="262"/>
        <item sd="0" m="1" x="2673"/>
        <item sd="0" m="1" x="1068"/>
        <item sd="0" m="1" x="2394"/>
        <item sd="0" m="1" x="2604"/>
        <item sd="0" m="1" x="1059"/>
        <item sd="0" m="1" x="2626"/>
        <item sd="0" m="1" x="976"/>
        <item sd="0" m="1" x="2620"/>
        <item sd="0" m="1" x="1926"/>
        <item sd="0" m="1" x="2395"/>
        <item sd="0" m="1" x="2396"/>
        <item sd="0" m="1" x="224"/>
        <item sd="0" m="1" x="263"/>
        <item sd="0" m="1" x="1530"/>
        <item sd="0" m="1" x="1692"/>
        <item sd="0" m="1" x="1227"/>
        <item sd="0" m="1" x="83"/>
        <item sd="0" m="1" x="2629"/>
        <item sd="0" m="1" x="2397"/>
        <item sd="0" m="1" x="2595"/>
        <item sd="0" m="1" x="1427"/>
        <item sd="0" m="1" x="1920"/>
        <item sd="0" m="1" x="808"/>
        <item sd="0" m="1" x="1428"/>
        <item sd="0" m="1" x="810"/>
        <item sd="0" m="1" x="2116"/>
        <item sd="0" m="1" x="225"/>
        <item sd="0" m="1" x="2398"/>
        <item sd="0" m="1" x="1429"/>
        <item sd="0" m="1" x="2399"/>
        <item sd="0" m="1" x="688"/>
        <item sd="0" m="1" x="377"/>
        <item sd="0" m="1" x="2400"/>
        <item sd="0" m="1" x="1430"/>
        <item sd="0" m="1" x="1637"/>
        <item sd="0" m="1" x="1488"/>
        <item sd="0" m="1" x="1432"/>
        <item sd="0" m="1" x="2401"/>
        <item sd="0" m="1" x="2402"/>
        <item sd="0" m="1" x="247"/>
        <item sd="0" m="1" x="480"/>
        <item sd="0" m="1" x="2623"/>
        <item sd="0" m="1" x="1765"/>
        <item sd="0" m="1" x="1518"/>
        <item sd="0" m="1" x="957"/>
        <item sd="0" m="1" x="2403"/>
        <item sd="0" m="1" x="885"/>
        <item sd="0" m="1" x="2405"/>
        <item sd="0" m="1" x="2082"/>
        <item sd="0" m="1" x="2060"/>
        <item sd="0" m="1" x="467"/>
        <item sd="0" m="1" x="1373"/>
        <item sd="0" m="1" x="2406"/>
        <item sd="0" m="1" x="1837"/>
        <item sd="0" m="1" x="912"/>
        <item sd="0" m="1" x="1576"/>
        <item sd="0" m="1" x="1394"/>
        <item sd="0" m="1" x="1448"/>
        <item sd="0" m="1" x="1422"/>
        <item sd="0" m="1" x="889"/>
        <item sd="0" m="1" x="1449"/>
        <item sd="0" m="1" x="1159"/>
        <item sd="0" m="1" x="66"/>
        <item sd="0" m="1" x="1894"/>
        <item sd="0" m="1" x="314"/>
        <item sd="0" m="1" x="163"/>
        <item sd="0" m="1" x="1451"/>
        <item sd="0" m="1" x="2491"/>
        <item sd="0" m="1" x="381"/>
        <item sd="0" m="1" x="2407"/>
        <item sd="0" m="1" x="2408"/>
        <item sd="0" m="1" x="2410"/>
        <item sd="0" m="1" x="2675"/>
        <item sd="0" m="1" x="1751"/>
        <item sd="0" m="1" x="2409"/>
        <item sd="0" m="1" x="382"/>
        <item sd="0" m="1" x="1483"/>
        <item sd="0" m="1" x="246"/>
        <item sd="0" m="1" x="1454"/>
        <item sd="0" m="1" x="1766"/>
        <item sd="0" m="1" x="55"/>
        <item sd="0" m="1" x="468"/>
        <item sd="0" m="1" x="1220"/>
        <item sd="0" m="1" x="395"/>
        <item sd="0" m="1" x="1206"/>
        <item sd="0" m="1" x="2727"/>
        <item sd="0" m="1" x="308"/>
        <item sd="0" m="1" x="1910"/>
        <item sd="0" m="1" x="1457"/>
        <item sd="0" m="1" x="1456"/>
        <item sd="0" m="1" x="1458"/>
        <item sd="0" m="1" x="624"/>
        <item sd="0" m="1" x="1444"/>
        <item sd="0" m="1" x="1787"/>
        <item sd="0" m="1" x="2566"/>
        <item sd="0" m="1" x="2411"/>
        <item sd="0" m="1" x="367"/>
        <item sd="0" m="1" x="2412"/>
        <item sd="0" m="1" x="289"/>
        <item sd="0" m="1" x="2413"/>
        <item sd="0" m="1" x="1543"/>
        <item sd="0" m="1" x="2414"/>
        <item sd="0" m="1" x="1722"/>
        <item sd="0" m="1" x="170"/>
        <item sd="0" m="1" x="2404"/>
        <item sd="0" m="1" x="160"/>
        <item sd="0" m="1" x="1392"/>
        <item sd="0" m="1" x="2693"/>
        <item sd="0" m="1" x="2556"/>
        <item sd="0" m="1" x="2415"/>
        <item sd="0" m="1" x="733"/>
        <item sd="0" m="1" x="1656"/>
        <item sd="0" x="14"/>
        <item sd="0" m="1" x="1912"/>
        <item sd="0" m="1" x="1528"/>
        <item sd="0" m="1" x="1284"/>
        <item sd="0" m="1" x="165"/>
        <item sd="0" m="1" x="2270"/>
        <item sd="0" m="1" x="1914"/>
        <item sd="0" m="1" x="2653"/>
        <item sd="0" m="1" x="2118"/>
        <item sd="0" m="1" x="1390"/>
        <item sd="0" m="1" x="2034"/>
        <item sd="0" m="1" x="816"/>
        <item sd="0" m="1" x="166"/>
        <item sd="0" m="1" x="1281"/>
        <item sd="0" m="1" x="1395"/>
        <item sd="0" m="1" x="1471"/>
        <item sd="0" m="1" x="144"/>
        <item sd="0" m="1" x="2019"/>
        <item sd="0" m="1" x="586"/>
        <item sd="0" m="1" x="2602"/>
        <item sd="0" m="1" x="2417"/>
        <item sd="0" m="1" x="2418"/>
        <item sd="0" m="1" x="817"/>
        <item sd="0" m="1" x="2636"/>
        <item sd="0" m="1" x="1409"/>
        <item sd="0" m="1" x="1472"/>
        <item sd="0" m="1" x="690"/>
        <item sd="0" m="1" x="1473"/>
        <item sd="0" m="1" x="2419"/>
        <item sd="0" m="1" x="2420"/>
        <item sd="0" m="1" x="915"/>
        <item sd="0" m="1" x="2421"/>
        <item sd="0" m="1" x="2709"/>
        <item sd="0" m="1" x="2422"/>
        <item sd="0" m="1" x="2423"/>
        <item sd="0" m="1" x="2260"/>
        <item sd="0" m="1" x="862"/>
        <item sd="0" m="1" x="2684"/>
        <item sd="0" m="1" x="882"/>
        <item sd="0" m="1" x="2424"/>
        <item sd="0" m="1" x="1882"/>
        <item sd="0" m="1" x="1347"/>
        <item sd="0" m="1" x="691"/>
        <item sd="0" m="1" x="2690"/>
        <item sd="0" m="1" x="351"/>
        <item sd="0" m="1" x="2139"/>
        <item sd="0" m="1" x="2469"/>
        <item sd="0" m="1" x="1034"/>
        <item sd="0" m="1" x="501"/>
        <item sd="0" m="1" x="818"/>
        <item sd="0" m="1" x="819"/>
        <item sd="0" m="1" x="914"/>
        <item sd="0" m="1" x="63"/>
        <item sd="0" m="1" x="2119"/>
        <item sd="0" m="1" x="656"/>
        <item sd="0" m="1" x="2425"/>
        <item sd="0" m="1" x="149"/>
        <item sd="0" m="1" x="387"/>
        <item sd="0" m="1" x="557"/>
        <item sd="0" m="1" x="1785"/>
        <item sd="0" m="1" x="2061"/>
        <item sd="0" m="1" x="440"/>
        <item sd="0" m="1" x="2099"/>
        <item sd="0" m="1" x="2426"/>
        <item sd="0" m="1" x="995"/>
        <item sd="0" m="1" x="1767"/>
        <item sd="0" m="1" x="991"/>
        <item sd="0" m="1" x="386"/>
        <item sd="0" m="1" x="434"/>
        <item sd="0" m="1" x="2428"/>
        <item sd="0" m="1" x="2120"/>
        <item sd="0" m="1" x="820"/>
        <item sd="0" m="1" x="1994"/>
        <item sd="0" m="1" x="487"/>
        <item sd="0" m="1" x="95"/>
        <item sd="0" m="1" x="482"/>
        <item sd="0" m="1" x="87"/>
        <item sd="0" m="1" x="1938"/>
        <item sd="0" m="1" x="2062"/>
        <item sd="0" m="1" x="371"/>
        <item sd="0" m="1" x="210"/>
        <item sd="0" m="1" x="2671"/>
        <item sd="0" m="1" x="312"/>
        <item sd="0" m="1" x="1923"/>
        <item sd="0" m="1" x="120"/>
        <item sd="0" m="1" x="2429"/>
        <item sd="0" m="1" x="966"/>
        <item sd="0" m="1" x="821"/>
        <item sd="0" m="1" x="2068"/>
        <item sd="0" m="1" x="1489"/>
        <item sd="0" m="1" x="1490"/>
        <item sd="0" m="1" x="1491"/>
        <item sd="0" m="1" x="2430"/>
        <item sd="0" m="1" x="1684"/>
        <item sd="0" m="1" x="1379"/>
        <item sd="0" m="1" x="1730"/>
        <item sd="0" m="1" x="1800"/>
        <item sd="0" m="1" x="162"/>
        <item sd="0" m="1" x="1314"/>
        <item sd="0" m="1" x="694"/>
        <item sd="0" m="1" x="1493"/>
        <item sd="0" m="1" x="1435"/>
        <item sd="0" m="1" x="611"/>
        <item sd="0" m="1" x="1018"/>
        <item sd="0" m="1" x="2384"/>
        <item sd="0" m="1" x="2616"/>
        <item sd="0" m="1" x="2561"/>
        <item sd="0" m="1" x="1290"/>
        <item sd="0" m="1" x="1156"/>
        <item sd="0" m="1" x="401"/>
        <item sd="0" m="1" x="2142"/>
        <item sd="0" m="1" x="383"/>
        <item sd="0" m="1" x="2433"/>
        <item sd="0" m="1" x="380"/>
        <item sd="0" m="1" x="2434"/>
        <item sd="0" m="1" x="1986"/>
        <item sd="0" m="1" x="695"/>
        <item sd="0" m="1" x="1688"/>
        <item sd="0" m="1" x="907"/>
        <item sd="0" m="1" x="2387"/>
        <item sd="0" m="1" x="310"/>
        <item sd="0" m="1" x="168"/>
        <item sd="0" m="1" x="954"/>
        <item sd="0" m="1" x="1342"/>
        <item sd="0" m="1" x="328"/>
        <item sd="0" m="1" x="822"/>
        <item sd="0" m="1" x="403"/>
        <item sd="0" m="1" x="1486"/>
        <item sd="0" m="1" x="339"/>
        <item sd="0" m="1" x="823"/>
        <item sd="0" m="1" x="2435"/>
        <item sd="0" m="1" x="502"/>
        <item sd="0" m="1" x="565"/>
        <item sd="0" m="1" x="1501"/>
        <item sd="0" m="1" x="1023"/>
        <item sd="0" m="1" x="2436"/>
        <item sd="0" m="1" x="2733"/>
        <item sd="0" m="1" x="1217"/>
        <item sd="0" m="1" x="800"/>
        <item sd="0" m="1" x="1467"/>
        <item sd="0" m="1" x="389"/>
        <item sd="0" m="1" x="2063"/>
        <item sd="0" m="1" x="2437"/>
        <item sd="0" m="1" x="1064"/>
        <item sd="0" m="1" x="853"/>
        <item sd="0" m="1" x="936"/>
        <item sd="0" m="1" x="1596"/>
        <item sd="0" m="1" x="1502"/>
        <item sd="0" m="1" x="2438"/>
        <item sd="0" m="1" x="2129"/>
        <item sd="0" m="1" x="174"/>
        <item sd="0" m="1" x="2064"/>
        <item sd="0" m="1" x="161"/>
        <item sd="0" m="1" x="931"/>
        <item sd="0" m="1" x="2584"/>
        <item sd="0" m="1" x="923"/>
        <item sd="0" m="1" x="2439"/>
        <item sd="0" m="1" x="227"/>
        <item sd="0" m="1" x="1517"/>
        <item sd="0" m="1" x="2440"/>
        <item sd="0" x="25"/>
        <item sd="0" m="1" x="392"/>
        <item sd="0" m="1" x="824"/>
        <item sd="0" m="1" x="886"/>
        <item sd="0" m="1" x="1396"/>
        <item sd="0" m="1" x="1480"/>
        <item sd="0" m="1" x="2065"/>
        <item sd="0" m="1" x="1680"/>
        <item sd="0" m="1" x="1511"/>
        <item sd="0" m="1" x="393"/>
        <item sd="0" m="1" x="2441"/>
        <item sd="0" m="1" x="1792"/>
        <item sd="0" m="1" x="172"/>
        <item sd="0" m="1" x="1967"/>
        <item sd="0" m="1" x="1512"/>
        <item sd="0" m="1" x="825"/>
        <item sd="0" m="1" x="71"/>
        <item sd="0" m="1" x="1944"/>
        <item sd="0" m="1" x="2594"/>
        <item sd="0" m="1" x="2382"/>
        <item sd="0" m="1" x="1665"/>
        <item sd="0" m="1" x="2442"/>
        <item sd="0" m="1" x="375"/>
        <item sd="0" m="1" x="985"/>
        <item sd="0" m="1" x="257"/>
        <item sd="0" m="1" x="1119"/>
        <item sd="0" m="1" x="2443"/>
        <item sd="0" m="1" x="721"/>
        <item sd="0" m="1" x="2444"/>
        <item sd="0" m="1" x="1376"/>
        <item sd="0" m="1" x="670"/>
        <item sd="0" m="1" x="1768"/>
        <item sd="0" m="1" x="2445"/>
        <item sd="0" m="1" x="1943"/>
        <item sd="0" m="1" x="67"/>
        <item sd="0" m="1" x="1222"/>
        <item sd="0" m="1" x="2070"/>
        <item sd="0" m="1" x="180"/>
        <item sd="0" m="1" x="124"/>
        <item sd="0" m="1" x="1968"/>
        <item sd="0" m="1" x="396"/>
        <item sd="0" m="1" x="1525"/>
        <item sd="0" m="1" x="1295"/>
        <item sd="0" m="1" x="340"/>
        <item sd="0" m="1" x="2447"/>
        <item sd="0" m="1" x="422"/>
        <item sd="0" m="1" x="2448"/>
        <item sd="0" m="1" x="563"/>
        <item sd="0" m="1" x="893"/>
        <item sd="0" m="1" x="894"/>
        <item sd="0" m="1" x="696"/>
        <item sd="0" m="1" x="2450"/>
        <item sd="0" m="1" x="1066"/>
        <item sd="0" m="1" x="2066"/>
        <item sd="0" m="1" x="2646"/>
        <item sd="0" m="1" x="2570"/>
        <item sd="0" m="1" x="1443"/>
        <item sd="0" m="1" x="226"/>
        <item sd="0" m="1" x="157"/>
        <item sd="0" m="1" x="1383"/>
        <item sd="0" m="1" x="940"/>
        <item sd="0" m="1" x="2014"/>
        <item sd="0" m="1" x="697"/>
        <item sd="0" m="1" x="698"/>
        <item sd="0" m="1" x="587"/>
        <item sd="0" m="1" x="2451"/>
        <item sd="0" m="1" x="1580"/>
        <item sd="0" m="1" x="2532"/>
        <item sd="0" m="1" x="253"/>
        <item sd="0" m="1" x="1814"/>
        <item sd="0" m="1" x="1118"/>
        <item sd="0" m="1" x="1180"/>
        <item sd="0" m="1" x="827"/>
        <item sd="0" m="1" x="2121"/>
        <item sd="0" m="1" x="1619"/>
        <item sd="0" m="1" x="1035"/>
        <item sd="0" m="1" x="2723"/>
        <item sd="0" m="1" x="2639"/>
        <item sd="0" m="1" x="2009"/>
        <item sd="0" m="1" x="119"/>
        <item sd="0" m="1" x="1534"/>
        <item sd="0" m="1" x="2452"/>
        <item sd="0" m="1" x="1291"/>
        <item sd="0" m="1" x="398"/>
        <item sd="0" m="1" x="1728"/>
        <item sd="0" m="1" x="2316"/>
        <item sd="0" m="1" x="1560"/>
        <item sd="0" m="1" x="2619"/>
        <item sd="0" m="1" x="469"/>
        <item sd="0" m="1" x="1769"/>
        <item sd="0" m="1" x="1889"/>
        <item sd="0" m="1" x="699"/>
        <item sd="0" m="1" x="2732"/>
        <item sd="0" m="1" x="569"/>
        <item sd="0" m="1" x="803"/>
        <item sd="0" x="17"/>
        <item sd="0" m="1" x="2453"/>
        <item sd="0" m="1" x="1995"/>
        <item sd="0" m="1" x="2454"/>
        <item sd="0" m="1" x="1296"/>
        <item sd="0" m="1" x="1866"/>
        <item sd="0" m="1" x="1731"/>
        <item sd="0" m="1" x="1537"/>
        <item sd="0" m="1" x="1609"/>
        <item sd="0" m="1" x="2574"/>
        <item sd="0" m="1" x="1538"/>
        <item sd="0" m="1" x="483"/>
        <item sd="0" m="1" x="1603"/>
        <item sd="0" m="1" x="178"/>
        <item sd="0" m="1" x="1791"/>
        <item sd="0" m="1" x="1840"/>
        <item sd="0" m="1" x="958"/>
        <item sd="0" m="1" x="402"/>
        <item sd="0" m="1" x="258"/>
        <item sd="0" m="1" x="2725"/>
        <item sd="0" m="1" x="1033"/>
        <item sd="0" m="1" x="1798"/>
        <item sd="0" m="1" x="1013"/>
        <item sd="0" m="1" x="186"/>
        <item sd="0" m="1" x="1916"/>
        <item sd="0" m="1" x="968"/>
        <item sd="0" m="1" x="2599"/>
        <item sd="0" m="1" x="2140"/>
        <item sd="0" m="1" x="796"/>
        <item sd="0" m="1" x="1540"/>
        <item sd="0" m="1" x="1541"/>
        <item sd="0" m="1" x="701"/>
        <item sd="0" m="1" x="1856"/>
        <item sd="0" m="1" x="897"/>
        <item sd="0" m="1" x="1857"/>
        <item sd="0" m="1" x="2455"/>
        <item sd="0" m="1" x="2660"/>
        <item sd="0" m="1" x="1115"/>
        <item sd="0" m="1" x="2471"/>
        <item sd="0" m="1" x="1896"/>
        <item sd="0" m="1" x="680"/>
        <item sd="0" m="1" x="705"/>
        <item sd="0" m="1" x="446"/>
        <item sd="0" m="1" x="1350"/>
        <item sd="0" m="1" x="600"/>
        <item sd="0" m="1" x="1001"/>
        <item sd="0" m="1" x="702"/>
        <item sd="0" m="1" x="1545"/>
        <item sd="0" x="2"/>
        <item sd="0" m="1" x="531"/>
        <item sd="0" m="1" x="634"/>
        <item sd="0" m="1" x="814"/>
        <item sd="0" m="1" x="556"/>
        <item sd="0" x="21"/>
        <item sd="0" m="1" x="2679"/>
        <item sd="0" m="1" x="1190"/>
        <item sd="0" m="1" x="1823"/>
        <item sd="0" m="1" x="790"/>
        <item sd="0" m="1" x="2696"/>
        <item sd="0" m="1" x="1127"/>
        <item sd="0" m="1" x="845"/>
        <item sd="0" m="1" x="347"/>
        <item sd="0" m="1" x="1559"/>
        <item sd="0" m="1" x="1116"/>
        <item sd="0" m="1" x="1839"/>
        <item sd="0" m="1" x="1721"/>
        <item sd="0" m="1" x="1144"/>
        <item sd="0" m="1" x="1107"/>
        <item sd="0" m="1" x="888"/>
        <item sd="0" m="1" x="1332"/>
        <item sd="0" m="1" x="1845"/>
        <item sd="0" m="1" x="522"/>
        <item sd="0" m="1" x="1714"/>
        <item sd="0" m="1" x="1841"/>
        <item sd="0" m="1" x="627"/>
        <item sd="0" m="1" x="409"/>
        <item sd="0" m="1" x="1040"/>
        <item sd="0" m="1" x="1862"/>
        <item sd="0" m="1" x="1969"/>
        <item sd="0" m="1" x="379"/>
        <item sd="0" m="1" x="1988"/>
        <item sd="0" m="1" x="703"/>
        <item sd="0" m="1" x="187"/>
        <item sd="0" m="1" x="470"/>
        <item sd="0" m="1" x="2122"/>
        <item sd="0" m="1" x="1838"/>
        <item sd="0" m="1" x="1564"/>
        <item sd="0" m="1" x="198"/>
        <item sd="0" x="39"/>
        <item sd="0" m="1" x="913"/>
        <item sd="0" m="1" x="1867"/>
        <item sd="0" m="1" x="2458"/>
        <item sd="0" m="1" x="1529"/>
        <item sd="0" m="1" x="2459"/>
        <item sd="0" m="1" x="2460"/>
        <item sd="0" m="1" x="2462"/>
        <item sd="0" m="1" x="830"/>
        <item sd="0" m="1" x="704"/>
        <item sd="0" m="1" x="2609"/>
        <item sd="0" m="1" x="305"/>
        <item sd="0" m="1" x="953"/>
        <item sd="0" m="1" x="977"/>
        <item sd="0" m="1" x="2463"/>
        <item sd="0" m="1" x="2591"/>
        <item sd="0" m="1" x="2299"/>
        <item sd="0" m="1" x="189"/>
        <item sd="0" m="1" x="2381"/>
        <item sd="0" m="1" x="2662"/>
        <item sd="0" m="1" x="228"/>
        <item sd="0" m="1" x="2457"/>
        <item sd="0" m="1" x="2032"/>
        <item sd="0" m="1" x="961"/>
        <item sd="0" m="1" x="1610"/>
        <item sd="0" m="1" x="229"/>
        <item sd="0" m="1" x="1772"/>
        <item sd="0" m="1" x="1567"/>
        <item sd="0" m="1" x="362"/>
        <item sd="0" m="1" x="1029"/>
        <item sd="0" m="1" x="829"/>
        <item sd="0" m="1" x="1582"/>
        <item sd="0" m="1" x="447"/>
        <item sd="0" m="1" x="1150"/>
        <item sd="0" m="1" x="2736"/>
        <item sd="0" m="1" x="1178"/>
        <item sd="0" m="1" x="1514"/>
        <item sd="0" m="1" x="1583"/>
        <item sd="0" m="1" x="1584"/>
        <item sd="0" m="1" x="1134"/>
        <item sd="0" m="1" x="707"/>
        <item sd="0" m="1" x="1561"/>
        <item sd="0" m="1" x="2472"/>
        <item sd="0" m="1" x="2011"/>
        <item sd="0" m="1" x="1585"/>
        <item sd="0" m="1" x="1338"/>
        <item sd="0" m="1" x="909"/>
        <item sd="0" m="1" x="700"/>
        <item sd="0" m="1" x="77"/>
        <item sd="0" m="1" x="2562"/>
        <item sd="0" m="1" x="1586"/>
        <item sd="0" m="1" x="2473"/>
        <item sd="0" m="1" x="1685"/>
        <item sd="0" m="1" x="564"/>
        <item sd="0" m="1" x="1110"/>
        <item sd="0" x="30"/>
        <item sd="0" m="1" x="2474"/>
        <item sd="0" m="1" x="2576"/>
        <item sd="0" m="1" x="2610"/>
        <item sd="0" m="1" x="1696"/>
        <item sd="0" m="1" x="1051"/>
        <item sd="0" m="1" x="2475"/>
        <item sd="0" m="1" x="2476"/>
        <item sd="0" m="1" x="1629"/>
        <item sd="0" m="1" x="2477"/>
        <item sd="0" m="1" x="1922"/>
        <item sd="0" m="1" x="2479"/>
        <item sd="0" m="1" x="2478"/>
        <item sd="0" m="1" x="1676"/>
        <item sd="0" m="1" x="1965"/>
        <item sd="0" m="1" x="2695"/>
        <item sd="0" m="1" x="496"/>
        <item sd="0" m="1" x="1990"/>
        <item sd="0" m="1" x="2689"/>
        <item sd="0" m="1" x="1590"/>
        <item sd="0" m="1" x="1155"/>
        <item sd="0" m="1" x="881"/>
        <item sd="0" m="1" x="2480"/>
        <item sd="0" x="11"/>
        <item sd="0" m="1" x="1960"/>
        <item sd="0" m="1" x="2481"/>
        <item sd="0" m="1" x="520"/>
        <item sd="0" m="1" x="1028"/>
        <item sd="0" m="1" x="352"/>
        <item sd="0" m="1" x="2482"/>
        <item sd="0" m="1" x="504"/>
        <item sd="0" m="1" x="1496"/>
        <item sd="0" m="1" x="928"/>
        <item sd="0" m="1" x="2468"/>
        <item sd="0" m="1" x="1024"/>
        <item sd="0" m="1" x="1854"/>
        <item sd="0" m="1" x="2483"/>
        <item sd="0" m="1" x="1593"/>
        <item sd="0" m="1" x="2680"/>
        <item sd="0" m="1" x="1061"/>
        <item sd="0" m="1" x="243"/>
        <item sd="0" m="1" x="191"/>
        <item sd="0" m="1" x="1579"/>
        <item sd="0" m="1" x="1595"/>
        <item sd="0" m="1" x="192"/>
        <item sd="0" m="1" x="298"/>
        <item sd="0" m="1" x="1601"/>
        <item sd="0" m="1" x="962"/>
        <item sd="0" m="1" x="2485"/>
        <item sd="0" m="1" x="2124"/>
        <item sd="0" m="1" x="1421"/>
        <item sd="0" m="1" x="2005"/>
        <item sd="0" m="1" x="1648"/>
        <item sd="0" m="1" x="2125"/>
        <item sd="0" m="1" x="1184"/>
        <item sd="0" m="1" x="2676"/>
        <item sd="0" m="1" x="1604"/>
        <item sd="0" m="1" x="1558"/>
        <item sd="0" m="1" x="194"/>
        <item sd="0" m="1" x="2126"/>
        <item sd="0" m="1" x="307"/>
        <item sd="0" m="1" x="588"/>
        <item sd="0" m="1" x="1168"/>
        <item sd="0" m="1" x="193"/>
        <item sd="0" m="1" x="972"/>
        <item sd="0" m="1" x="413"/>
        <item sd="0" m="1" x="414"/>
        <item sd="0" m="1" x="415"/>
        <item sd="0" m="1" x="169"/>
        <item sd="0" m="1" x="416"/>
        <item sd="0" m="1" x="1445"/>
        <item sd="0" m="1" x="833"/>
        <item sd="0" m="1" x="2486"/>
        <item sd="0" m="1" x="1570"/>
        <item sd="0" m="1" x="855"/>
        <item sd="0" m="1" x="1533"/>
        <item sd="0" m="1" x="2487"/>
        <item sd="0" m="1" x="1842"/>
        <item sd="0" m="1" x="1773"/>
        <item sd="0" m="1" x="2488"/>
        <item sd="0" m="1" x="1563"/>
        <item sd="0" m="1" x="902"/>
        <item sd="0" m="1" x="435"/>
        <item sd="0" m="1" x="860"/>
        <item sd="0" m="1" x="1121"/>
        <item sd="0" m="1" x="708"/>
        <item sd="0" m="1" x="2490"/>
        <item sd="0" m="1" x="542"/>
        <item sd="0" m="1" x="1607"/>
        <item sd="0" m="1" x="1608"/>
        <item sd="0" m="1" x="1335"/>
        <item sd="0" m="1" x="2719"/>
        <item sd="0" m="1" x="1864"/>
        <item sd="0" m="1" x="742"/>
        <item sd="0" m="1" x="2368"/>
        <item sd="0" m="1" x="832"/>
        <item sd="0" m="1" x="1117"/>
        <item sd="0" m="1" x="239"/>
        <item sd="0" m="1" x="1426"/>
        <item sd="0" m="1" x="2492"/>
        <item sd="0" m="1" x="2493"/>
        <item sd="0" m="1" x="196"/>
        <item sd="0" m="1" x="2494"/>
        <item sd="0" m="1" x="278"/>
        <item sd="0" m="1" x="2740"/>
        <item sd="0" m="1" x="2069"/>
        <item sd="0" m="1" x="1797"/>
        <item sd="0" m="1" x="143"/>
        <item sd="0" m="1" x="1611"/>
        <item sd="0" x="42"/>
        <item sd="0" m="1" x="608"/>
        <item sd="0" m="1" x="1848"/>
        <item sd="0" m="1" x="602"/>
        <item sd="0" m="1" x="1858"/>
        <item sd="0" m="1" x="1849"/>
        <item sd="0" m="1" x="1976"/>
        <item sd="0" m="1" x="1929"/>
        <item sd="0" m="1" x="603"/>
        <item sd="0" m="1" x="770"/>
        <item sd="0" m="1" x="1850"/>
        <item sd="0" m="1" x="601"/>
        <item sd="0" m="1" x="606"/>
        <item sd="0" m="1" x="610"/>
        <item sd="0" m="1" x="1852"/>
        <item sd="0" m="1" x="515"/>
        <item sd="0" x="29"/>
        <item sd="0" m="1" x="1661"/>
        <item sd="0" x="41"/>
        <item sd="0" m="1" x="596"/>
        <item sd="0" m="1" x="1662"/>
        <item sd="0" m="1" x="514"/>
        <item sd="0" m="1" x="595"/>
        <item sd="0" m="1" x="1977"/>
        <item sd="0" m="1" x="1358"/>
        <item sd="0" m="1" x="1847"/>
        <item sd="0" m="1" x="605"/>
        <item sd="0" m="1" x="1846"/>
        <item sd="0" m="1" x="609"/>
        <item sd="0" m="1" x="604"/>
        <item sd="0" x="28"/>
        <item sd="0" m="1" x="2730"/>
        <item sd="0" m="1" x="2735"/>
        <item sd="0" x="26"/>
        <item sd="0" m="1" x="857"/>
        <item sd="0" m="1" x="1861"/>
        <item sd="0" m="1" x="2027"/>
        <item sd="0" m="1" x="2035"/>
        <item sd="0" m="1" x="1881"/>
        <item sd="0" m="1" x="92"/>
        <item sd="0" m="1" x="1666"/>
        <item sd="0" m="1" x="1974"/>
        <item sd="0" m="1" x="1017"/>
        <item sd="0" m="1" x="805"/>
        <item sd="0" m="1" x="2699"/>
        <item sd="0" m="1" x="2427"/>
        <item sd="0" m="1" x="2446"/>
        <item sd="0" m="1" x="151"/>
        <item sd="0" m="1" x="709"/>
        <item sd="0" m="1" x="1659"/>
        <item sd="0" m="1" x="421"/>
        <item sd="0" m="1" x="2067"/>
        <item sd="0" m="1" x="2495"/>
        <item sd="0" m="1" x="921"/>
        <item sd="0" m="1" x="2238"/>
        <item sd="0" m="1" x="2738"/>
        <item sd="0" m="1" x="1423"/>
        <item sd="0" m="1" x="582"/>
        <item sd="0" m="1" x="2123"/>
        <item sd="0" m="1" x="70"/>
        <item sd="0" m="1" x="2497"/>
        <item sd="0" m="1" x="325"/>
        <item sd="0" m="1" x="2156"/>
        <item sd="0" m="1" x="2498"/>
        <item sd="0" m="1" x="2461"/>
        <item sd="0" m="1" x="1234"/>
        <item sd="0" m="1" x="934"/>
        <item sd="0" m="1" x="2672"/>
        <item sd="0" m="1" x="1067"/>
        <item sd="0" m="1" x="2256"/>
        <item sd="0" m="1" x="1308"/>
        <item sd="0" m="1" x="1669"/>
        <item sd="0" m="1" x="1446"/>
        <item sd="0" m="1" x="1154"/>
        <item sd="0" m="1" x="2127"/>
        <item sd="0" m="1" x="423"/>
        <item sd="0" m="1" x="1400"/>
        <item sd="0" m="1" x="424"/>
        <item sd="0" m="1" x="1958"/>
        <item sd="0" m="1" x="197"/>
        <item sd="0" m="1" x="2499"/>
        <item sd="0" m="1" x="1673"/>
        <item sd="0" m="1" x="517"/>
        <item sd="0" m="1" x="1477"/>
        <item sd="0" m="1" x="2500"/>
        <item sd="0" m="1" x="1808"/>
        <item sd="0" m="1" x="892"/>
        <item sd="0" m="1" x="1138"/>
        <item sd="0" m="1" x="275"/>
        <item sd="0" m="1" x="834"/>
        <item sd="0" m="1" x="79"/>
        <item sd="0" m="1" x="910"/>
        <item sd="0" m="1" x="136"/>
        <item sd="0" m="1" x="203"/>
        <item sd="0" m="1" x="2575"/>
        <item sd="0" m="1" x="2585"/>
        <item sd="0" m="1" x="939"/>
        <item sd="0" m="1" x="1366"/>
        <item sd="0" m="1" x="1136"/>
        <item sd="0" m="1" x="1605"/>
        <item sd="0" m="1" x="1226"/>
        <item sd="0" m="1" x="484"/>
        <item sd="0" m="1" x="1677"/>
        <item sd="0" m="1" x="2714"/>
        <item sd="0" m="1" x="993"/>
        <item sd="0" m="1" x="1387"/>
        <item sd="0" m="1" x="1678"/>
        <item sd="0" m="1" x="1895"/>
        <item sd="0" m="1" x="1365"/>
        <item sd="0" m="1" x="1649"/>
        <item sd="0" m="1" x="1620"/>
        <item sd="0" m="1" x="1599"/>
        <item sd="0" m="1" x="1122"/>
        <item sd="0" m="1" x="489"/>
        <item sd="0" m="1" x="1352"/>
        <item sd="0" m="1" x="1616"/>
        <item sd="0" m="1" x="835"/>
        <item sd="0" m="1" x="2515"/>
        <item sd="0" m="1" x="230"/>
        <item sd="0" m="1" x="533"/>
        <item sd="0" m="1" x="2501"/>
        <item sd="0" m="1" x="261"/>
        <item sd="0" m="1" x="201"/>
        <item sd="0" m="1" x="285"/>
        <item sd="0" m="1" x="2502"/>
        <item sd="0" m="1" x="1187"/>
        <item sd="0" m="1" x="552"/>
        <item sd="0" m="1" x="2503"/>
        <item sd="0" m="1" x="630"/>
        <item sd="0" m="1" x="859"/>
        <item sd="0" m="1" x="1975"/>
        <item sd="0" m="1" x="2504"/>
        <item sd="0" m="1" x="2713"/>
        <item sd="0" m="1" x="2694"/>
        <item sd="0" m="1" x="1076"/>
        <item sd="0" m="1" x="905"/>
        <item sd="0" m="1" x="2514"/>
        <item sd="0" m="1" x="1828"/>
        <item sd="0" m="1" x="1164"/>
        <item sd="0" m="1" x="1415"/>
        <item sd="0" m="1" x="2587"/>
        <item sd="0" m="1" x="2698"/>
        <item sd="0" m="1" x="1697"/>
        <item sd="0" m="1" x="1401"/>
        <item sd="0" m="1" x="1292"/>
        <item sd="0" m="1" x="2505"/>
        <item sd="0" m="1" x="2702"/>
        <item sd="0" m="1" x="280"/>
        <item sd="0" m="1" x="879"/>
        <item sd="0" m="1" x="937"/>
        <item sd="0" x="34"/>
        <item sd="0" m="1" x="365"/>
        <item sd="0" m="1" x="1566"/>
        <item sd="0" m="1" x="710"/>
        <item sd="0" m="1" x="490"/>
        <item sd="0" m="1" x="493"/>
        <item sd="0" m="1" x="711"/>
        <item sd="0" m="1" x="400"/>
        <item sd="0" m="1" x="2507"/>
        <item sd="0" m="1" x="2624"/>
        <item sd="0" m="1" x="632"/>
        <item sd="0" m="1" x="2189"/>
        <item sd="0" m="1" x="1631"/>
        <item sd="0" m="1" x="2706"/>
        <item sd="0" m="1" x="729"/>
        <item sd="0" m="1" x="2617"/>
        <item sd="0" x="24"/>
        <item sd="0" m="1" x="1331"/>
        <item sd="0" m="1" x="838"/>
        <item sd="0" m="1" x="2022"/>
        <item sd="0" m="1" x="1689"/>
        <item sd="0" m="1" x="1690"/>
        <item sd="0" m="1" x="2308"/>
        <item sd="0" m="1" x="1794"/>
        <item sd="0" m="1" x="1173"/>
        <item sd="0" m="1" x="651"/>
        <item sd="0" m="1" x="2652"/>
        <item sd="0" m="1" x="1101"/>
        <item sd="0" m="1" x="2128"/>
        <item sd="0" m="1" x="613"/>
        <item sd="0" m="1" x="137"/>
        <item sd="0" m="1" x="813"/>
        <item sd="0" m="1" x="2603"/>
        <item sd="0" m="1" x="1343"/>
        <item sd="0" m="1" x="2509"/>
        <item sd="0" m="1" x="839"/>
        <item sd="0" m="1" x="1691"/>
        <item sd="0" m="1" x="121"/>
        <item sd="0" m="1" x="425"/>
        <item sd="0" m="1" x="2431"/>
        <item sd="0" m="1" x="1890"/>
        <item sd="0" m="1" x="1776"/>
        <item sd="0" m="1" x="1904"/>
        <item sd="0" m="1" x="2144"/>
        <item sd="0" m="1" x="62"/>
        <item sd="0" m="1" x="1055"/>
        <item sd="0" m="1" x="840"/>
        <item sd="0" m="1" x="2383"/>
        <item sd="0" m="1" x="1578"/>
        <item sd="0" m="1" x="2510"/>
        <item sd="0" m="1" x="1660"/>
        <item sd="0" m="1" x="485"/>
        <item sd="0" m="1" x="1207"/>
        <item sd="0" m="1" x="1693"/>
        <item sd="0" m="1" x="1663"/>
        <item sd="0" m="1" x="1657"/>
        <item sd="0" m="1" x="858"/>
        <item sd="0" m="1" x="2511"/>
        <item sd="0" m="1" x="2001"/>
        <item sd="0" m="1" x="841"/>
        <item sd="0" m="1" x="1411"/>
        <item sd="0" m="1" x="837"/>
        <item sd="0" m="1" x="2597"/>
        <item sd="0" m="1" x="1694"/>
        <item sd="0" m="1" x="1801"/>
        <item sd="0" m="1" x="1695"/>
        <item sd="0" m="1" x="1681"/>
        <item sd="0" m="1" x="1587"/>
        <item sd="0" m="1" x="1160"/>
        <item sd="0" m="1" x="1569"/>
        <item sd="0" m="1" x="998"/>
        <item sd="0" m="1" x="856"/>
        <item sd="0" m="1" x="1166"/>
        <item sd="0" m="1" x="2512"/>
        <item sd="0" m="1" x="150"/>
        <item sd="0" m="1" x="2149"/>
        <item sd="0" m="1" x="1223"/>
        <item sd="0" m="1" x="212"/>
        <item sd="0" m="1" x="918"/>
        <item sd="0" m="1" x="1989"/>
        <item sd="0" m="1" x="1979"/>
        <item sd="0" m="1" x="2268"/>
        <item sd="0" m="1" x="56"/>
        <item sd="0" m="1" x="1562"/>
        <item sd="0" m="1" x="1581"/>
        <item sd="0" m="1" x="2390"/>
        <item sd="0" m="1" x="969"/>
        <item sd="0" m="1" x="473"/>
        <item sd="0" m="1" x="843"/>
        <item sd="0" m="1" x="1625"/>
        <item sd="0" m="1" x="935"/>
        <item sd="0" m="1" x="2023"/>
        <item sd="0" m="1" x="1462"/>
        <item sd="0" m="1" x="2666"/>
        <item sd="0" m="1" x="2024"/>
        <item sd="0" x="9"/>
        <item sd="0" m="1" x="1698"/>
        <item sd="0" m="1" x="1375"/>
        <item sd="0" m="1" x="1699"/>
        <item sd="0" m="1" x="179"/>
        <item sd="0" m="1" x="2148"/>
        <item sd="0" m="1" x="589"/>
        <item sd="0" m="1" x="558"/>
        <item sd="0" m="1" x="1019"/>
        <item sd="0" m="1" x="69"/>
        <item sd="0" m="1" x="199"/>
        <item sd="0" m="1" x="844"/>
        <item sd="0" m="1" x="714"/>
        <item sd="0" m="1" x="2449"/>
        <item sd="0" m="1" x="715"/>
        <item sd="0" m="1" x="1670"/>
        <item sd="0" m="1" x="1407"/>
        <item sd="0" m="1" x="2130"/>
        <item sd="0" m="1" x="1702"/>
        <item sd="0" m="1" x="427"/>
        <item sd="0" m="1" x="190"/>
        <item sd="0" m="1" x="1479"/>
        <item sd="0" m="1" x="679"/>
        <item sd="0" m="1" x="716"/>
        <item sd="0" m="1" x="65"/>
        <item sd="0" m="1" x="1703"/>
        <item sd="0" m="1" x="1851"/>
        <item sd="0" m="1" x="717"/>
        <item sd="0" m="1" x="486"/>
        <item sd="0" m="1" x="231"/>
        <item sd="0" m="1" x="2079"/>
        <item sd="0" m="1" x="2131"/>
        <item sd="0" m="1" x="1626"/>
        <item sd="0" m="1" x="2516"/>
        <item sd="0" m="1" x="1374"/>
        <item sd="0" m="1" x="1280"/>
        <item sd="0" m="1" x="927"/>
        <item sd="0" m="1" x="299"/>
        <item sd="0" m="1" x="2734"/>
        <item sd="0" m="1" x="1843"/>
        <item sd="0" m="1" x="1991"/>
        <item sd="0" m="1" x="200"/>
        <item sd="0" m="1" x="1859"/>
        <item sd="0" m="1" x="86"/>
        <item sd="0" m="1" x="1268"/>
        <item sd="0" m="1" x="1417"/>
        <item sd="0" m="1" x="1706"/>
        <item sd="0" m="1" x="1269"/>
        <item sd="0" m="1" x="2132"/>
        <item sd="0" m="1" x="989"/>
        <item sd="0" m="1" x="1704"/>
        <item sd="0" m="1" x="637"/>
        <item sd="0" m="1" x="706"/>
        <item sd="0" m="1" x="640"/>
        <item sd="0" m="1" x="842"/>
        <item sd="0" m="1" x="105"/>
        <item sd="0" m="1" x="173"/>
        <item sd="0" m="1" x="1495"/>
        <item sd="0" m="1" x="896"/>
        <item sd="0" m="1" x="2517"/>
        <item sd="0" m="1" x="2518"/>
        <item sd="0" m="1" x="982"/>
        <item sd="0" m="1" x="2519"/>
        <item sd="0" m="1" x="718"/>
        <item sd="0" m="1" x="1705"/>
        <item sd="0" m="1" x="1519"/>
        <item sd="0" m="1" x="2644"/>
        <item sd="0" m="1" x="2640"/>
        <item sd="0" m="1" x="2520"/>
        <item sd="0" m="1" x="1025"/>
        <item sd="0" m="1" x="1182"/>
        <item sd="0" m="1" x="1946"/>
        <item sd="0" m="1" x="1635"/>
        <item sd="0" m="1" x="984"/>
        <item sd="0" m="1" x="1274"/>
        <item sd="0" m="1" x="2521"/>
        <item sd="0" m="1" x="1633"/>
        <item sd="0" m="1" x="2522"/>
        <item sd="0" m="1" x="861"/>
        <item sd="0" m="1" x="1707"/>
        <item sd="0" m="1" x="1834"/>
        <item sd="0" m="1" x="1634"/>
        <item sd="0" m="1" x="2700"/>
        <item sd="0" m="1" x="127"/>
        <item sd="0" m="1" x="1032"/>
        <item sd="0" m="1" x="2203"/>
        <item sd="0" m="1" x="1404"/>
        <item sd="0" m="1" x="1494"/>
        <item sd="0" m="1" x="1770"/>
        <item sd="0" m="1" x="1983"/>
        <item sd="0" m="1" x="2523"/>
        <item sd="0" m="1" x="1709"/>
        <item sd="0" m="1" x="1777"/>
        <item sd="0" m="1" x="2525"/>
        <item sd="0" m="1" x="719"/>
        <item sd="0" m="1" x="1927"/>
        <item sd="0" m="1" x="1996"/>
        <item sd="0" m="1" x="846"/>
        <item sd="0" m="1" x="2526"/>
        <item sd="0" m="1" x="2392"/>
        <item sd="0" m="1" x="519"/>
        <item sd="0" m="1" x="1086"/>
        <item sd="0" m="1" x="2059"/>
        <item sd="0" m="1" x="598"/>
        <item sd="0" m="1" x="757"/>
        <item sd="0" m="1" x="535"/>
        <item sd="0" m="1" x="2133"/>
        <item sd="0" m="1" x="2527"/>
        <item sd="0" m="1" x="204"/>
        <item sd="0" m="1" x="720"/>
        <item sd="0" x="35"/>
        <item sd="0" m="1" x="1713"/>
        <item sd="0" m="1" x="1014"/>
        <item sd="0" m="1" x="1424"/>
        <item sd="0" m="1" x="941"/>
        <item sd="0" m="1" x="2712"/>
        <item sd="0" m="1" x="420"/>
        <item sd="0" m="1" x="2528"/>
        <item sd="0" m="1" x="1391"/>
        <item sd="0" m="1" x="2012"/>
        <item sd="0" m="1" x="2573"/>
        <item sd="0" m="1" x="938"/>
        <item sd="0" m="1" x="2134"/>
        <item sd="0" m="1" x="267"/>
        <item sd="0" m="1" x="2529"/>
        <item sd="0" m="1" x="1293"/>
        <item sd="0" m="1" x="614"/>
        <item sd="0" m="1" x="2722"/>
        <item sd="0" m="1" x="2593"/>
        <item sd="0" m="1" x="1416"/>
        <item sd="0" m="1" x="324"/>
        <item sd="0" m="1" x="428"/>
        <item sd="0" m="1" x="2530"/>
        <item sd="0" m="1" x="2029"/>
        <item sd="0" m="1" x="723"/>
        <item sd="0" m="1" x="2259"/>
        <item sd="0" m="1" x="541"/>
        <item sd="0" m="1" x="1618"/>
        <item sd="0" m="1" x="1674"/>
        <item sd="0" m="1" x="1778"/>
        <item sd="0" m="1" x="911"/>
        <item sd="0" m="1" x="2531"/>
        <item sd="0" m="1" x="847"/>
        <item sd="0" x="23"/>
        <item sd="0" m="1" x="478"/>
        <item sd="0" m="1" x="848"/>
        <item sd="0" m="1" x="929"/>
        <item sd="0" m="1" x="1844"/>
        <item sd="0" m="1" x="1715"/>
        <item sd="0" m="1" x="1710"/>
        <item sd="0" m="1" x="1004"/>
        <item sd="0" m="1" x="726"/>
        <item sd="0" m="1" x="2135"/>
        <item sd="0" m="1" x="1353"/>
        <item sd="0" m="1" x="1717"/>
        <item sd="0" m="1" x="1779"/>
        <item sd="0" m="1" x="465"/>
        <item sd="0" m="1" x="1260"/>
        <item sd="0" m="1" x="974"/>
        <item sd="0" m="1" x="2533"/>
        <item sd="0" m="1" x="188"/>
        <item sd="0" m="1" x="2647"/>
        <item sd="0" m="1" x="2686"/>
        <item sd="0" m="1" x="866"/>
        <item sd="0" m="1" x="1811"/>
        <item sd="0" m="1" x="812"/>
        <item sd="0" x="43"/>
        <item sd="0" m="1" x="1718"/>
        <item sd="0" m="1" x="1719"/>
        <item sd="0" m="1" x="1398"/>
        <item sd="0" m="1" x="1720"/>
        <item sd="0" m="1" x="2728"/>
        <item sd="0" m="1" x="128"/>
        <item sd="0" m="1" x="205"/>
        <item sd="0" m="1" x="686"/>
        <item sd="0" m="1" x="2622"/>
        <item sd="0" m="1" x="1780"/>
        <item sd="0" m="1" x="685"/>
        <item sd="0" m="1" x="2416"/>
        <item sd="0" m="1" x="2705"/>
        <item sd="0" m="1" x="1333"/>
        <item sd="0" m="1" x="1667"/>
        <item sd="0" m="1" x="2136"/>
        <item sd="0" m="1" x="1781"/>
        <item sd="0" m="1" x="329"/>
        <item sd="0" m="1" x="1724"/>
        <item sd="0" m="1" x="206"/>
        <item sd="0" m="1" x="153"/>
        <item sd="0" m="1" x="2643"/>
        <item sd="0" m="1" x="849"/>
        <item sd="0" m="1" x="854"/>
        <item sd="0" m="1" x="2631"/>
        <item sd="0" m="1" x="471"/>
        <item sd="0" m="1" x="2535"/>
        <item sd="0" m="1" x="1902"/>
        <item sd="0" m="1" x="722"/>
        <item sd="0" m="1" x="540"/>
        <item sd="0" m="1" x="2255"/>
        <item sd="0" m="1" x="850"/>
        <item sd="0" m="1" x="183"/>
        <item sd="0" m="1" x="693"/>
        <item sd="0" m="1" x="644"/>
        <item sd="0" m="1" x="1726"/>
        <item sd="0" m="1" x="967"/>
        <item sd="0" m="1" x="2117"/>
        <item sd="0" m="1" x="397"/>
        <item sd="0" m="1" x="1504"/>
        <item sd="0" x="40"/>
        <item sd="0" m="1" x="2729"/>
        <item sd="0" m="1" x="1273"/>
        <item sd="0" m="1" x="2536"/>
        <item sd="0" m="1" x="2470"/>
        <item sd="0" m="1" x="429"/>
        <item sd="0" m="1" x="2537"/>
        <item sd="0" m="1" x="2538"/>
        <item sd="0" m="1" x="2569"/>
        <item sd="0" m="1" x="2539"/>
        <item sd="0" m="1" x="1460"/>
        <item sd="0" m="1" x="2058"/>
        <item sd="0" m="1" x="2540"/>
        <item sd="0" m="1" x="942"/>
        <item sd="0" m="1" x="2031"/>
        <item sd="0" m="1" x="1597"/>
        <item sd="0" m="1" x="2541"/>
        <item sd="0" m="1" x="1325"/>
        <item sd="0" m="1" x="2071"/>
        <item sd="0" m="1" x="828"/>
        <item sd="0" m="1" x="430"/>
        <item sd="0" m="1" x="1356"/>
        <item sd="0" m="1" x="1031"/>
        <item sd="0" x="16"/>
        <item sd="0" m="1" x="1957"/>
        <item sd="0" m="1" x="1434"/>
        <item sd="0" m="1" x="874"/>
        <item sd="0" m="1" x="2542"/>
        <item sd="0" m="1" x="2543"/>
        <item sd="0" m="1" x="249"/>
        <item sd="0" m="1" x="207"/>
        <item sd="0" m="1" x="2544"/>
        <item sd="0" m="1" x="2545"/>
        <item sd="0" m="1" x="2137"/>
        <item sd="0" m="1" x="2138"/>
        <item sd="0" m="1" x="1002"/>
        <item sd="0" m="1" x="134"/>
        <item sd="0" m="1" x="1732"/>
        <item sd="0" m="1" x="1326"/>
        <item sd="0" m="1" x="155"/>
        <item sd="0" m="1" x="211"/>
        <item sd="0" m="1" x="1161"/>
        <item sd="0" x="36"/>
        <item sd="0" m="1" x="141"/>
        <item sd="0" m="1" x="2548"/>
        <item sd="0" m="1" x="508"/>
        <item sd="0" m="1" x="930"/>
        <item sd="0" m="1" x="571"/>
        <item sd="0" m="1" x="2372"/>
        <item sd="0" m="1" x="2357"/>
        <item sd="0" m="1" x="241"/>
        <item sd="0" m="1" x="1733"/>
        <item sd="0" m="1" x="1734"/>
        <item sd="0" m="1" x="431"/>
        <item sd="0" m="1" x="851"/>
        <item sd="0" m="1" x="2546"/>
        <item sd="0" m="1" x="532"/>
        <item sd="0" m="1" x="1521"/>
        <item sd="0" m="1" x="1554"/>
        <item sd="0" m="1" x="2547"/>
        <item sd="0" m="1" x="1782"/>
        <item sd="0" m="1" x="1903"/>
        <item sd="0" m="1" x="2549"/>
        <item sd="0" m="1" x="1735"/>
        <item sd="0" m="1" x="1650"/>
        <item sd="0" m="1" x="1736"/>
        <item sd="0" m="1" x="2708"/>
        <item t="default" sd="0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4"/>
    <field x="0"/>
  </rowFields>
  <rowItems count="48">
    <i>
      <x v="21"/>
    </i>
    <i>
      <x v="31"/>
    </i>
    <i>
      <x v="369"/>
    </i>
    <i>
      <x v="439"/>
    </i>
    <i>
      <x v="445"/>
    </i>
    <i>
      <x v="446"/>
    </i>
    <i>
      <x v="464"/>
    </i>
    <i>
      <x v="513"/>
    </i>
    <i>
      <x v="516"/>
    </i>
    <i>
      <x v="617"/>
    </i>
    <i>
      <x v="622"/>
    </i>
    <i>
      <x v="623"/>
    </i>
    <i>
      <x v="762"/>
    </i>
    <i>
      <x v="767"/>
    </i>
    <i>
      <x v="889"/>
    </i>
    <i>
      <x v="990"/>
    </i>
    <i>
      <x v="1089"/>
    </i>
    <i>
      <x v="1137"/>
    </i>
    <i>
      <x v="1189"/>
    </i>
    <i>
      <x v="1235"/>
    </i>
    <i>
      <x v="1243"/>
    </i>
    <i>
      <x v="1290"/>
    </i>
    <i>
      <x v="1325"/>
    </i>
    <i>
      <x v="1439"/>
    </i>
    <i>
      <x v="1485"/>
    </i>
    <i>
      <x v="1715"/>
    </i>
    <i>
      <x v="1875"/>
    </i>
    <i>
      <x v="1970"/>
    </i>
    <i>
      <x v="2018"/>
    </i>
    <i>
      <x v="2023"/>
    </i>
    <i>
      <x v="2058"/>
    </i>
    <i>
      <x v="2113"/>
    </i>
    <i>
      <x v="2136"/>
    </i>
    <i>
      <x v="2222"/>
    </i>
    <i>
      <x v="2238"/>
    </i>
    <i>
      <x v="2240"/>
    </i>
    <i>
      <x v="2252"/>
    </i>
    <i>
      <x v="2255"/>
    </i>
    <i>
      <x v="2372"/>
    </i>
    <i>
      <x v="2388"/>
    </i>
    <i>
      <x v="2467"/>
    </i>
    <i>
      <x v="2577"/>
    </i>
    <i>
      <x v="2610"/>
    </i>
    <i>
      <x v="2633"/>
    </i>
    <i>
      <x v="2674"/>
    </i>
    <i>
      <x v="2697"/>
    </i>
    <i>
      <x v="2716"/>
    </i>
    <i t="grand">
      <x/>
    </i>
  </rowItems>
  <colItems count="1">
    <i/>
  </colItems>
  <pageFields count="1">
    <pageField fld="3" hier="-1"/>
  </pageFields>
  <dataFields count="1">
    <dataField name="Total" fld="9" baseField="0" baseItem="0" numFmtId="44"/>
  </dataFields>
  <formats count="10">
    <format dxfId="294">
      <pivotArea collapsedLevelsAreSubtotals="1" fieldPosition="0">
        <references count="1">
          <reference field="4" count="1">
            <x v="275"/>
          </reference>
        </references>
      </pivotArea>
    </format>
    <format dxfId="293">
      <pivotArea collapsedLevelsAreSubtotals="1" fieldPosition="0">
        <references count="1">
          <reference field="4" count="1">
            <x v="664"/>
          </reference>
        </references>
      </pivotArea>
    </format>
    <format dxfId="292">
      <pivotArea collapsedLevelsAreSubtotals="1" fieldPosition="0">
        <references count="1">
          <reference field="4" count="1">
            <x v="789"/>
          </reference>
        </references>
      </pivotArea>
    </format>
    <format dxfId="291">
      <pivotArea collapsedLevelsAreSubtotals="1" fieldPosition="0">
        <references count="1">
          <reference field="4" count="1">
            <x v="1446"/>
          </reference>
        </references>
      </pivotArea>
    </format>
    <format dxfId="290">
      <pivotArea collapsedLevelsAreSubtotals="1" fieldPosition="0">
        <references count="1">
          <reference field="4" count="1">
            <x v="1688"/>
          </reference>
        </references>
      </pivotArea>
    </format>
    <format dxfId="289">
      <pivotArea collapsedLevelsAreSubtotals="1" fieldPosition="0">
        <references count="1">
          <reference field="4" count="1">
            <x v="1989"/>
          </reference>
        </references>
      </pivotArea>
    </format>
    <format dxfId="288">
      <pivotArea dataOnly="0" labelOnly="1" fieldPosition="0">
        <references count="1">
          <reference field="4" count="6">
            <x v="275"/>
            <x v="664"/>
            <x v="789"/>
            <x v="1446"/>
            <x v="1688"/>
            <x v="1989"/>
          </reference>
        </references>
      </pivotArea>
    </format>
    <format dxfId="287">
      <pivotArea field="4" type="button" dataOnly="0" labelOnly="1" outline="0" axis="axisRow" fieldPosition="0"/>
    </format>
    <format dxfId="286">
      <pivotArea dataOnly="0" labelOnly="1" outline="0" axis="axisValues" fieldPosition="0"/>
    </format>
    <format dxfId="285">
      <pivotArea field="3" type="button" dataOnly="0" labelOnly="1" outline="0" axis="axisPage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8F09A5-D645-4647-84C9-4D31219EC1B0}" name="PivotTable6" cacheId="42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D4:E147" firstHeaderRow="1" firstDataRow="1" firstDataCol="1" rowPageCount="1" colPageCount="1"/>
  <pivotFields count="15">
    <pivotField showAll="0"/>
    <pivotField numFmtId="165" showAll="0"/>
    <pivotField axis="axisRow" showAll="0" measureFilter="1" sortType="ascending">
      <items count="537">
        <item m="1" x="433"/>
        <item x="0"/>
        <item x="1"/>
        <item x="2"/>
        <item m="1" x="209"/>
        <item x="3"/>
        <item m="1" x="352"/>
        <item m="1" x="358"/>
        <item m="1" x="215"/>
        <item m="1" x="182"/>
        <item m="1" x="297"/>
        <item m="1" x="373"/>
        <item m="1" x="192"/>
        <item m="1" x="381"/>
        <item m="1" x="202"/>
        <item m="1" x="303"/>
        <item x="4"/>
        <item x="5"/>
        <item x="6"/>
        <item m="1" x="533"/>
        <item m="1" x="295"/>
        <item m="1" x="184"/>
        <item m="1" x="488"/>
        <item x="7"/>
        <item m="1" x="510"/>
        <item x="8"/>
        <item x="9"/>
        <item x="10"/>
        <item m="1" x="426"/>
        <item x="11"/>
        <item x="12"/>
        <item x="13"/>
        <item x="14"/>
        <item m="1" x="413"/>
        <item m="1" x="518"/>
        <item m="1" x="385"/>
        <item m="1" x="392"/>
        <item x="15"/>
        <item x="16"/>
        <item m="1" x="504"/>
        <item x="17"/>
        <item m="1" x="447"/>
        <item m="1" x="481"/>
        <item x="18"/>
        <item x="19"/>
        <item m="1" x="347"/>
        <item m="1" x="354"/>
        <item m="1" x="411"/>
        <item m="1" x="418"/>
        <item m="1" x="186"/>
        <item x="20"/>
        <item m="1" x="277"/>
        <item m="1" x="214"/>
        <item x="21"/>
        <item m="1" x="479"/>
        <item m="1" x="436"/>
        <item x="22"/>
        <item m="1" x="367"/>
        <item m="1" x="267"/>
        <item x="23"/>
        <item m="1" x="219"/>
        <item x="24"/>
        <item m="1" x="265"/>
        <item m="1" x="357"/>
        <item x="25"/>
        <item x="26"/>
        <item x="27"/>
        <item m="1" x="228"/>
        <item m="1" x="485"/>
        <item x="28"/>
        <item m="1" x="469"/>
        <item m="1" x="394"/>
        <item x="29"/>
        <item m="1" x="435"/>
        <item x="30"/>
        <item m="1" x="248"/>
        <item x="31"/>
        <item x="32"/>
        <item x="33"/>
        <item x="34"/>
        <item x="35"/>
        <item m="1" x="482"/>
        <item x="36"/>
        <item m="1" x="226"/>
        <item m="1" x="235"/>
        <item x="37"/>
        <item m="1" x="283"/>
        <item x="38"/>
        <item m="1" x="213"/>
        <item m="1" x="274"/>
        <item m="1" x="425"/>
        <item m="1" x="205"/>
        <item m="1" x="345"/>
        <item m="1" x="532"/>
        <item m="1" x="346"/>
        <item m="1" x="443"/>
        <item m="1" x="331"/>
        <item m="1" x="396"/>
        <item m="1" x="253"/>
        <item x="39"/>
        <item m="1" x="501"/>
        <item m="1" x="387"/>
        <item x="40"/>
        <item m="1" x="355"/>
        <item x="41"/>
        <item x="42"/>
        <item x="43"/>
        <item x="44"/>
        <item x="45"/>
        <item m="1" x="289"/>
        <item m="1" x="475"/>
        <item m="1" x="521"/>
        <item m="1" x="200"/>
        <item m="1" x="376"/>
        <item m="1" x="221"/>
        <item m="1" x="270"/>
        <item x="46"/>
        <item m="1" x="431"/>
        <item m="1" x="292"/>
        <item m="1" x="414"/>
        <item m="1" x="375"/>
        <item m="1" x="471"/>
        <item x="47"/>
        <item m="1" x="393"/>
        <item x="48"/>
        <item m="1" x="494"/>
        <item x="49"/>
        <item x="50"/>
        <item m="1" x="183"/>
        <item x="51"/>
        <item m="1" x="416"/>
        <item x="52"/>
        <item m="1" x="290"/>
        <item m="1" x="341"/>
        <item m="1" x="439"/>
        <item m="1" x="257"/>
        <item m="1" x="340"/>
        <item m="1" x="256"/>
        <item x="53"/>
        <item m="1" x="203"/>
        <item x="54"/>
        <item x="55"/>
        <item x="56"/>
        <item m="1" x="529"/>
        <item x="57"/>
        <item m="1" x="461"/>
        <item m="1" x="415"/>
        <item x="58"/>
        <item m="1" x="238"/>
        <item x="59"/>
        <item x="60"/>
        <item m="1" x="452"/>
        <item m="1" x="457"/>
        <item x="61"/>
        <item m="1" x="508"/>
        <item m="1" x="208"/>
        <item m="1" x="321"/>
        <item m="1" x="390"/>
        <item x="62"/>
        <item m="1" x="293"/>
        <item m="1" x="232"/>
        <item m="1" x="366"/>
        <item m="1" x="310"/>
        <item x="63"/>
        <item m="1" x="400"/>
        <item m="1" x="446"/>
        <item m="1" x="251"/>
        <item x="64"/>
        <item x="65"/>
        <item m="1" x="349"/>
        <item x="66"/>
        <item x="67"/>
        <item m="1" x="259"/>
        <item m="1" x="519"/>
        <item x="68"/>
        <item m="1" x="490"/>
        <item x="69"/>
        <item m="1" x="344"/>
        <item m="1" x="255"/>
        <item x="70"/>
        <item x="71"/>
        <item m="1" x="406"/>
        <item x="72"/>
        <item m="1" x="458"/>
        <item x="73"/>
        <item m="1" x="196"/>
        <item m="1" x="314"/>
        <item m="1" x="419"/>
        <item x="74"/>
        <item x="75"/>
        <item x="76"/>
        <item m="1" x="404"/>
        <item m="1" x="302"/>
        <item m="1" x="372"/>
        <item m="1" x="316"/>
        <item x="77"/>
        <item m="1" x="279"/>
        <item m="1" x="276"/>
        <item m="1" x="361"/>
        <item m="1" x="468"/>
        <item m="1" x="371"/>
        <item m="1" x="258"/>
        <item m="1" x="260"/>
        <item m="1" x="430"/>
        <item m="1" x="187"/>
        <item x="78"/>
        <item x="79"/>
        <item x="80"/>
        <item m="1" x="227"/>
        <item m="1" x="427"/>
        <item x="81"/>
        <item m="1" x="395"/>
        <item m="1" x="407"/>
        <item m="1" x="473"/>
        <item m="1" x="445"/>
        <item m="1" x="405"/>
        <item m="1" x="252"/>
        <item m="1" x="464"/>
        <item x="82"/>
        <item m="1" x="230"/>
        <item x="83"/>
        <item m="1" x="514"/>
        <item m="1" x="456"/>
        <item m="1" x="517"/>
        <item m="1" x="325"/>
        <item m="1" x="422"/>
        <item m="1" x="505"/>
        <item m="1" x="241"/>
        <item x="84"/>
        <item m="1" x="195"/>
        <item m="1" x="233"/>
        <item x="85"/>
        <item m="1" x="286"/>
        <item m="1" x="250"/>
        <item x="86"/>
        <item m="1" x="189"/>
        <item m="1" x="470"/>
        <item x="87"/>
        <item x="88"/>
        <item x="89"/>
        <item m="1" x="465"/>
        <item x="90"/>
        <item x="91"/>
        <item m="1" x="489"/>
        <item m="1" x="268"/>
        <item m="1" x="300"/>
        <item m="1" x="360"/>
        <item x="92"/>
        <item m="1" x="315"/>
        <item m="1" x="263"/>
        <item m="1" x="278"/>
        <item m="1" x="199"/>
        <item m="1" x="486"/>
        <item m="1" x="454"/>
        <item m="1" x="211"/>
        <item m="1" x="317"/>
        <item x="93"/>
        <item m="1" x="298"/>
        <item m="1" x="288"/>
        <item x="94"/>
        <item m="1" x="448"/>
        <item x="95"/>
        <item m="1" x="307"/>
        <item m="1" x="294"/>
        <item m="1" x="450"/>
        <item m="1" x="190"/>
        <item m="1" x="512"/>
        <item x="96"/>
        <item x="97"/>
        <item x="98"/>
        <item m="1" x="516"/>
        <item m="1" x="365"/>
        <item m="1" x="242"/>
        <item m="1" x="377"/>
        <item m="1" x="491"/>
        <item x="99"/>
        <item m="1" x="472"/>
        <item x="100"/>
        <item m="1" x="384"/>
        <item x="101"/>
        <item x="102"/>
        <item m="1" x="309"/>
        <item m="1" x="311"/>
        <item x="103"/>
        <item x="104"/>
        <item m="1" x="291"/>
        <item m="1" x="338"/>
        <item m="1" x="285"/>
        <item m="1" x="306"/>
        <item x="105"/>
        <item m="1" x="386"/>
        <item m="1" x="197"/>
        <item m="1" x="528"/>
        <item m="1" x="223"/>
        <item m="1" x="275"/>
        <item m="1" x="194"/>
        <item x="106"/>
        <item m="1" x="403"/>
        <item m="1" x="525"/>
        <item m="1" x="324"/>
        <item m="1" x="201"/>
        <item m="1" x="243"/>
        <item x="107"/>
        <item m="1" x="434"/>
        <item m="1" x="362"/>
        <item x="108"/>
        <item m="1" x="363"/>
        <item m="1" x="437"/>
        <item m="1" x="339"/>
        <item m="1" x="329"/>
        <item m="1" x="284"/>
        <item m="1" x="441"/>
        <item x="109"/>
        <item m="1" x="244"/>
        <item x="110"/>
        <item m="1" x="225"/>
        <item m="1" x="442"/>
        <item m="1" x="402"/>
        <item m="1" x="333"/>
        <item m="1" x="224"/>
        <item x="111"/>
        <item m="1" x="217"/>
        <item m="1" x="188"/>
        <item x="112"/>
        <item m="1" x="383"/>
        <item x="113"/>
        <item m="1" x="212"/>
        <item m="1" x="313"/>
        <item x="114"/>
        <item m="1" x="507"/>
        <item x="115"/>
        <item x="116"/>
        <item m="1" x="493"/>
        <item x="117"/>
        <item m="1" x="330"/>
        <item m="1" x="389"/>
        <item m="1" x="234"/>
        <item m="1" x="408"/>
        <item x="118"/>
        <item x="119"/>
        <item m="1" x="220"/>
        <item m="1" x="506"/>
        <item m="1" x="391"/>
        <item x="120"/>
        <item m="1" x="266"/>
        <item m="1" x="509"/>
        <item m="1" x="374"/>
        <item x="121"/>
        <item m="1" x="359"/>
        <item m="1" x="305"/>
        <item m="1" x="282"/>
        <item x="122"/>
        <item m="1" x="280"/>
        <item x="123"/>
        <item x="124"/>
        <item m="1" x="356"/>
        <item m="1" x="327"/>
        <item m="1" x="398"/>
        <item m="1" x="246"/>
        <item m="1" x="498"/>
        <item x="125"/>
        <item x="126"/>
        <item m="1" x="451"/>
        <item x="127"/>
        <item m="1" x="530"/>
        <item m="1" x="388"/>
        <item x="128"/>
        <item m="1" x="206"/>
        <item m="1" x="191"/>
        <item m="1" x="322"/>
        <item x="129"/>
        <item m="1" x="417"/>
        <item m="1" x="308"/>
        <item m="1" x="534"/>
        <item m="1" x="440"/>
        <item m="1" x="254"/>
        <item x="130"/>
        <item m="1" x="455"/>
        <item m="1" x="523"/>
        <item x="131"/>
        <item m="1" x="296"/>
        <item x="132"/>
        <item x="133"/>
        <item m="1" x="474"/>
        <item m="1" x="334"/>
        <item m="1" x="531"/>
        <item m="1" x="229"/>
        <item x="134"/>
        <item x="135"/>
        <item m="1" x="535"/>
        <item m="1" x="476"/>
        <item x="136"/>
        <item x="137"/>
        <item m="1" x="239"/>
        <item m="1" x="478"/>
        <item x="138"/>
        <item x="139"/>
        <item x="140"/>
        <item m="1" x="423"/>
        <item m="1" x="401"/>
        <item m="1" x="193"/>
        <item x="141"/>
        <item m="1" x="397"/>
        <item m="1" x="526"/>
        <item x="142"/>
        <item m="1" x="271"/>
        <item x="143"/>
        <item m="1" x="428"/>
        <item x="144"/>
        <item x="145"/>
        <item x="146"/>
        <item x="147"/>
        <item x="148"/>
        <item m="1" x="247"/>
        <item x="149"/>
        <item m="1" x="502"/>
        <item m="1" x="207"/>
        <item m="1" x="222"/>
        <item m="1" x="462"/>
        <item m="1" x="520"/>
        <item m="1" x="410"/>
        <item m="1" x="336"/>
        <item m="1" x="511"/>
        <item m="1" x="328"/>
        <item m="1" x="424"/>
        <item m="1" x="421"/>
        <item m="1" x="499"/>
        <item m="1" x="515"/>
        <item m="1" x="527"/>
        <item m="1" x="379"/>
        <item x="150"/>
        <item m="1" x="369"/>
        <item x="151"/>
        <item m="1" x="237"/>
        <item m="1" x="323"/>
        <item x="152"/>
        <item x="153"/>
        <item x="154"/>
        <item m="1" x="348"/>
        <item m="1" x="236"/>
        <item x="155"/>
        <item x="156"/>
        <item m="1" x="483"/>
        <item m="1" x="420"/>
        <item m="1" x="503"/>
        <item m="1" x="332"/>
        <item m="1" x="204"/>
        <item m="1" x="460"/>
        <item x="157"/>
        <item x="158"/>
        <item m="1" x="326"/>
        <item m="1" x="513"/>
        <item x="159"/>
        <item m="1" x="351"/>
        <item m="1" x="216"/>
        <item m="1" x="262"/>
        <item m="1" x="320"/>
        <item m="1" x="453"/>
        <item m="1" x="272"/>
        <item m="1" x="500"/>
        <item x="160"/>
        <item m="1" x="484"/>
        <item m="1" x="231"/>
        <item m="1" x="399"/>
        <item x="161"/>
        <item m="1" x="304"/>
        <item m="1" x="382"/>
        <item m="1" x="318"/>
        <item m="1" x="319"/>
        <item m="1" x="429"/>
        <item m="1" x="378"/>
        <item m="1" x="269"/>
        <item m="1" x="496"/>
        <item m="1" x="281"/>
        <item m="1" x="495"/>
        <item m="1" x="301"/>
        <item x="162"/>
        <item x="163"/>
        <item m="1" x="353"/>
        <item m="1" x="210"/>
        <item m="1" x="343"/>
        <item m="1" x="312"/>
        <item m="1" x="497"/>
        <item m="1" x="185"/>
        <item m="1" x="350"/>
        <item m="1" x="249"/>
        <item m="1" x="368"/>
        <item m="1" x="438"/>
        <item m="1" x="264"/>
        <item m="1" x="342"/>
        <item m="1" x="198"/>
        <item m="1" x="240"/>
        <item m="1" x="467"/>
        <item x="164"/>
        <item m="1" x="337"/>
        <item m="1" x="524"/>
        <item m="1" x="299"/>
        <item x="165"/>
        <item m="1" x="459"/>
        <item m="1" x="218"/>
        <item m="1" x="466"/>
        <item m="1" x="492"/>
        <item x="166"/>
        <item m="1" x="477"/>
        <item m="1" x="449"/>
        <item m="1" x="409"/>
        <item m="1" x="480"/>
        <item x="167"/>
        <item m="1" x="522"/>
        <item x="168"/>
        <item m="1" x="261"/>
        <item m="1" x="245"/>
        <item m="1" x="412"/>
        <item m="1" x="432"/>
        <item x="169"/>
        <item m="1" x="444"/>
        <item m="1" x="370"/>
        <item x="170"/>
        <item x="171"/>
        <item x="172"/>
        <item m="1" x="287"/>
        <item m="1" x="273"/>
        <item x="173"/>
        <item m="1" x="487"/>
        <item x="174"/>
        <item m="1" x="463"/>
        <item x="175"/>
        <item m="1" x="335"/>
        <item x="176"/>
        <item m="1" x="380"/>
        <item m="1" x="364"/>
        <item x="177"/>
        <item x="178"/>
        <item x="179"/>
        <item x="180"/>
        <item m="1" x="181"/>
        <item t="default"/>
      </items>
    </pivotField>
    <pivotField axis="axisPage" showAll="0">
      <items count="41">
        <item x="2"/>
        <item x="7"/>
        <item x="3"/>
        <item m="1" x="35"/>
        <item x="20"/>
        <item m="1" x="32"/>
        <item x="5"/>
        <item x="6"/>
        <item x="11"/>
        <item x="15"/>
        <item m="1" x="30"/>
        <item x="1"/>
        <item x="16"/>
        <item x="21"/>
        <item x="19"/>
        <item x="8"/>
        <item x="0"/>
        <item x="9"/>
        <item x="13"/>
        <item x="4"/>
        <item x="10"/>
        <item m="1" x="38"/>
        <item m="1" x="33"/>
        <item m="1" x="26"/>
        <item x="12"/>
        <item m="1" x="28"/>
        <item m="1" x="36"/>
        <item m="1" x="37"/>
        <item m="1" x="29"/>
        <item m="1" x="39"/>
        <item m="1" x="23"/>
        <item m="1" x="31"/>
        <item m="1" x="25"/>
        <item x="17"/>
        <item m="1" x="34"/>
        <item x="14"/>
        <item m="1" x="24"/>
        <item m="1" x="27"/>
        <item x="18"/>
        <item x="22"/>
        <item t="default"/>
      </items>
    </pivotField>
    <pivotField showAll="0"/>
    <pivotField numFmtId="4" showAll="0"/>
    <pivotField numFmtId="4" showAll="0"/>
    <pivotField dataField="1" numFmtId="4" showAll="0"/>
    <pivotField numFmtId="4" showAll="0"/>
    <pivotField numFmtId="4" showAll="0"/>
    <pivotField numFmtId="166" showAll="0"/>
    <pivotField showAll="0"/>
    <pivotField showAll="0"/>
    <pivotField showAll="0"/>
    <pivotField showAll="0"/>
  </pivotFields>
  <rowFields count="1">
    <field x="2"/>
  </rowFields>
  <rowItems count="143">
    <i>
      <x v="1"/>
    </i>
    <i>
      <x v="2"/>
    </i>
    <i>
      <x v="3"/>
    </i>
    <i>
      <x v="5"/>
    </i>
    <i>
      <x v="16"/>
    </i>
    <i>
      <x v="17"/>
    </i>
    <i>
      <x v="25"/>
    </i>
    <i>
      <x v="26"/>
    </i>
    <i>
      <x v="29"/>
    </i>
    <i>
      <x v="30"/>
    </i>
    <i>
      <x v="31"/>
    </i>
    <i>
      <x v="37"/>
    </i>
    <i>
      <x v="38"/>
    </i>
    <i>
      <x v="40"/>
    </i>
    <i>
      <x v="44"/>
    </i>
    <i>
      <x v="50"/>
    </i>
    <i>
      <x v="53"/>
    </i>
    <i>
      <x v="59"/>
    </i>
    <i>
      <x v="61"/>
    </i>
    <i>
      <x v="64"/>
    </i>
    <i>
      <x v="65"/>
    </i>
    <i>
      <x v="66"/>
    </i>
    <i>
      <x v="69"/>
    </i>
    <i>
      <x v="72"/>
    </i>
    <i>
      <x v="76"/>
    </i>
    <i>
      <x v="77"/>
    </i>
    <i>
      <x v="79"/>
    </i>
    <i>
      <x v="80"/>
    </i>
    <i>
      <x v="82"/>
    </i>
    <i>
      <x v="85"/>
    </i>
    <i>
      <x v="99"/>
    </i>
    <i>
      <x v="102"/>
    </i>
    <i>
      <x v="106"/>
    </i>
    <i>
      <x v="107"/>
    </i>
    <i>
      <x v="116"/>
    </i>
    <i>
      <x v="122"/>
    </i>
    <i>
      <x v="124"/>
    </i>
    <i>
      <x v="127"/>
    </i>
    <i>
      <x v="129"/>
    </i>
    <i>
      <x v="131"/>
    </i>
    <i>
      <x v="138"/>
    </i>
    <i>
      <x v="140"/>
    </i>
    <i>
      <x v="141"/>
    </i>
    <i>
      <x v="142"/>
    </i>
    <i>
      <x v="144"/>
    </i>
    <i>
      <x v="147"/>
    </i>
    <i>
      <x v="149"/>
    </i>
    <i>
      <x v="150"/>
    </i>
    <i>
      <x v="153"/>
    </i>
    <i>
      <x v="158"/>
    </i>
    <i>
      <x v="168"/>
    </i>
    <i>
      <x v="174"/>
    </i>
    <i>
      <x v="176"/>
    </i>
    <i>
      <x v="179"/>
    </i>
    <i>
      <x v="180"/>
    </i>
    <i>
      <x v="184"/>
    </i>
    <i>
      <x v="188"/>
    </i>
    <i>
      <x v="190"/>
    </i>
    <i>
      <x v="195"/>
    </i>
    <i>
      <x v="205"/>
    </i>
    <i>
      <x v="206"/>
    </i>
    <i>
      <x v="207"/>
    </i>
    <i>
      <x v="210"/>
    </i>
    <i>
      <x v="218"/>
    </i>
    <i>
      <x v="220"/>
    </i>
    <i>
      <x v="228"/>
    </i>
    <i>
      <x v="231"/>
    </i>
    <i>
      <x v="234"/>
    </i>
    <i>
      <x v="237"/>
    </i>
    <i>
      <x v="238"/>
    </i>
    <i>
      <x v="239"/>
    </i>
    <i>
      <x v="256"/>
    </i>
    <i>
      <x v="259"/>
    </i>
    <i>
      <x v="261"/>
    </i>
    <i>
      <x v="267"/>
    </i>
    <i>
      <x v="269"/>
    </i>
    <i>
      <x v="275"/>
    </i>
    <i>
      <x v="277"/>
    </i>
    <i>
      <x v="279"/>
    </i>
    <i>
      <x v="283"/>
    </i>
    <i>
      <x v="284"/>
    </i>
    <i>
      <x v="289"/>
    </i>
    <i>
      <x v="296"/>
    </i>
    <i>
      <x v="302"/>
    </i>
    <i>
      <x v="305"/>
    </i>
    <i>
      <x v="314"/>
    </i>
    <i>
      <x v="320"/>
    </i>
    <i>
      <x v="323"/>
    </i>
    <i>
      <x v="325"/>
    </i>
    <i>
      <x v="328"/>
    </i>
    <i>
      <x v="331"/>
    </i>
    <i>
      <x v="333"/>
    </i>
    <i>
      <x v="338"/>
    </i>
    <i>
      <x v="339"/>
    </i>
    <i>
      <x v="343"/>
    </i>
    <i>
      <x v="351"/>
    </i>
    <i>
      <x v="360"/>
    </i>
    <i>
      <x v="363"/>
    </i>
    <i>
      <x v="366"/>
    </i>
    <i>
      <x v="370"/>
    </i>
    <i>
      <x v="376"/>
    </i>
    <i>
      <x v="379"/>
    </i>
    <i>
      <x v="381"/>
    </i>
    <i>
      <x v="382"/>
    </i>
    <i>
      <x v="387"/>
    </i>
    <i>
      <x v="391"/>
    </i>
    <i>
      <x v="395"/>
    </i>
    <i>
      <x v="396"/>
    </i>
    <i>
      <x v="401"/>
    </i>
    <i>
      <x v="404"/>
    </i>
    <i>
      <x v="406"/>
    </i>
    <i>
      <x v="408"/>
    </i>
    <i>
      <x v="409"/>
    </i>
    <i>
      <x v="410"/>
    </i>
    <i>
      <x v="411"/>
    </i>
    <i>
      <x v="412"/>
    </i>
    <i>
      <x v="430"/>
    </i>
    <i>
      <x v="435"/>
    </i>
    <i>
      <x v="436"/>
    </i>
    <i>
      <x v="437"/>
    </i>
    <i>
      <x v="440"/>
    </i>
    <i>
      <x v="448"/>
    </i>
    <i>
      <x v="449"/>
    </i>
    <i>
      <x v="452"/>
    </i>
    <i>
      <x v="460"/>
    </i>
    <i>
      <x v="464"/>
    </i>
    <i>
      <x v="477"/>
    </i>
    <i>
      <x v="493"/>
    </i>
    <i>
      <x v="497"/>
    </i>
    <i>
      <x v="502"/>
    </i>
    <i>
      <x v="507"/>
    </i>
    <i>
      <x v="509"/>
    </i>
    <i>
      <x v="514"/>
    </i>
    <i>
      <x v="517"/>
    </i>
    <i>
      <x v="518"/>
    </i>
    <i>
      <x v="519"/>
    </i>
    <i>
      <x v="522"/>
    </i>
    <i>
      <x v="524"/>
    </i>
    <i>
      <x v="528"/>
    </i>
    <i>
      <x v="532"/>
    </i>
    <i>
      <x v="533"/>
    </i>
    <i>
      <x v="534"/>
    </i>
    <i t="grand">
      <x/>
    </i>
  </rowItems>
  <colItems count="1">
    <i/>
  </colItems>
  <pageFields count="1">
    <pageField fld="3" hier="-1"/>
  </pageFields>
  <dataFields count="1">
    <dataField name="Total" fld="7" baseField="0" baseItem="0" numFmtId="44"/>
  </dataFields>
  <formats count="2">
    <format dxfId="296">
      <pivotArea field="2" type="button" dataOnly="0" labelOnly="1" outline="0" axis="axisRow" fieldPosition="0"/>
    </format>
    <format dxfId="295">
      <pivotArea dataOnly="0" labelOnly="1" outline="0" axis="axisValues" fieldPosition="0"/>
    </format>
  </formats>
  <pivotTableStyleInfo name="PivotStyleLight16" showRowHeaders="1" showColHeaders="1" showRowStripes="1" showColStripes="0" showLastColumn="1"/>
  <filters count="1">
    <filter fld="2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18827-3C93-1549-ABD7-163E11CD6E58}" name="PivotTable6" cacheId="42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D4:E5" firstHeaderRow="1" firstDataRow="1" firstDataCol="1" rowPageCount="1" colPageCount="1"/>
  <pivotFields count="15">
    <pivotField showAll="0"/>
    <pivotField numFmtId="165" showAll="0"/>
    <pivotField axis="axisRow" showAll="0" measureFilter="1" sortType="ascending">
      <items count="537">
        <item m="1" x="433"/>
        <item x="0"/>
        <item x="1"/>
        <item x="2"/>
        <item m="1" x="209"/>
        <item x="3"/>
        <item m="1" x="352"/>
        <item m="1" x="358"/>
        <item m="1" x="215"/>
        <item m="1" x="182"/>
        <item m="1" x="297"/>
        <item m="1" x="373"/>
        <item m="1" x="192"/>
        <item m="1" x="381"/>
        <item m="1" x="202"/>
        <item m="1" x="303"/>
        <item x="4"/>
        <item x="5"/>
        <item x="6"/>
        <item m="1" x="533"/>
        <item m="1" x="295"/>
        <item m="1" x="184"/>
        <item m="1" x="488"/>
        <item x="7"/>
        <item m="1" x="510"/>
        <item x="8"/>
        <item x="9"/>
        <item x="10"/>
        <item m="1" x="426"/>
        <item x="11"/>
        <item x="12"/>
        <item x="13"/>
        <item x="14"/>
        <item m="1" x="413"/>
        <item m="1" x="518"/>
        <item m="1" x="385"/>
        <item m="1" x="392"/>
        <item x="15"/>
        <item x="16"/>
        <item m="1" x="504"/>
        <item x="17"/>
        <item m="1" x="447"/>
        <item m="1" x="481"/>
        <item x="18"/>
        <item x="19"/>
        <item m="1" x="347"/>
        <item m="1" x="354"/>
        <item m="1" x="411"/>
        <item m="1" x="418"/>
        <item m="1" x="186"/>
        <item x="20"/>
        <item m="1" x="277"/>
        <item m="1" x="214"/>
        <item x="21"/>
        <item m="1" x="479"/>
        <item m="1" x="436"/>
        <item x="22"/>
        <item m="1" x="367"/>
        <item m="1" x="267"/>
        <item x="23"/>
        <item m="1" x="219"/>
        <item x="24"/>
        <item m="1" x="265"/>
        <item m="1" x="357"/>
        <item x="25"/>
        <item x="26"/>
        <item x="27"/>
        <item m="1" x="228"/>
        <item m="1" x="485"/>
        <item x="28"/>
        <item m="1" x="469"/>
        <item m="1" x="394"/>
        <item x="29"/>
        <item m="1" x="435"/>
        <item x="30"/>
        <item m="1" x="248"/>
        <item x="31"/>
        <item x="32"/>
        <item x="33"/>
        <item x="34"/>
        <item x="35"/>
        <item m="1" x="482"/>
        <item x="36"/>
        <item m="1" x="226"/>
        <item m="1" x="235"/>
        <item x="37"/>
        <item m="1" x="283"/>
        <item x="38"/>
        <item m="1" x="213"/>
        <item m="1" x="274"/>
        <item m="1" x="425"/>
        <item m="1" x="205"/>
        <item m="1" x="345"/>
        <item m="1" x="532"/>
        <item m="1" x="346"/>
        <item m="1" x="443"/>
        <item m="1" x="331"/>
        <item m="1" x="396"/>
        <item m="1" x="253"/>
        <item x="39"/>
        <item m="1" x="501"/>
        <item m="1" x="387"/>
        <item x="40"/>
        <item m="1" x="355"/>
        <item x="41"/>
        <item x="42"/>
        <item x="43"/>
        <item x="44"/>
        <item x="45"/>
        <item m="1" x="289"/>
        <item m="1" x="475"/>
        <item m="1" x="521"/>
        <item m="1" x="200"/>
        <item m="1" x="376"/>
        <item m="1" x="221"/>
        <item m="1" x="270"/>
        <item x="46"/>
        <item m="1" x="431"/>
        <item m="1" x="292"/>
        <item m="1" x="414"/>
        <item m="1" x="375"/>
        <item m="1" x="471"/>
        <item x="47"/>
        <item m="1" x="393"/>
        <item x="48"/>
        <item m="1" x="494"/>
        <item x="49"/>
        <item x="50"/>
        <item m="1" x="183"/>
        <item x="51"/>
        <item m="1" x="416"/>
        <item x="52"/>
        <item m="1" x="290"/>
        <item m="1" x="341"/>
        <item m="1" x="439"/>
        <item m="1" x="257"/>
        <item m="1" x="340"/>
        <item m="1" x="256"/>
        <item x="53"/>
        <item m="1" x="203"/>
        <item x="54"/>
        <item x="55"/>
        <item x="56"/>
        <item m="1" x="529"/>
        <item x="57"/>
        <item m="1" x="461"/>
        <item m="1" x="415"/>
        <item x="58"/>
        <item m="1" x="238"/>
        <item x="59"/>
        <item x="60"/>
        <item m="1" x="452"/>
        <item m="1" x="457"/>
        <item x="61"/>
        <item m="1" x="508"/>
        <item m="1" x="208"/>
        <item m="1" x="321"/>
        <item m="1" x="390"/>
        <item x="62"/>
        <item m="1" x="293"/>
        <item m="1" x="232"/>
        <item m="1" x="366"/>
        <item m="1" x="310"/>
        <item x="63"/>
        <item m="1" x="400"/>
        <item m="1" x="446"/>
        <item m="1" x="251"/>
        <item x="64"/>
        <item x="65"/>
        <item m="1" x="349"/>
        <item x="66"/>
        <item x="67"/>
        <item m="1" x="259"/>
        <item m="1" x="519"/>
        <item x="68"/>
        <item m="1" x="490"/>
        <item x="69"/>
        <item m="1" x="344"/>
        <item m="1" x="255"/>
        <item x="70"/>
        <item x="71"/>
        <item m="1" x="406"/>
        <item x="72"/>
        <item m="1" x="458"/>
        <item x="73"/>
        <item m="1" x="196"/>
        <item m="1" x="314"/>
        <item m="1" x="419"/>
        <item x="74"/>
        <item x="75"/>
        <item x="76"/>
        <item m="1" x="404"/>
        <item m="1" x="302"/>
        <item m="1" x="372"/>
        <item m="1" x="316"/>
        <item x="77"/>
        <item m="1" x="279"/>
        <item m="1" x="276"/>
        <item m="1" x="361"/>
        <item m="1" x="468"/>
        <item m="1" x="371"/>
        <item m="1" x="258"/>
        <item m="1" x="260"/>
        <item m="1" x="430"/>
        <item m="1" x="187"/>
        <item x="78"/>
        <item x="79"/>
        <item x="80"/>
        <item m="1" x="227"/>
        <item m="1" x="427"/>
        <item x="81"/>
        <item m="1" x="395"/>
        <item m="1" x="407"/>
        <item m="1" x="473"/>
        <item m="1" x="445"/>
        <item m="1" x="405"/>
        <item m="1" x="252"/>
        <item m="1" x="464"/>
        <item x="82"/>
        <item m="1" x="230"/>
        <item x="83"/>
        <item m="1" x="514"/>
        <item m="1" x="456"/>
        <item m="1" x="517"/>
        <item m="1" x="325"/>
        <item m="1" x="422"/>
        <item m="1" x="505"/>
        <item m="1" x="241"/>
        <item x="84"/>
        <item m="1" x="195"/>
        <item m="1" x="233"/>
        <item x="85"/>
        <item m="1" x="286"/>
        <item m="1" x="250"/>
        <item x="86"/>
        <item m="1" x="189"/>
        <item m="1" x="470"/>
        <item x="87"/>
        <item x="88"/>
        <item x="89"/>
        <item m="1" x="465"/>
        <item x="90"/>
        <item x="91"/>
        <item m="1" x="489"/>
        <item m="1" x="268"/>
        <item m="1" x="300"/>
        <item m="1" x="360"/>
        <item x="92"/>
        <item m="1" x="315"/>
        <item m="1" x="263"/>
        <item m="1" x="278"/>
        <item m="1" x="199"/>
        <item m="1" x="486"/>
        <item m="1" x="454"/>
        <item m="1" x="211"/>
        <item m="1" x="317"/>
        <item x="93"/>
        <item m="1" x="298"/>
        <item m="1" x="288"/>
        <item x="94"/>
        <item m="1" x="448"/>
        <item x="95"/>
        <item m="1" x="307"/>
        <item m="1" x="294"/>
        <item m="1" x="450"/>
        <item m="1" x="190"/>
        <item m="1" x="512"/>
        <item x="96"/>
        <item x="97"/>
        <item x="98"/>
        <item m="1" x="516"/>
        <item m="1" x="365"/>
        <item m="1" x="242"/>
        <item m="1" x="377"/>
        <item m="1" x="491"/>
        <item x="99"/>
        <item m="1" x="472"/>
        <item x="100"/>
        <item m="1" x="384"/>
        <item x="101"/>
        <item x="102"/>
        <item m="1" x="309"/>
        <item m="1" x="311"/>
        <item x="103"/>
        <item x="104"/>
        <item m="1" x="291"/>
        <item m="1" x="338"/>
        <item m="1" x="285"/>
        <item m="1" x="306"/>
        <item x="105"/>
        <item m="1" x="386"/>
        <item m="1" x="197"/>
        <item m="1" x="528"/>
        <item m="1" x="223"/>
        <item m="1" x="275"/>
        <item m="1" x="194"/>
        <item x="106"/>
        <item m="1" x="403"/>
        <item m="1" x="525"/>
        <item m="1" x="324"/>
        <item m="1" x="201"/>
        <item m="1" x="243"/>
        <item x="107"/>
        <item m="1" x="434"/>
        <item m="1" x="362"/>
        <item x="108"/>
        <item m="1" x="363"/>
        <item m="1" x="437"/>
        <item m="1" x="339"/>
        <item m="1" x="329"/>
        <item m="1" x="284"/>
        <item m="1" x="441"/>
        <item x="109"/>
        <item m="1" x="244"/>
        <item x="110"/>
        <item m="1" x="225"/>
        <item m="1" x="442"/>
        <item m="1" x="402"/>
        <item m="1" x="333"/>
        <item m="1" x="224"/>
        <item x="111"/>
        <item m="1" x="217"/>
        <item m="1" x="188"/>
        <item x="112"/>
        <item m="1" x="383"/>
        <item x="113"/>
        <item m="1" x="212"/>
        <item m="1" x="313"/>
        <item x="114"/>
        <item m="1" x="507"/>
        <item x="115"/>
        <item x="116"/>
        <item m="1" x="493"/>
        <item x="117"/>
        <item m="1" x="330"/>
        <item m="1" x="389"/>
        <item m="1" x="234"/>
        <item m="1" x="408"/>
        <item x="118"/>
        <item x="119"/>
        <item m="1" x="220"/>
        <item m="1" x="506"/>
        <item m="1" x="391"/>
        <item x="120"/>
        <item m="1" x="266"/>
        <item m="1" x="509"/>
        <item m="1" x="374"/>
        <item x="121"/>
        <item m="1" x="359"/>
        <item m="1" x="305"/>
        <item m="1" x="282"/>
        <item x="122"/>
        <item m="1" x="280"/>
        <item x="123"/>
        <item x="124"/>
        <item m="1" x="356"/>
        <item m="1" x="327"/>
        <item m="1" x="398"/>
        <item m="1" x="246"/>
        <item m="1" x="498"/>
        <item x="125"/>
        <item x="126"/>
        <item m="1" x="451"/>
        <item x="127"/>
        <item m="1" x="530"/>
        <item m="1" x="388"/>
        <item x="128"/>
        <item m="1" x="206"/>
        <item m="1" x="191"/>
        <item m="1" x="322"/>
        <item x="129"/>
        <item m="1" x="417"/>
        <item m="1" x="308"/>
        <item m="1" x="534"/>
        <item m="1" x="440"/>
        <item m="1" x="254"/>
        <item x="130"/>
        <item m="1" x="455"/>
        <item m="1" x="523"/>
        <item x="131"/>
        <item m="1" x="296"/>
        <item x="132"/>
        <item x="133"/>
        <item m="1" x="474"/>
        <item m="1" x="334"/>
        <item m="1" x="531"/>
        <item m="1" x="229"/>
        <item x="134"/>
        <item x="135"/>
        <item m="1" x="535"/>
        <item m="1" x="476"/>
        <item x="136"/>
        <item x="137"/>
        <item m="1" x="239"/>
        <item m="1" x="478"/>
        <item x="138"/>
        <item x="139"/>
        <item x="140"/>
        <item m="1" x="423"/>
        <item m="1" x="401"/>
        <item m="1" x="193"/>
        <item x="141"/>
        <item m="1" x="397"/>
        <item m="1" x="526"/>
        <item x="142"/>
        <item m="1" x="271"/>
        <item x="143"/>
        <item m="1" x="428"/>
        <item x="144"/>
        <item x="145"/>
        <item x="146"/>
        <item x="147"/>
        <item x="148"/>
        <item m="1" x="247"/>
        <item x="149"/>
        <item m="1" x="502"/>
        <item m="1" x="207"/>
        <item m="1" x="222"/>
        <item m="1" x="462"/>
        <item m="1" x="520"/>
        <item m="1" x="410"/>
        <item m="1" x="336"/>
        <item m="1" x="511"/>
        <item m="1" x="328"/>
        <item m="1" x="424"/>
        <item m="1" x="421"/>
        <item m="1" x="499"/>
        <item m="1" x="515"/>
        <item m="1" x="527"/>
        <item m="1" x="379"/>
        <item x="150"/>
        <item m="1" x="369"/>
        <item x="151"/>
        <item m="1" x="237"/>
        <item m="1" x="323"/>
        <item x="152"/>
        <item x="153"/>
        <item x="154"/>
        <item m="1" x="348"/>
        <item m="1" x="236"/>
        <item x="155"/>
        <item x="156"/>
        <item m="1" x="483"/>
        <item m="1" x="420"/>
        <item m="1" x="503"/>
        <item m="1" x="332"/>
        <item m="1" x="204"/>
        <item m="1" x="460"/>
        <item x="157"/>
        <item x="158"/>
        <item m="1" x="326"/>
        <item m="1" x="513"/>
        <item x="159"/>
        <item m="1" x="351"/>
        <item m="1" x="216"/>
        <item m="1" x="262"/>
        <item m="1" x="320"/>
        <item m="1" x="453"/>
        <item m="1" x="272"/>
        <item m="1" x="500"/>
        <item x="160"/>
        <item m="1" x="484"/>
        <item m="1" x="231"/>
        <item m="1" x="399"/>
        <item x="161"/>
        <item m="1" x="304"/>
        <item m="1" x="382"/>
        <item m="1" x="318"/>
        <item m="1" x="319"/>
        <item m="1" x="429"/>
        <item m="1" x="378"/>
        <item m="1" x="269"/>
        <item m="1" x="496"/>
        <item m="1" x="281"/>
        <item m="1" x="495"/>
        <item m="1" x="301"/>
        <item x="162"/>
        <item x="163"/>
        <item m="1" x="353"/>
        <item m="1" x="210"/>
        <item m="1" x="343"/>
        <item m="1" x="312"/>
        <item m="1" x="497"/>
        <item m="1" x="185"/>
        <item m="1" x="350"/>
        <item m="1" x="249"/>
        <item m="1" x="368"/>
        <item m="1" x="438"/>
        <item m="1" x="264"/>
        <item m="1" x="342"/>
        <item m="1" x="198"/>
        <item m="1" x="240"/>
        <item m="1" x="467"/>
        <item x="164"/>
        <item m="1" x="337"/>
        <item m="1" x="524"/>
        <item m="1" x="299"/>
        <item x="165"/>
        <item m="1" x="459"/>
        <item m="1" x="218"/>
        <item m="1" x="466"/>
        <item m="1" x="492"/>
        <item x="166"/>
        <item m="1" x="477"/>
        <item m="1" x="449"/>
        <item m="1" x="409"/>
        <item m="1" x="480"/>
        <item x="167"/>
        <item m="1" x="522"/>
        <item x="168"/>
        <item m="1" x="261"/>
        <item m="1" x="245"/>
        <item m="1" x="412"/>
        <item m="1" x="432"/>
        <item x="169"/>
        <item m="1" x="444"/>
        <item m="1" x="370"/>
        <item x="170"/>
        <item x="171"/>
        <item x="172"/>
        <item m="1" x="287"/>
        <item m="1" x="273"/>
        <item x="173"/>
        <item m="1" x="487"/>
        <item x="174"/>
        <item m="1" x="463"/>
        <item x="175"/>
        <item m="1" x="335"/>
        <item x="176"/>
        <item m="1" x="380"/>
        <item m="1" x="364"/>
        <item x="177"/>
        <item x="178"/>
        <item x="179"/>
        <item x="180"/>
        <item m="1" x="181"/>
        <item t="default"/>
      </items>
    </pivotField>
    <pivotField axis="axisPage" multipleItemSelectionAllowed="1" showAll="0">
      <items count="41">
        <item h="1" x="2"/>
        <item x="7"/>
        <item h="1" x="3"/>
        <item h="1" m="1" x="35"/>
        <item h="1" x="20"/>
        <item h="1" m="1" x="32"/>
        <item h="1" x="5"/>
        <item h="1" x="6"/>
        <item h="1" x="11"/>
        <item h="1" x="15"/>
        <item h="1" m="1" x="30"/>
        <item h="1" x="1"/>
        <item h="1" x="16"/>
        <item h="1" x="21"/>
        <item h="1" x="19"/>
        <item h="1" x="8"/>
        <item h="1" x="0"/>
        <item h="1" x="9"/>
        <item h="1" x="13"/>
        <item h="1" x="4"/>
        <item h="1" x="10"/>
        <item h="1" m="1" x="38"/>
        <item h="1" m="1" x="33"/>
        <item h="1" m="1" x="26"/>
        <item h="1" x="12"/>
        <item h="1" m="1" x="28"/>
        <item h="1" m="1" x="36"/>
        <item h="1" m="1" x="37"/>
        <item h="1" m="1" x="29"/>
        <item h="1" m="1" x="39"/>
        <item h="1" m="1" x="23"/>
        <item h="1" m="1" x="31"/>
        <item h="1" m="1" x="25"/>
        <item h="1" x="17"/>
        <item h="1" m="1" x="34"/>
        <item h="1" x="14"/>
        <item h="1" m="1" x="24"/>
        <item h="1" m="1" x="27"/>
        <item h="1" x="18"/>
        <item h="1" x="22"/>
        <item t="default"/>
      </items>
    </pivotField>
    <pivotField showAll="0"/>
    <pivotField numFmtId="4" showAll="0"/>
    <pivotField numFmtId="4" showAll="0"/>
    <pivotField dataField="1" numFmtId="4" showAll="0"/>
    <pivotField numFmtId="4" showAll="0"/>
    <pivotField numFmtId="4" showAll="0"/>
    <pivotField numFmtId="166" showAll="0"/>
    <pivotField showAll="0"/>
    <pivotField showAll="0"/>
    <pivotField showAll="0"/>
    <pivotField showAll="0"/>
  </pivotFields>
  <rowFields count="1">
    <field x="2"/>
  </rowFields>
  <rowItems count="1">
    <i t="grand">
      <x/>
    </i>
  </rowItems>
  <colItems count="1">
    <i/>
  </colItems>
  <pageFields count="1">
    <pageField fld="3" hier="-1"/>
  </pageFields>
  <dataFields count="1">
    <dataField name="Total" fld="7" baseField="0" baseItem="0" numFmtId="44"/>
  </dataFields>
  <formats count="2">
    <format dxfId="252">
      <pivotArea field="2" type="button" dataOnly="0" labelOnly="1" outline="0" axis="axisRow" fieldPosition="0"/>
    </format>
    <format dxfId="251">
      <pivotArea dataOnly="0" labelOnly="1" outline="0" axis="axisValues" fieldPosition="0"/>
    </format>
  </formats>
  <pivotTableStyleInfo name="PivotStyleLight16" showRowHeaders="1" showColHeaders="1" showRowStripes="1" showColStripes="0" showLastColumn="1"/>
  <filters count="1">
    <filter fld="2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9F309-97F0-3344-B9DF-963E7A888406}" name="PivotTable5" cacheId="4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A4:B5" firstHeaderRow="1" firstDataRow="1" firstDataCol="1" rowPageCount="1" colPageCount="1"/>
  <pivotFields count="15">
    <pivotField axis="axisRow" showAll="0">
      <items count="71">
        <item x="56"/>
        <item x="64"/>
        <item x="57"/>
        <item x="65"/>
        <item x="25"/>
        <item x="34"/>
        <item x="36"/>
        <item x="30"/>
        <item x="21"/>
        <item x="52"/>
        <item x="13"/>
        <item x="44"/>
        <item x="14"/>
        <item x="22"/>
        <item x="16"/>
        <item x="29"/>
        <item x="2"/>
        <item x="8"/>
        <item x="51"/>
        <item x="20"/>
        <item x="26"/>
        <item x="35"/>
        <item x="19"/>
        <item x="6"/>
        <item x="61"/>
        <item x="4"/>
        <item x="43"/>
        <item x="11"/>
        <item x="54"/>
        <item x="33"/>
        <item x="38"/>
        <item x="39"/>
        <item x="63"/>
        <item x="17"/>
        <item x="55"/>
        <item x="0"/>
        <item x="1"/>
        <item m="1" x="67"/>
        <item x="46"/>
        <item x="45"/>
        <item x="24"/>
        <item x="18"/>
        <item x="50"/>
        <item x="58"/>
        <item x="59"/>
        <item x="7"/>
        <item x="47"/>
        <item x="31"/>
        <item x="53"/>
        <item x="48"/>
        <item x="23"/>
        <item x="27"/>
        <item x="32"/>
        <item x="37"/>
        <item x="49"/>
        <item m="1" x="68"/>
        <item m="1" x="69"/>
        <item x="3"/>
        <item x="9"/>
        <item x="60"/>
        <item x="28"/>
        <item x="10"/>
        <item x="66"/>
        <item x="62"/>
        <item x="40"/>
        <item x="41"/>
        <item x="42"/>
        <item x="12"/>
        <item x="15"/>
        <item x="5"/>
        <item t="default"/>
      </items>
    </pivotField>
    <pivotField showAll="0"/>
    <pivotField showAll="0"/>
    <pivotField axis="axisPage" multipleItemSelectionAllowed="1" showAll="0">
      <items count="49">
        <item h="1" x="10"/>
        <item h="1" x="15"/>
        <item h="1" x="17"/>
        <item h="1" x="5"/>
        <item h="1" x="7"/>
        <item h="1" m="1" x="18"/>
        <item h="1" x="6"/>
        <item h="1" x="12"/>
        <item h="1" x="14"/>
        <item h="1" m="1" x="36"/>
        <item h="1" x="3"/>
        <item h="1" x="8"/>
        <item h="1" x="9"/>
        <item h="1" m="1" x="41"/>
        <item h="1" m="1" x="42"/>
        <item h="1" x="13"/>
        <item h="1" x="0"/>
        <item h="1" m="1" x="23"/>
        <item h="1" m="1" x="45"/>
        <item h="1" m="1" x="47"/>
        <item h="1" x="1"/>
        <item h="1" m="1" x="39"/>
        <item h="1" x="4"/>
        <item h="1" m="1" x="44"/>
        <item h="1" m="1" x="46"/>
        <item h="1" x="2"/>
        <item h="1" m="1" x="40"/>
        <item h="1" x="11"/>
        <item h="1" m="1" x="34"/>
        <item m="1" x="21"/>
        <item h="1" m="1" x="31"/>
        <item h="1" m="1" x="33"/>
        <item h="1" m="1" x="22"/>
        <item h="1" m="1" x="20"/>
        <item h="1" m="1" x="26"/>
        <item h="1" m="1" x="27"/>
        <item h="1" m="1" x="19"/>
        <item h="1" x="16"/>
        <item h="1" m="1" x="43"/>
        <item h="1" m="1" x="24"/>
        <item h="1" m="1" x="25"/>
        <item h="1" m="1" x="28"/>
        <item h="1" m="1" x="29"/>
        <item h="1" m="1" x="30"/>
        <item h="1" m="1" x="32"/>
        <item h="1" m="1" x="35"/>
        <item h="1" m="1" x="37"/>
        <item h="1" m="1" x="38"/>
        <item t="default"/>
      </items>
    </pivotField>
    <pivotField axis="axisRow" showAll="0" sortType="ascending">
      <items count="2742">
        <item m="1" x="956"/>
        <item m="1" x="1464"/>
        <item m="1" x="2141"/>
        <item m="1" x="272"/>
        <item m="1" x="870"/>
        <item m="1" x="575"/>
        <item m="1" x="2057"/>
        <item m="1" x="1442"/>
        <item m="1" x="361"/>
        <item m="1" x="118"/>
        <item m="1" x="1346"/>
        <item m="1" x="725"/>
        <item m="1" x="1254"/>
        <item m="1" x="282"/>
        <item m="1" x="2036"/>
        <item m="1" x="2157"/>
        <item m="1" x="1796"/>
        <item m="1" x="951"/>
        <item m="1" x="1887"/>
        <item m="1" x="1870"/>
        <item m="1" x="2717"/>
        <item x="5"/>
        <item m="1" x="491"/>
        <item m="1" x="1549"/>
        <item m="1" x="1484"/>
        <item m="1" x="727"/>
        <item m="1" x="1288"/>
        <item m="1" x="1739"/>
        <item m="1" x="804"/>
        <item m="1" x="451"/>
        <item m="1" x="1888"/>
        <item x="12"/>
        <item m="1" x="2159"/>
        <item m="1" x="1623"/>
        <item m="1" x="2037"/>
        <item m="1" x="78"/>
        <item m="1" x="2611"/>
        <item m="1" x="1378"/>
        <item m="1" x="1556"/>
        <item m="1" x="959"/>
        <item m="1" x="177"/>
        <item m="1" x="2038"/>
        <item m="1" x="1737"/>
        <item m="1" x="2160"/>
        <item m="1" x="2161"/>
        <item m="1" x="357"/>
        <item m="1" x="1142"/>
        <item m="1" x="1003"/>
        <item m="1" x="2688"/>
        <item m="1" x="2162"/>
        <item m="1" x="1096"/>
        <item m="1" x="1016"/>
        <item m="1" x="2039"/>
        <item m="1" x="88"/>
        <item m="1" x="1738"/>
        <item m="1" x="2163"/>
        <item m="1" x="1459"/>
        <item m="1" x="2164"/>
        <item m="1" x="2153"/>
        <item m="1" x="89"/>
        <item m="1" x="2165"/>
        <item m="1" x="730"/>
        <item m="1" x="1630"/>
        <item m="1" x="1005"/>
        <item m="1" x="2166"/>
        <item m="1" x="1348"/>
        <item m="1" x="1006"/>
        <item m="1" x="731"/>
        <item m="1" x="1651"/>
        <item m="1" x="2167"/>
        <item m="1" x="1008"/>
        <item m="1" x="2168"/>
        <item m="1" x="1367"/>
        <item m="1" x="2146"/>
        <item m="1" x="90"/>
        <item m="1" x="2169"/>
        <item m="1" x="266"/>
        <item m="1" x="922"/>
        <item m="1" x="442"/>
        <item m="1" x="364"/>
        <item m="1" x="732"/>
        <item m="1" x="1555"/>
        <item m="1" x="2170"/>
        <item m="1" x="418"/>
        <item m="1" x="887"/>
        <item m="1" x="265"/>
        <item m="1" x="292"/>
        <item m="1" x="2171"/>
        <item m="1" x="68"/>
        <item m="1" x="521"/>
        <item m="1" x="616"/>
        <item m="1" x="2484"/>
        <item m="1" x="617"/>
        <item m="1" x="284"/>
        <item m="1" x="2172"/>
        <item m="1" x="2659"/>
        <item m="1" x="1617"/>
        <item m="1" x="1363"/>
        <item m="1" x="2173"/>
        <item m="1" x="232"/>
        <item m="1" x="2174"/>
        <item m="1" x="2175"/>
        <item m="1" x="2176"/>
        <item m="1" x="2040"/>
        <item m="1" x="562"/>
        <item m="1" x="1476"/>
        <item m="1" x="242"/>
        <item m="1" x="181"/>
        <item m="1" x="1465"/>
        <item m="1" x="2678"/>
        <item m="1" x="1482"/>
        <item m="1" x="815"/>
        <item m="1" x="1128"/>
        <item m="1" x="2489"/>
        <item m="1" x="2177"/>
        <item m="1" x="2385"/>
        <item m="1" x="1129"/>
        <item m="1" x="2178"/>
        <item m="1" x="2181"/>
        <item m="1" x="1012"/>
        <item m="1" x="890"/>
        <item m="1" x="2182"/>
        <item m="1" x="1874"/>
        <item m="1" x="2183"/>
        <item m="1" x="1727"/>
        <item m="1" x="2184"/>
        <item m="1" x="1408"/>
        <item m="1" x="238"/>
        <item m="1" x="2185"/>
        <item m="1" x="93"/>
        <item m="1" x="1041"/>
        <item m="1" x="734"/>
        <item m="1" x="1042"/>
        <item m="1" x="1309"/>
        <item m="1" x="1399"/>
        <item m="1" x="1547"/>
        <item m="1" x="2186"/>
        <item m="1" x="344"/>
        <item m="1" x="94"/>
        <item m="1" x="2187"/>
        <item m="1" x="2188"/>
        <item m="1" x="983"/>
        <item m="1" x="2041"/>
        <item m="1" x="547"/>
        <item m="1" x="1359"/>
        <item m="1" x="1303"/>
        <item m="1" x="1552"/>
        <item m="1" x="981"/>
        <item m="1" x="54"/>
        <item m="1" x="255"/>
        <item m="1" x="497"/>
        <item m="1" x="2190"/>
        <item m="1" x="2191"/>
        <item m="1" x="2192"/>
        <item m="1" x="2650"/>
        <item m="1" x="621"/>
        <item m="1" x="1045"/>
        <item m="1" x="880"/>
        <item m="1" x="1046"/>
        <item m="1" x="274"/>
        <item m="1" x="1047"/>
        <item m="1" x="2193"/>
        <item m="1" x="1049"/>
        <item m="1" x="1050"/>
        <item m="1" x="1962"/>
        <item m="1" x="735"/>
        <item m="1" x="2194"/>
        <item m="1" x="2083"/>
        <item m="1" x="2682"/>
        <item m="1" x="287"/>
        <item m="1" x="432"/>
        <item m="1" x="472"/>
        <item m="1" x="1868"/>
        <item m="1" x="419"/>
        <item m="1" x="2389"/>
        <item m="1" x="1052"/>
        <item m="1" x="1053"/>
        <item m="1" x="2618"/>
        <item m="1" x="2637"/>
        <item m="1" x="2641"/>
        <item m="1" x="366"/>
        <item m="1" x="296"/>
        <item m="1" x="1218"/>
        <item m="1" x="1151"/>
        <item m="1" x="620"/>
        <item m="1" x="1344"/>
        <item m="1" x="1203"/>
        <item m="1" x="2195"/>
        <item m="1" x="736"/>
        <item m="1" x="538"/>
        <item m="1" x="2196"/>
        <item m="1" x="1200"/>
        <item m="1" x="1873"/>
        <item m="1" x="1744"/>
        <item m="1" x="2197"/>
        <item m="1" x="1505"/>
        <item m="1" x="622"/>
        <item m="1" x="2261"/>
        <item m="1" x="2000"/>
        <item m="1" x="374"/>
        <item m="1" x="1741"/>
        <item m="1" x="1948"/>
        <item m="1" x="1056"/>
        <item m="1" x="304"/>
        <item m="1" x="498"/>
        <item m="1" x="737"/>
        <item m="1" x="2042"/>
        <item m="1" x="2198"/>
        <item m="1" x="1643"/>
        <item m="1" x="1475"/>
        <item m="1" x="738"/>
        <item m="1" x="1058"/>
        <item m="1" x="1863"/>
        <item m="1" x="2635"/>
        <item m="1" x="97"/>
        <item m="1" x="739"/>
        <item m="1" x="516"/>
        <item m="1" x="807"/>
        <item m="1" x="2651"/>
        <item m="1" x="2115"/>
        <item m="1" x="625"/>
        <item m="1" x="1978"/>
        <item m="1" x="2043"/>
        <item m="1" x="895"/>
        <item m="1" x="626"/>
        <item m="1" x="1063"/>
        <item m="1" x="1253"/>
        <item m="1" x="1393"/>
        <item m="1" x="1020"/>
        <item m="1" x="492"/>
        <item m="1" x="1804"/>
        <item m="1" x="2085"/>
        <item m="1" x="1900"/>
        <item m="1" x="1886"/>
        <item m="1" x="573"/>
        <item m="1" x="2638"/>
        <item m="1" x="628"/>
        <item m="1" x="2508"/>
        <item m="1" x="464"/>
        <item m="1" x="1224"/>
        <item m="1" x="2002"/>
        <item m="1" x="1500"/>
        <item m="1" x="2199"/>
        <item m="1" x="448"/>
        <item m="1" x="412"/>
        <item m="1" x="98"/>
        <item m="1" x="1575"/>
        <item m="1" x="2601"/>
        <item m="1" x="1508"/>
        <item m="1" x="741"/>
        <item m="1" x="2200"/>
        <item m="1" x="175"/>
        <item m="1" x="1349"/>
        <item m="1" x="1622"/>
        <item m="1" x="2080"/>
        <item m="1" x="806"/>
        <item m="1" x="1981"/>
        <item m="1" x="594"/>
        <item m="1" x="2201"/>
        <item m="1" x="1947"/>
        <item m="1" x="1069"/>
        <item sd="0" m="1" x="47"/>
        <item m="1" x="1382"/>
        <item m="1" x="1701"/>
        <item m="1" x="2681"/>
        <item m="1" x="1355"/>
        <item m="1" x="2202"/>
        <item m="1" x="1364"/>
        <item m="1" x="743"/>
        <item m="1" x="1072"/>
        <item m="1" x="1327"/>
        <item m="1" x="1240"/>
        <item m="1" x="250"/>
        <item m="1" x="2704"/>
        <item sd="0" m="1" x="301"/>
        <item sd="0" m="1" x="2726"/>
        <item m="1" x="2572"/>
        <item m="1" x="744"/>
        <item m="1" x="2018"/>
        <item m="1" x="1073"/>
        <item m="1" x="745"/>
        <item m="1" x="746"/>
        <item m="1" x="2204"/>
        <item m="1" x="1137"/>
        <item m="1" x="2205"/>
        <item m="1" x="529"/>
        <item m="1" x="577"/>
        <item m="1" x="215"/>
        <item m="1" x="499"/>
        <item m="1" x="1418"/>
        <item m="1" x="1940"/>
        <item m="1" x="474"/>
        <item m="1" x="986"/>
        <item m="1" x="72"/>
        <item m="1" x="1388"/>
        <item m="1" x="2206"/>
        <item m="1" x="99"/>
        <item m="1" x="1330"/>
        <item m="1" x="1237"/>
        <item m="1" x="1282"/>
        <item m="1" x="1294"/>
        <item m="1" x="2207"/>
        <item m="1" x="2208"/>
        <item m="1" x="811"/>
        <item m="1" x="747"/>
        <item m="1" x="1310"/>
        <item m="1" x="2081"/>
        <item m="1" x="1771"/>
        <item m="1" x="449"/>
        <item m="1" x="1341"/>
        <item m="1" x="1878"/>
        <item m="1" x="159"/>
        <item m="1" x="576"/>
        <item m="1" x="551"/>
        <item m="1" x="2209"/>
        <item m="1" x="2003"/>
        <item m="1" x="1078"/>
        <item m="1" x="2210"/>
        <item m="1" x="1453"/>
        <item m="1" x="1935"/>
        <item m="1" x="251"/>
        <item m="1" x="1574"/>
        <item m="1" x="1306"/>
        <item m="1" x="1905"/>
        <item m="1" x="1652"/>
        <item m="1" x="313"/>
        <item sd="0" m="1" x="631"/>
        <item m="1" x="1079"/>
        <item m="1" x="526"/>
        <item m="1" x="1757"/>
        <item m="1" x="2211"/>
        <item m="1" x="1037"/>
        <item m="1" x="561"/>
        <item m="1" x="926"/>
        <item m="1" x="2577"/>
        <item m="1" x="2212"/>
        <item m="1" x="1360"/>
        <item m="1" x="2086"/>
        <item m="1" x="1377"/>
        <item m="1" x="2213"/>
        <item m="1" x="100"/>
        <item m="1" x="476"/>
        <item m="1" x="1336"/>
        <item m="1" x="1907"/>
        <item m="1" x="1956"/>
        <item m="1" x="1909"/>
        <item m="1" x="452"/>
        <item m="1" x="109"/>
        <item m="1" x="399"/>
        <item m="1" x="1083"/>
        <item m="1" x="2214"/>
        <item m="1" x="1085"/>
        <item m="1" x="748"/>
        <item m="1" x="2215"/>
        <item m="1" x="2589"/>
        <item m="1" x="1087"/>
        <item m="1" x="254"/>
        <item m="1" x="2563"/>
        <item m="1" x="749"/>
        <item m="1" x="1088"/>
        <item m="1" x="2581"/>
        <item m="1" x="81"/>
        <item m="1" x="1095"/>
        <item m="1" x="158"/>
        <item m="1" x="950"/>
        <item m="1" x="979"/>
        <item m="1" x="1098"/>
        <item sd="0" m="1" x="2571"/>
        <item m="1" x="1084"/>
        <item x="38"/>
        <item m="1" x="2630"/>
        <item m="1" x="103"/>
        <item m="1" x="2716"/>
        <item m="1" x="633"/>
        <item m="1" x="1438"/>
        <item m="1" x="1147"/>
        <item m="1" x="1520"/>
        <item m="1" x="1149"/>
        <item m="1" x="102"/>
        <item m="1" x="1091"/>
        <item m="1" x="115"/>
        <item sd="0" m="1" x="116"/>
        <item m="1" x="1152"/>
        <item m="1" x="618"/>
        <item m="1" x="1380"/>
        <item m="1" x="117"/>
        <item m="1" x="649"/>
        <item m="1" x="648"/>
        <item m="1" x="1089"/>
        <item m="1" x="2670"/>
        <item m="1" x="2216"/>
        <item m="1" x="1090"/>
        <item m="1" x="2004"/>
        <item m="1" x="1021"/>
        <item m="1" x="523"/>
        <item m="1" x="578"/>
        <item m="1" x="1764"/>
        <item m="1" x="908"/>
        <item m="1" x="2560"/>
        <item m="1" x="1803"/>
        <item m="1" x="2242"/>
        <item m="1" x="49"/>
        <item m="1" x="2044"/>
        <item m="1" x="1397"/>
        <item m="1" x="2649"/>
        <item m="1" x="2217"/>
        <item m="1" x="1163"/>
        <item m="1" x="148"/>
        <item m="1" x="2596"/>
        <item m="1" x="167"/>
        <item m="1" x="970"/>
        <item m="1" x="1094"/>
        <item m="1" x="2218"/>
        <item m="1" x="1898"/>
        <item m="1" x="2219"/>
        <item m="1" x="883"/>
        <item m="1" x="873"/>
        <item m="1" x="2600"/>
        <item m="1" x="2380"/>
        <item m="1" x="1932"/>
        <item m="1" x="1062"/>
        <item m="1" x="2220"/>
        <item m="1" x="1952"/>
        <item m="1" x="1082"/>
        <item m="1" x="1289"/>
        <item sd="0" m="1" x="2721"/>
        <item m="1" x="106"/>
        <item m="1" x="360"/>
        <item m="1" x="1998"/>
        <item m="1" x="2339"/>
        <item m="1" x="2667"/>
        <item m="1" x="545"/>
        <item m="1" x="2087"/>
        <item m="1" x="751"/>
        <item m="1" x="107"/>
        <item m="1" x="509"/>
        <item m="1" x="259"/>
        <item m="1" x="1097"/>
        <item m="1" x="1080"/>
        <item x="10"/>
        <item m="1" x="2559"/>
        <item m="1" x="1621"/>
        <item m="1" x="753"/>
        <item m="1" x="331"/>
        <item m="1" x="932"/>
        <item x="22"/>
        <item x="1"/>
        <item m="1" x="2221"/>
        <item m="1" x="2222"/>
        <item m="1" x="369"/>
        <item m="1" x="453"/>
        <item m="1" x="58"/>
        <item m="1" x="437"/>
        <item m="1" x="1687"/>
        <item m="1" x="1099"/>
        <item m="1" x="2224"/>
        <item m="1" x="2045"/>
        <item m="1" x="2608"/>
        <item m="1" x="1783"/>
        <item m="1" x="1885"/>
        <item m="1" x="636"/>
        <item m="1" x="108"/>
        <item m="1" x="52"/>
        <item m="1" x="1103"/>
        <item x="18"/>
        <item m="1" x="1993"/>
        <item m="1" x="2016"/>
        <item m="1" x="1911"/>
        <item m="1" x="593"/>
        <item m="1" x="754"/>
        <item m="1" x="755"/>
        <item m="1" x="407"/>
        <item m="1" x="356"/>
        <item m="1" x="1104"/>
        <item m="1" x="2225"/>
        <item m="1" x="1105"/>
        <item m="1" x="756"/>
        <item m="1" x="2158"/>
        <item m="1" x="752"/>
        <item m="1" x="2046"/>
        <item m="1" x="2226"/>
        <item m="1" x="1913"/>
        <item m="1" x="2150"/>
        <item m="1" x="919"/>
        <item m="1" x="2020"/>
        <item m="1" x="208"/>
        <item m="1" x="1708"/>
        <item m="1" x="1111"/>
        <item m="1" x="454"/>
        <item m="1" x="1112"/>
        <item m="1" x="309"/>
        <item m="1" x="1869"/>
        <item m="1" x="302"/>
        <item m="1" x="852"/>
        <item m="1" x="1205"/>
        <item m="1" x="1113"/>
        <item m="1" x="713"/>
        <item m="1" x="638"/>
        <item m="1" x="1210"/>
        <item m="1" x="1070"/>
        <item m="1" x="1805"/>
        <item m="1" x="1806"/>
        <item m="1" x="216"/>
        <item m="1" x="1809"/>
        <item m="1" x="875"/>
        <item m="1" x="2669"/>
        <item m="1" x="1126"/>
        <item m="1" x="110"/>
        <item m="1" x="1054"/>
        <item m="1" x="1830"/>
        <item m="1" x="1832"/>
        <item m="1" x="1818"/>
        <item m="1" x="1106"/>
        <item x="19"/>
        <item m="1" x="1043"/>
        <item m="1" x="1712"/>
        <item x="33"/>
        <item m="1" x="1615"/>
        <item m="1" x="1810"/>
        <item m="1" x="1114"/>
        <item m="1" x="1143"/>
        <item m="1" x="1535"/>
        <item m="1" x="1812"/>
        <item m="1" x="2088"/>
        <item m="1" x="1813"/>
        <item m="1" x="111"/>
        <item m="1" x="2228"/>
        <item m="1" x="1000"/>
        <item m="1" x="2229"/>
        <item m="1" x="2578"/>
        <item m="1" x="2230"/>
        <item m="1" x="1030"/>
        <item m="1" x="2564"/>
        <item m="1" x="946"/>
        <item m="1" x="2231"/>
        <item m="1" x="50"/>
        <item m="1" x="378"/>
        <item m="1" x="2232"/>
        <item m="1" x="2456"/>
        <item m="1" x="276"/>
        <item m="1" x="758"/>
        <item m="1" x="1010"/>
        <item m="1" x="1120"/>
        <item m="1" x="900"/>
        <item m="1" x="2663"/>
        <item m="1" x="2233"/>
        <item m="1" x="1015"/>
        <item m="1" x="1026"/>
        <item m="1" x="641"/>
        <item m="1" x="642"/>
        <item m="1" x="597"/>
        <item m="1" x="2606"/>
        <item m="1" x="643"/>
        <item m="1" x="1918"/>
        <item m="1" x="635"/>
        <item m="1" x="1123"/>
        <item m="1" x="2234"/>
        <item m="1" x="112"/>
        <item m="1" x="1742"/>
        <item m="1" x="878"/>
        <item m="1" x="2235"/>
        <item m="1" x="1984"/>
        <item m="1" x="2007"/>
        <item m="1" x="2236"/>
        <item m="1" x="759"/>
        <item m="1" x="933"/>
        <item m="1" x="436"/>
        <item m="1" x="2664"/>
        <item m="1" x="2078"/>
        <item m="1" x="1775"/>
        <item m="1" x="2586"/>
        <item m="1" x="475"/>
        <item m="1" x="1109"/>
        <item m="1" x="2674"/>
        <item m="1" x="2657"/>
        <item m="1" x="1700"/>
        <item m="1" x="539"/>
        <item m="1" x="455"/>
        <item m="1" x="952"/>
        <item m="1" x="315"/>
        <item m="1" x="408"/>
        <item m="1" x="867"/>
        <item m="1" x="2506"/>
        <item m="1" x="114"/>
        <item m="1" x="2237"/>
        <item m="1" x="1402"/>
        <item m="1" x="164"/>
        <item m="1" x="645"/>
        <item m="1" x="1638"/>
        <item m="1" x="1139"/>
        <item m="1" x="1146"/>
        <item m="1" x="554"/>
        <item m="1" x="2634"/>
        <item m="1" x="994"/>
        <item m="1" x="2465"/>
        <item m="1" x="1406"/>
        <item m="1" x="1236"/>
        <item m="1" x="1959"/>
        <item m="1" x="1247"/>
        <item m="1" x="1481"/>
        <item m="1" x="1876"/>
        <item m="1" x="1141"/>
        <item m="1" x="1065"/>
        <item m="1" x="646"/>
        <item sd="0" m="1" x="2731"/>
        <item m="1" x="1573"/>
        <item m="1" x="647"/>
        <item m="1" x="2239"/>
        <item m="1" x="126"/>
        <item m="1" x="96"/>
        <item m="1" x="1329"/>
        <item m="1" x="760"/>
        <item m="1" x="1270"/>
        <item m="1" x="2558"/>
        <item m="1" x="869"/>
        <item m="1" x="1145"/>
        <item m="1" x="1510"/>
        <item x="20"/>
        <item m="1" x="1175"/>
        <item m="1" x="1795"/>
        <item m="1" x="1124"/>
        <item m="1" x="1802"/>
        <item sd="0" x="7"/>
        <item x="37"/>
        <item m="1" x="1298"/>
        <item m="1" x="1339"/>
        <item m="1" x="1816"/>
        <item m="1" x="1762"/>
        <item m="1" x="1532"/>
        <item m="1" x="2240"/>
        <item m="1" x="871"/>
        <item m="1" x="2718"/>
        <item m="1" x="91"/>
        <item m="1" x="2241"/>
        <item m="1" x="2030"/>
        <item m="1" x="1672"/>
        <item m="1" x="761"/>
        <item m="1" x="2089"/>
        <item m="1" x="2227"/>
        <item m="1" x="762"/>
        <item m="1" x="1148"/>
        <item m="1" x="316"/>
        <item m="1" x="2633"/>
        <item m="1" x="1242"/>
        <item m="1" x="260"/>
        <item m="1" x="1412"/>
        <item m="1" x="1384"/>
        <item m="1" x="763"/>
        <item m="1" x="1682"/>
        <item m="1" x="385"/>
        <item m="1" x="591"/>
        <item m="1" x="1565"/>
        <item m="1" x="2243"/>
        <item m="1" x="1153"/>
        <item m="1" x="500"/>
        <item m="1" x="2552"/>
        <item m="1" x="217"/>
        <item m="1" x="1229"/>
        <item m="1" x="373"/>
        <item m="1" x="433"/>
        <item m="1" x="2632"/>
        <item m="1" x="1092"/>
        <item m="1" x="1241"/>
        <item m="1" x="1743"/>
        <item sd="0" m="1" x="244"/>
        <item m="1" x="444"/>
        <item m="1" x="2047"/>
        <item m="1" x="1403"/>
        <item m="1" x="1644"/>
        <item m="1" x="1158"/>
        <item m="1" x="1612"/>
        <item m="1" x="372"/>
        <item m="1" x="2588"/>
        <item m="1" x="1872"/>
        <item m="1" x="1478"/>
        <item m="1" x="2244"/>
        <item m="1" x="1865"/>
        <item m="1" x="319"/>
        <item m="1" x="303"/>
        <item m="1" x="1879"/>
        <item m="1" x="2351"/>
        <item m="1" x="1875"/>
        <item sd="0" m="1" x="2090"/>
        <item m="1" x="2245"/>
        <item m="1" x="2072"/>
        <item m="1" x="2374"/>
        <item m="1" x="2091"/>
        <item m="1" x="311"/>
        <item m="1" x="2246"/>
        <item m="1" x="2247"/>
        <item m="1" x="333"/>
        <item m="1" x="765"/>
        <item m="1" x="1318"/>
        <item m="1" x="2248"/>
        <item m="1" x="1276"/>
        <item m="1" x="650"/>
        <item m="1" x="2557"/>
        <item m="1" x="997"/>
        <item m="1" x="1130"/>
        <item m="1" x="2249"/>
        <item m="1" x="1362"/>
        <item m="1" x="1836"/>
        <item m="1" x="131"/>
        <item m="1" x="202"/>
        <item m="1" x="2250"/>
        <item m="1" x="321"/>
        <item m="1" x="146"/>
        <item m="1" x="2697"/>
        <item m="1" x="652"/>
        <item m="1" x="740"/>
        <item m="1" x="920"/>
        <item m="1" x="291"/>
        <item m="1" x="1170"/>
        <item m="1" x="513"/>
        <item m="1" x="2251"/>
        <item m="1" x="1899"/>
        <item m="1" x="766"/>
        <item sd="0" m="1" x="456"/>
        <item m="1" x="1171"/>
        <item m="1" x="2687"/>
        <item m="1" x="1172"/>
        <item m="1" x="1439"/>
        <item m="1" x="2252"/>
        <item m="1" x="1544"/>
        <item m="1" x="2143"/>
        <item m="1" x="653"/>
        <item m="1" x="615"/>
        <item m="1" x="2615"/>
        <item m="1" x="550"/>
        <item m="1" x="1174"/>
        <item m="1" x="2253"/>
        <item m="1" x="2254"/>
        <item sd="0" m="1" x="445"/>
        <item m="1" x="290"/>
        <item m="1" x="1305"/>
        <item m="1" x="1930"/>
        <item m="1" x="767"/>
        <item m="1" x="992"/>
        <item m="1" x="2565"/>
        <item m="1" x="2658"/>
        <item m="1" x="1915"/>
        <item m="1" x="1221"/>
        <item m="1" x="411"/>
        <item m="1" x="2257"/>
        <item m="1" x="1211"/>
        <item m="1" x="2258"/>
        <item m="1" x="1931"/>
        <item m="1" x="84"/>
        <item m="1" x="1745"/>
        <item m="1" x="1135"/>
        <item m="1" x="2092"/>
        <item m="1" x="654"/>
        <item m="1" x="1413"/>
        <item m="1" x="1131"/>
        <item m="1" x="1215"/>
        <item m="1" x="947"/>
        <item m="1" x="1668"/>
        <item m="1" x="1179"/>
        <item m="1" x="85"/>
        <item m="1" x="553"/>
        <item m="1" x="768"/>
        <item m="1" x="1194"/>
        <item sd="0" x="31"/>
        <item m="1" x="1140"/>
        <item m="1" x="655"/>
        <item m="1" x="233"/>
        <item m="1" x="769"/>
        <item x="27"/>
        <item m="1" x="1627"/>
        <item m="1" x="945"/>
        <item m="1" x="1746"/>
        <item m="1" x="322"/>
        <item m="1" x="1747"/>
        <item m="1" x="1664"/>
        <item m="1" x="1515"/>
        <item m="1" x="1600"/>
        <item m="1" x="1181"/>
        <item m="1" x="1877"/>
        <item m="1" x="2073"/>
        <item m="1" x="891"/>
        <item m="1" x="574"/>
        <item m="1" x="2262"/>
        <item m="1" x="1748"/>
        <item m="1" x="570"/>
        <item m="1" x="2093"/>
        <item m="1" x="2263"/>
        <item m="1" x="1183"/>
        <item m="1" x="2642"/>
        <item m="1" x="171"/>
        <item sd="0" m="1" x="256"/>
        <item m="1" x="1405"/>
        <item m="1" x="1531"/>
        <item m="1" x="488"/>
        <item m="1" x="443"/>
        <item m="1" x="122"/>
        <item m="1" x="1186"/>
        <item m="1" x="2264"/>
        <item m="1" x="326"/>
        <item m="1" x="2265"/>
        <item m="1" x="327"/>
        <item m="1" x="978"/>
        <item m="1" x="2266"/>
        <item m="1" x="248"/>
        <item m="1" x="534"/>
        <item m="1" x="1506"/>
        <item m="1" x="2077"/>
        <item m="1" x="1498"/>
        <item m="1" x="1287"/>
        <item m="1" x="156"/>
        <item m="1" x="394"/>
        <item m="1" x="1361"/>
        <item m="1" x="1592"/>
        <item m="1" x="1492"/>
        <item m="1" x="1468"/>
        <item m="1" x="2580"/>
        <item m="1" x="1568"/>
        <item m="1" x="2026"/>
        <item m="1" x="664"/>
        <item m="1" x="1955"/>
        <item m="1" x="2267"/>
        <item m="1" x="295"/>
        <item m="1" x="1191"/>
        <item m="1" x="1729"/>
        <item m="1" x="771"/>
        <item m="1" x="1195"/>
        <item m="1" x="1571"/>
        <item m="1" x="2094"/>
        <item m="1" x="2015"/>
        <item m="1" x="2524"/>
        <item m="1" x="2271"/>
        <item m="1" x="1789"/>
        <item m="1" x="306"/>
        <item m="1" x="1954"/>
        <item m="1" x="865"/>
        <item m="1" x="1835"/>
        <item m="1" x="801"/>
        <item m="1" x="1790"/>
        <item m="1" x="2272"/>
        <item m="1" x="1774"/>
        <item m="1" x="1653"/>
        <item m="1" x="1441"/>
        <item m="1" x="2095"/>
        <item m="1" x="2274"/>
        <item m="1" x="1793"/>
        <item m="1" x="990"/>
        <item m="1" x="2273"/>
        <item m="1" x="1819"/>
        <item m="1" x="2275"/>
        <item m="1" x="2076"/>
        <item m="1" x="2276"/>
        <item m="1" x="1204"/>
        <item m="1" x="1526"/>
        <item m="1" x="2145"/>
        <item m="1" x="1503"/>
        <item m="1" x="560"/>
        <item m="1" x="1550"/>
        <item m="1" x="872"/>
        <item m="1" x="2277"/>
        <item m="1" x="1425"/>
        <item m="1" x="1340"/>
        <item m="1" x="1167"/>
        <item m="1" x="2278"/>
        <item m="1" x="2279"/>
        <item m="1" x="772"/>
        <item m="1" x="728"/>
        <item m="1" x="658"/>
        <item m="1" x="1176"/>
        <item m="1" x="1315"/>
        <item m="1" x="2096"/>
        <item m="1" x="123"/>
        <item m="1" x="1337"/>
        <item m="1" x="270"/>
        <item m="1" x="2280"/>
        <item m="1" x="125"/>
        <item m="1" x="2074"/>
        <item m="1" x="2281"/>
        <item m="1" x="2282"/>
        <item m="1" x="659"/>
        <item m="1" x="1450"/>
        <item m="1" x="2283"/>
        <item m="1" x="925"/>
        <item m="1" x="1470"/>
        <item m="1" x="1209"/>
        <item m="1" x="660"/>
        <item m="1" x="2550"/>
        <item m="1" x="2648"/>
        <item m="1" x="2345"/>
        <item m="1" x="2097"/>
        <item m="1" x="2048"/>
        <item x="0"/>
        <item m="1" x="1497"/>
        <item m="1" x="2627"/>
        <item m="1" x="1763"/>
        <item m="1" x="1212"/>
        <item m="1" x="410"/>
        <item m="1" x="1961"/>
        <item m="1" x="917"/>
        <item m="1" x="988"/>
        <item m="1" x="1197"/>
        <item m="1" x="2284"/>
        <item m="1" x="1213"/>
        <item m="1" x="773"/>
        <item m="1" x="1214"/>
        <item m="1" x="1686"/>
        <item m="1" x="218"/>
        <item m="1" x="1509"/>
        <item m="1" x="724"/>
        <item m="1" x="1557"/>
        <item m="1" x="330"/>
        <item m="1" x="1216"/>
        <item m="1" x="457"/>
        <item m="1" x="1162"/>
        <item m="1" x="2285"/>
        <item m="1" x="2155"/>
        <item m="1" x="2286"/>
        <item m="1" x="2579"/>
        <item m="1" x="1219"/>
        <item m="1" x="2287"/>
        <item m="1" x="2098"/>
        <item m="1" x="2288"/>
        <item m="1" x="1466"/>
        <item m="1" x="2612"/>
        <item m="1" x="2049"/>
        <item m="1" x="176"/>
        <item m="1" x="1749"/>
        <item m="1" x="1455"/>
        <item m="1" x="458"/>
        <item m="1" x="1933"/>
        <item m="1" x="1658"/>
        <item m="1" x="775"/>
        <item m="1" x="459"/>
        <item m="1" x="129"/>
        <item m="1" x="219"/>
        <item m="1" x="2180"/>
        <item m="1" x="750"/>
        <item m="1" x="1044"/>
        <item m="1" x="661"/>
        <item m="1" x="663"/>
        <item m="1" x="809"/>
        <item m="1" x="130"/>
        <item m="1" x="585"/>
        <item m="1" x="1624"/>
        <item m="1" x="943"/>
        <item m="1" x="80"/>
        <item m="1" x="1817"/>
        <item m="1" x="2289"/>
        <item m="1" x="1997"/>
        <item m="1" x="960"/>
        <item m="1" x="665"/>
        <item m="1" x="505"/>
        <item m="1" x="2100"/>
        <item m="1" x="332"/>
        <item m="1" x="776"/>
        <item m="1" x="2290"/>
        <item m="1" x="2291"/>
        <item m="1" x="1169"/>
        <item m="1" x="1022"/>
        <item m="1" x="2101"/>
        <item m="1" x="2710"/>
        <item m="1" x="2292"/>
        <item m="1" x="182"/>
        <item m="1" x="48"/>
        <item m="1" x="2269"/>
        <item m="1" x="607"/>
        <item m="1" x="2388"/>
        <item m="1" x="252"/>
        <item m="1" x="2692"/>
        <item m="1" x="320"/>
        <item m="1" x="863"/>
        <item m="1" x="2293"/>
        <item m="1" x="1436"/>
        <item m="1" x="2102"/>
        <item m="1" x="376"/>
        <item m="1" x="2513"/>
        <item m="1" x="359"/>
        <item m="1" x="2147"/>
        <item m="1" x="2154"/>
        <item m="1" x="662"/>
        <item m="1" x="334"/>
        <item m="1" x="235"/>
        <item m="1" x="2103"/>
        <item m="1" x="76"/>
        <item m="1" x="1919"/>
        <item m="1" x="405"/>
        <item m="1" x="2534"/>
        <item m="1" x="2104"/>
        <item m="1" x="2294"/>
        <item m="1" x="1972"/>
        <item m="1" x="1228"/>
        <item m="1" x="1788"/>
        <item x="46"/>
        <item m="1" x="1189"/>
        <item m="1" x="462"/>
        <item m="1" x="1901"/>
        <item m="1" x="777"/>
        <item m="1" x="2592"/>
        <item m="1" x="335"/>
        <item m="1" x="2295"/>
        <item m="1" x="2296"/>
        <item m="1" x="612"/>
        <item m="1" x="1027"/>
        <item m="1" x="363"/>
        <item m="1" x="1750"/>
        <item m="1" x="1230"/>
        <item m="1" x="1799"/>
        <item m="1" x="1231"/>
        <item m="1" x="2297"/>
        <item m="1" x="1936"/>
        <item m="1" x="579"/>
        <item m="1" x="220"/>
        <item m="1" x="666"/>
        <item m="1" x="391"/>
        <item m="1" x="2724"/>
        <item m="1" x="2701"/>
        <item m="1" x="2656"/>
        <item m="1" x="778"/>
        <item m="1" x="1675"/>
        <item m="1" x="2298"/>
        <item m="1" x="53"/>
        <item m="1" x="1820"/>
        <item m="1" x="1232"/>
        <item m="1" x="1853"/>
        <item m="1" x="1469"/>
        <item m="1" x="61"/>
        <item m="1" x="1884"/>
        <item m="1" x="1941"/>
        <item m="1" x="623"/>
        <item m="1" x="2386"/>
        <item m="1" x="1263"/>
        <item m="1" x="1971"/>
        <item m="1" x="1039"/>
        <item m="1" x="1233"/>
        <item m="1" x="530"/>
        <item m="1" x="1892"/>
        <item m="1" x="2300"/>
        <item m="1" x="1165"/>
        <item m="1" x="1507"/>
        <item m="1" x="779"/>
        <item m="1" x="2645"/>
        <item m="1" x="2106"/>
        <item m="1" x="358"/>
        <item m="1" x="2301"/>
        <item m="1" x="1386"/>
        <item m="1" x="1822"/>
        <item m="1" x="1235"/>
        <item m="1" x="318"/>
        <item m="1" x="2302"/>
        <item m="1" x="1009"/>
        <item m="1" x="1108"/>
        <item m="1" x="2303"/>
        <item m="1" x="2304"/>
        <item m="1" x="1437"/>
        <item m="1" x="581"/>
        <item m="1" x="1100"/>
        <item m="1" x="1071"/>
        <item m="1" x="2305"/>
        <item m="1" x="370"/>
        <item m="1" x="1259"/>
        <item m="1" x="59"/>
        <item m="1" x="1683"/>
        <item m="1" x="336"/>
        <item m="1" x="60"/>
        <item m="1" x="337"/>
        <item m="1" x="2306"/>
        <item m="1" x="1245"/>
        <item m="1" x="2307"/>
        <item m="1" x="268"/>
        <item m="1" x="512"/>
        <item m="1" x="1177"/>
        <item m="1" x="868"/>
        <item m="1" x="667"/>
        <item m="1" x="1516"/>
        <item m="1" x="494"/>
        <item m="1" x="1238"/>
        <item m="1" x="388"/>
        <item m="1" x="283"/>
        <item m="1" x="104"/>
        <item m="1" x="1513"/>
        <item m="1" x="2107"/>
        <item m="1" x="1539"/>
        <item m="1" x="537"/>
        <item m="1" x="1752"/>
        <item m="1" x="101"/>
        <item m="1" x="195"/>
        <item m="1" x="338"/>
        <item m="1" x="668"/>
        <item m="1" x="1193"/>
        <item m="1" x="438"/>
        <item sd="0" m="1" x="221"/>
        <item x="32"/>
        <item m="1" x="2309"/>
        <item m="1" x="2310"/>
        <item m="1" x="1679"/>
        <item m="1" x="2311"/>
        <item m="1" x="948"/>
        <item m="1" x="1928"/>
        <item m="1" x="1551"/>
        <item m="1" x="288"/>
        <item m="1" x="273"/>
        <item m="1" x="1711"/>
        <item m="1" x="185"/>
        <item m="1" x="1461"/>
        <item m="1" x="1239"/>
        <item m="1" x="1937"/>
        <item m="1" x="903"/>
        <item m="1" x="692"/>
        <item m="1" x="506"/>
        <item m="1" x="2312"/>
        <item m="1" x="2313"/>
        <item m="1" x="669"/>
        <item m="1" x="876"/>
        <item m="1" x="2314"/>
        <item m="1" x="1244"/>
        <item m="1" x="2108"/>
        <item m="1" x="1420"/>
        <item m="1" x="2315"/>
        <item m="1" x="1992"/>
        <item m="1" x="826"/>
        <item m="1" x="2567"/>
        <item m="1" x="774"/>
        <item m="1" x="75"/>
        <item m="1" x="1246"/>
        <item m="1" x="2317"/>
        <item m="1" x="2318"/>
        <item m="1" x="672"/>
        <item m="1" x="2319"/>
        <item m="1" x="1645"/>
        <item m="1" x="2017"/>
        <item m="1" x="1248"/>
        <item m="1" x="1249"/>
        <item m="1" x="781"/>
        <item m="1" x="1250"/>
        <item m="1" x="1060"/>
        <item m="1" x="671"/>
        <item m="1" x="1252"/>
        <item m="1" x="1880"/>
        <item m="1" x="1286"/>
        <item x="6"/>
        <item m="1" x="348"/>
        <item m="1" x="2320"/>
        <item m="1" x="1243"/>
        <item m="1" x="354"/>
        <item m="1" x="2179"/>
        <item m="1" x="2321"/>
        <item m="1" x="1440"/>
        <item m="1" x="884"/>
        <item m="1" x="629"/>
        <item m="1" x="2152"/>
        <item m="1" x="764"/>
        <item m="1" x="782"/>
        <item m="1" x="2322"/>
        <item m="1" x="783"/>
        <item m="1" x="1371"/>
        <item m="1" x="2323"/>
        <item m="1" x="971"/>
        <item m="1" x="1304"/>
        <item m="1" x="2324"/>
        <item m="1" x="1921"/>
        <item m="1" x="368"/>
        <item m="1" x="279"/>
        <item m="1" x="57"/>
        <item m="1" x="2325"/>
        <item m="1" x="240"/>
        <item m="1" x="286"/>
        <item m="1" x="1589"/>
        <item m="1" x="1271"/>
        <item m="1" x="294"/>
        <item m="1" x="549"/>
        <item m="1" x="784"/>
        <item m="1" x="1602"/>
        <item m="1" x="2326"/>
        <item m="1" x="1546"/>
        <item m="1" x="1487"/>
        <item m="1" x="1419"/>
        <item m="1" x="281"/>
        <item m="1" x="566"/>
        <item m="1" x="341"/>
        <item m="1" x="2554"/>
        <item m="1" x="1740"/>
        <item m="1" x="460"/>
        <item m="1" x="1897"/>
        <item m="1" x="1255"/>
        <item m="1" x="785"/>
        <item m="1" x="786"/>
        <item m="1" x="2598"/>
        <item m="1" x="477"/>
        <item m="1" x="1753"/>
        <item m="1" x="2056"/>
        <item m="1" x="417"/>
        <item x="4"/>
        <item m="1" x="2075"/>
        <item m="1" x="1093"/>
        <item sd="0" m="1" x="2737"/>
        <item m="1" x="590"/>
        <item m="1" x="2707"/>
        <item m="1" x="1057"/>
        <item m="1" x="599"/>
        <item m="1" x="1654"/>
        <item m="1" x="1257"/>
        <item m="1" x="788"/>
        <item m="1" x="1754"/>
        <item m="1" x="536"/>
        <item m="1" x="1258"/>
        <item m="1" x="2327"/>
        <item m="1" x="789"/>
        <item m="1" x="567"/>
        <item m="1" x="2328"/>
        <item m="1" x="2329"/>
        <item m="1" x="439"/>
        <item m="1" x="406"/>
        <item m="1" x="269"/>
        <item m="1" x="1208"/>
        <item m="1" x="1261"/>
        <item m="1" x="1262"/>
        <item m="1" x="592"/>
        <item m="1" x="1522"/>
        <item m="1" x="791"/>
        <item m="1" x="1614"/>
        <item m="1" x="1871"/>
        <item m="1" x="2109"/>
        <item m="1" x="1825"/>
        <item m="1" x="559"/>
        <item m="1" x="1591"/>
        <item m="1" x="580"/>
        <item m="1" x="1369"/>
        <item m="1" x="548"/>
        <item m="1" x="1192"/>
        <item sd="0" m="1" x="2105"/>
        <item m="1" x="1256"/>
        <item m="1" x="673"/>
        <item m="1" x="899"/>
        <item m="1" x="1264"/>
        <item m="1" x="1265"/>
        <item m="1" x="1824"/>
        <item m="1" x="2110"/>
        <item x="8"/>
        <item m="1" x="511"/>
        <item m="1" x="546"/>
        <item m="1" x="64"/>
        <item m="1" x="1201"/>
        <item m="1" x="1266"/>
        <item m="1" x="792"/>
        <item m="1" x="1982"/>
        <item x="44"/>
        <item m="1" x="1577"/>
        <item m="1" x="1613"/>
        <item m="1" x="2330"/>
        <item m="1" x="793"/>
        <item m="1" x="2464"/>
        <item m="1" x="2084"/>
        <item m="1" x="794"/>
        <item m="1" x="583"/>
        <item m="1" x="1433"/>
        <item m="1" x="1640"/>
        <item m="1" x="2614"/>
        <item m="1" x="503"/>
        <item m="1" x="1267"/>
        <item m="1" x="1036"/>
        <item m="1" x="1302"/>
        <item m="1" x="1225"/>
        <item m="1" x="404"/>
        <item m="1" x="1251"/>
        <item m="1" x="2013"/>
        <item m="1" x="510"/>
        <item m="1" x="555"/>
        <item m="1" x="1671"/>
        <item m="1" x="1906"/>
        <item m="1" x="2111"/>
        <item m="1" x="1125"/>
        <item m="1" x="461"/>
        <item m="1" x="1351"/>
        <item m="1" x="518"/>
        <item m="1" x="2331"/>
        <item m="1" x="1368"/>
        <item m="1" x="222"/>
        <item m="1" x="2332"/>
        <item m="1" x="795"/>
        <item m="1" x="674"/>
        <item m="1" x="1132"/>
        <item m="1" x="584"/>
        <item m="1" x="1826"/>
        <item m="1" x="2605"/>
        <item m="1" x="1317"/>
        <item m="1" x="1980"/>
        <item m="1" x="1939"/>
        <item m="1" x="1272"/>
        <item m="1" x="675"/>
        <item m="1" x="676"/>
        <item m="1" x="1951"/>
        <item m="1" x="2625"/>
        <item x="13"/>
        <item m="1" x="1474"/>
        <item m="1" x="2333"/>
        <item m="1" x="1277"/>
        <item m="1" x="1572"/>
        <item m="1" x="1278"/>
        <item m="1" x="2334"/>
        <item m="1" x="2335"/>
        <item m="1" x="1784"/>
        <item m="1" x="300"/>
        <item m="1" x="1723"/>
        <item m="1" x="1279"/>
        <item m="1" x="1410"/>
        <item m="1" x="152"/>
        <item m="1" x="1594"/>
        <item m="1" x="277"/>
        <item m="1" x="1074"/>
        <item m="1" x="132"/>
        <item m="1" x="1934"/>
        <item m="1" x="236"/>
        <item m="1" x="1283"/>
        <item m="1" x="2337"/>
        <item m="1" x="426"/>
        <item m="1" x="1606"/>
        <item m="1" x="1966"/>
        <item m="1" x="2391"/>
        <item m="1" x="2338"/>
        <item m="1" x="1354"/>
        <item m="1" x="1463"/>
        <item m="1" x="2340"/>
        <item m="1" x="657"/>
        <item m="1" x="2668"/>
        <item m="1" x="906"/>
        <item m="1" x="2341"/>
        <item sd="0" m="1" x="2739"/>
        <item x="45"/>
        <item m="1" x="463"/>
        <item m="1" x="924"/>
        <item m="1" x="1925"/>
        <item m="1" x="2342"/>
        <item m="1" x="2343"/>
        <item m="1" x="2344"/>
        <item m="1" x="963"/>
        <item m="1" x="2033"/>
        <item m="1" x="2346"/>
        <item sd="0" m="1" x="2223"/>
        <item m="1" x="2715"/>
        <item m="1" x="2613"/>
        <item m="1" x="677"/>
        <item m="1" x="1598"/>
        <item m="1" x="2021"/>
        <item m="1" x="2347"/>
        <item m="1" x="2348"/>
        <item m="1" x="1297"/>
        <item m="1" x="343"/>
        <item m="1" x="2551"/>
        <item m="1" x="353"/>
        <item m="1" x="1964"/>
        <item m="1" x="441"/>
        <item m="1" x="2050"/>
        <item m="1" x="901"/>
        <item m="1" x="1499"/>
        <item m="1" x="450"/>
        <item m="1" x="2654"/>
        <item m="1" x="1646"/>
        <item m="1" x="2466"/>
        <item m="1" x="1860"/>
        <item m="1" x="1299"/>
        <item m="1" x="2028"/>
        <item m="1" x="904"/>
        <item m="1" x="2350"/>
        <item m="1" x="135"/>
        <item m="1" x="2336"/>
        <item m="1" x="2349"/>
        <item m="1" x="2582"/>
        <item m="1" x="234"/>
        <item m="1" x="1524"/>
        <item m="1" x="1414"/>
        <item m="1" x="1301"/>
        <item m="1" x="133"/>
        <item m="1" x="507"/>
        <item m="1" x="527"/>
        <item m="1" x="2112"/>
        <item sd="0" m="1" x="214"/>
        <item sd="0" m="1" x="213"/>
        <item m="1" x="1999"/>
        <item m="1" x="2352"/>
        <item m="1" x="1185"/>
        <item m="1" x="74"/>
        <item m="1" x="1311"/>
        <item m="1" x="2607"/>
        <item m="1" x="2151"/>
        <item m="1" x="1755"/>
        <item m="1" x="184"/>
        <item m="1" x="525"/>
        <item m="1" x="1312"/>
        <item m="1" x="1313"/>
        <item m="1" x="543"/>
        <item m="1" x="495"/>
        <item m="1" x="2008"/>
        <item m="1" x="1855"/>
        <item m="1" x="944"/>
        <item m="1" x="1081"/>
        <item m="1" x="223"/>
        <item m="1" x="2353"/>
        <item m="1" x="138"/>
        <item m="1" x="139"/>
        <item m="1" x="73"/>
        <item m="1" x="1007"/>
        <item m="1" x="2354"/>
        <item m="1" x="898"/>
        <item m="1" x="1756"/>
        <item m="1" x="2355"/>
        <item m="1" x="2356"/>
        <item m="1" x="1970"/>
        <item m="1" x="1985"/>
        <item m="1" x="1381"/>
        <item m="1" x="345"/>
        <item m="1" x="797"/>
        <item m="1" x="678"/>
        <item m="1" x="2358"/>
        <item m="1" x="2496"/>
        <item m="1" x="346"/>
        <item m="1" x="2661"/>
        <item m="1" x="237"/>
        <item m="1" x="1628"/>
        <item m="1" x="2359"/>
        <item m="1" x="140"/>
        <item m="1" x="1647"/>
        <item m="1" x="1316"/>
        <item m="1" x="1655"/>
        <item m="1" x="1632"/>
        <item m="1" x="1553"/>
        <item m="1" x="1942"/>
        <item m="1" x="1917"/>
        <item m="1" x="2683"/>
        <item m="1" x="836"/>
        <item m="1" x="2360"/>
        <item m="1" x="1949"/>
        <item m="1" x="712"/>
        <item m="1" x="2113"/>
        <item m="1" x="1285"/>
        <item m="1" x="271"/>
        <item m="1" x="1319"/>
        <item m="1" x="1011"/>
        <item m="1" x="2361"/>
        <item m="1" x="1357"/>
        <item m="1" x="349"/>
        <item m="1" x="2051"/>
        <item x="3"/>
        <item m="1" x="1963"/>
        <item m="1" x="619"/>
        <item m="1" x="2362"/>
        <item m="1" x="877"/>
        <item m="1" x="1893"/>
        <item m="1" x="1827"/>
        <item sd="0" m="1" x="245"/>
        <item m="1" x="996"/>
        <item m="1" x="384"/>
        <item m="1" x="2363"/>
        <item m="1" x="980"/>
        <item m="1" x="1548"/>
        <item m="1" x="2720"/>
        <item m="1" x="949"/>
        <item m="1" x="1102"/>
        <item m="1" x="689"/>
        <item m="1" x="639"/>
        <item m="1" x="1639"/>
        <item m="1" x="1321"/>
        <item m="1" x="1322"/>
        <item m="1" x="2366"/>
        <item m="1" x="528"/>
        <item m="1" x="1973"/>
        <item m="1" x="2553"/>
        <item m="1" x="2590"/>
        <item m="1" x="2583"/>
        <item m="1" x="342"/>
        <item m="1" x="1323"/>
        <item m="1" x="2052"/>
        <item m="1" x="1523"/>
        <item m="1" x="1786"/>
        <item m="1" x="1641"/>
        <item m="1" x="1829"/>
        <item m="1" x="681"/>
        <item m="1" x="350"/>
        <item m="1" x="2711"/>
        <item m="1" x="1324"/>
        <item m="1" x="390"/>
        <item m="1" x="1725"/>
        <item m="1" x="780"/>
        <item m="1" x="2621"/>
        <item m="1" x="955"/>
        <item m="1" x="1924"/>
        <item m="1" x="1950"/>
        <item m="1" x="787"/>
        <item sd="0" x="15"/>
        <item m="1" x="798"/>
        <item m="1" x="323"/>
        <item m="1" x="2364"/>
        <item m="1" x="973"/>
        <item m="1" x="142"/>
        <item m="1" x="2365"/>
        <item m="1" x="82"/>
        <item m="1" x="1372"/>
        <item m="1" x="1987"/>
        <item m="1" x="1831"/>
        <item m="1" x="1198"/>
        <item m="1" x="916"/>
        <item m="1" x="2685"/>
        <item m="1" x="1953"/>
        <item m="1" x="2703"/>
        <item m="1" x="682"/>
        <item m="1" x="264"/>
        <item m="1" x="2367"/>
        <item m="1" x="524"/>
        <item m="1" x="1328"/>
        <item m="1" x="1389"/>
        <item m="1" x="2369"/>
        <item m="1" x="1758"/>
        <item m="1" x="1821"/>
        <item m="1" x="965"/>
        <item m="1" x="1334"/>
        <item m="1" x="544"/>
        <item m="1" x="2053"/>
        <item m="1" x="2655"/>
        <item m="1" x="1807"/>
        <item m="1" x="2114"/>
        <item m="1" x="1345"/>
        <item m="1" x="2467"/>
        <item m="1" x="2370"/>
        <item m="1" x="964"/>
        <item m="1" x="209"/>
        <item m="1" x="2628"/>
        <item m="1" x="1588"/>
        <item m="1" x="1908"/>
        <item m="1" x="1385"/>
        <item m="1" x="1759"/>
        <item m="1" x="51"/>
        <item m="1" x="2371"/>
        <item m="1" x="1275"/>
        <item sd="0" m="1" x="2677"/>
        <item m="1" x="987"/>
        <item m="1" x="2010"/>
        <item m="1" x="683"/>
        <item m="1" x="1760"/>
        <item m="1" x="2373"/>
        <item m="1" x="864"/>
        <item m="1" x="2054"/>
        <item m="1" x="1945"/>
        <item m="1" x="684"/>
        <item m="1" x="572"/>
        <item m="1" x="145"/>
        <item m="1" x="479"/>
        <item m="1" x="1188"/>
        <item m="1" x="799"/>
        <item m="1" x="1833"/>
        <item m="1" x="2375"/>
        <item m="1" x="1761"/>
        <item m="1" x="1883"/>
        <item m="1" x="1048"/>
        <item m="1" x="2568"/>
        <item m="1" x="1891"/>
        <item m="1" x="2376"/>
        <item m="1" x="1716"/>
        <item m="1" x="1642"/>
        <item m="1" x="2377"/>
        <item m="1" x="2432"/>
        <item m="1" x="1542"/>
        <item m="1" x="2691"/>
        <item m="1" x="1370"/>
        <item m="1" x="1133"/>
        <item m="1" x="1636"/>
        <item m="1" x="1815"/>
        <item m="1" x="2665"/>
        <item m="1" x="1320"/>
        <item m="1" x="1447"/>
        <item m="1" x="466"/>
        <item m="1" x="1431"/>
        <item m="1" x="481"/>
        <item m="1" x="1307"/>
        <item m="1" x="1527"/>
        <item m="1" x="1077"/>
        <item m="1" x="297"/>
        <item m="1" x="2006"/>
        <item m="1" x="147"/>
        <item m="1" x="2378"/>
        <item m="1" x="1199"/>
        <item m="1" x="1452"/>
        <item m="1" x="999"/>
        <item m="1" x="2379"/>
        <item m="1" x="113"/>
        <item m="1" x="355"/>
        <item m="1" x="1196"/>
        <item m="1" x="1075"/>
        <item m="1" x="831"/>
        <item m="1" x="802"/>
        <item m="1" x="1202"/>
        <item m="1" x="2055"/>
        <item m="1" x="1536"/>
        <item m="1" x="568"/>
        <item m="1" x="1038"/>
        <item m="1" x="2025"/>
        <item m="1" x="317"/>
        <item m="1" x="1157"/>
        <item m="1" x="154"/>
        <item m="1" x="1300"/>
        <item m="1" x="1485"/>
        <item m="1" x="975"/>
        <item m="1" x="2555"/>
        <item m="1" x="2393"/>
        <item m="1" x="687"/>
        <item m="1" x="293"/>
        <item m="1" x="262"/>
        <item m="1" x="2673"/>
        <item m="1" x="1068"/>
        <item m="1" x="2394"/>
        <item m="1" x="2604"/>
        <item m="1" x="1059"/>
        <item m="1" x="2626"/>
        <item m="1" x="976"/>
        <item m="1" x="2620"/>
        <item m="1" x="1926"/>
        <item m="1" x="2395"/>
        <item m="1" x="2396"/>
        <item m="1" x="224"/>
        <item m="1" x="263"/>
        <item m="1" x="1530"/>
        <item m="1" x="1692"/>
        <item m="1" x="1227"/>
        <item m="1" x="83"/>
        <item m="1" x="2629"/>
        <item m="1" x="2397"/>
        <item m="1" x="2595"/>
        <item m="1" x="1427"/>
        <item m="1" x="1920"/>
        <item m="1" x="808"/>
        <item m="1" x="1428"/>
        <item m="1" x="810"/>
        <item m="1" x="2116"/>
        <item m="1" x="225"/>
        <item m="1" x="2398"/>
        <item m="1" x="1429"/>
        <item m="1" x="2399"/>
        <item m="1" x="688"/>
        <item m="1" x="377"/>
        <item m="1" x="2400"/>
        <item m="1" x="1430"/>
        <item m="1" x="1637"/>
        <item m="1" x="1488"/>
        <item m="1" x="1432"/>
        <item m="1" x="2401"/>
        <item m="1" x="2402"/>
        <item m="1" x="247"/>
        <item m="1" x="480"/>
        <item m="1" x="2623"/>
        <item m="1" x="1765"/>
        <item m="1" x="1518"/>
        <item m="1" x="957"/>
        <item m="1" x="2403"/>
        <item m="1" x="885"/>
        <item m="1" x="2405"/>
        <item m="1" x="2082"/>
        <item m="1" x="2060"/>
        <item m="1" x="467"/>
        <item m="1" x="1373"/>
        <item m="1" x="2406"/>
        <item m="1" x="1837"/>
        <item m="1" x="912"/>
        <item m="1" x="1576"/>
        <item m="1" x="1394"/>
        <item m="1" x="1448"/>
        <item m="1" x="1422"/>
        <item m="1" x="889"/>
        <item m="1" x="1449"/>
        <item m="1" x="1159"/>
        <item m="1" x="66"/>
        <item m="1" x="1894"/>
        <item m="1" x="314"/>
        <item m="1" x="163"/>
        <item m="1" x="1451"/>
        <item m="1" x="2491"/>
        <item m="1" x="381"/>
        <item m="1" x="2407"/>
        <item m="1" x="2408"/>
        <item m="1" x="2410"/>
        <item m="1" x="2675"/>
        <item m="1" x="1751"/>
        <item m="1" x="2409"/>
        <item m="1" x="382"/>
        <item m="1" x="1483"/>
        <item m="1" x="246"/>
        <item m="1" x="1454"/>
        <item m="1" x="1766"/>
        <item m="1" x="55"/>
        <item m="1" x="468"/>
        <item m="1" x="1220"/>
        <item m="1" x="395"/>
        <item m="1" x="1206"/>
        <item sd="0" m="1" x="2727"/>
        <item sd="0" m="1" x="308"/>
        <item m="1" x="1910"/>
        <item m="1" x="1457"/>
        <item m="1" x="1456"/>
        <item m="1" x="1458"/>
        <item m="1" x="624"/>
        <item m="1" x="1444"/>
        <item m="1" x="1787"/>
        <item m="1" x="2566"/>
        <item m="1" x="2411"/>
        <item m="1" x="367"/>
        <item m="1" x="2412"/>
        <item m="1" x="289"/>
        <item m="1" x="2413"/>
        <item m="1" x="1543"/>
        <item m="1" x="2414"/>
        <item m="1" x="1722"/>
        <item m="1" x="170"/>
        <item m="1" x="2404"/>
        <item m="1" x="160"/>
        <item m="1" x="1392"/>
        <item m="1" x="2693"/>
        <item m="1" x="2556"/>
        <item m="1" x="2415"/>
        <item m="1" x="733"/>
        <item m="1" x="1656"/>
        <item x="14"/>
        <item m="1" x="1912"/>
        <item m="1" x="1528"/>
        <item m="1" x="1284"/>
        <item m="1" x="165"/>
        <item m="1" x="2270"/>
        <item m="1" x="1914"/>
        <item m="1" x="2653"/>
        <item m="1" x="2118"/>
        <item m="1" x="1390"/>
        <item m="1" x="2034"/>
        <item m="1" x="816"/>
        <item m="1" x="166"/>
        <item m="1" x="1281"/>
        <item m="1" x="1395"/>
        <item m="1" x="1471"/>
        <item m="1" x="144"/>
        <item m="1" x="2019"/>
        <item m="1" x="586"/>
        <item m="1" x="2602"/>
        <item m="1" x="2417"/>
        <item m="1" x="2418"/>
        <item m="1" x="817"/>
        <item m="1" x="2636"/>
        <item m="1" x="1409"/>
        <item m="1" x="1472"/>
        <item m="1" x="690"/>
        <item m="1" x="1473"/>
        <item m="1" x="2419"/>
        <item m="1" x="2420"/>
        <item m="1" x="915"/>
        <item m="1" x="2421"/>
        <item m="1" x="2709"/>
        <item m="1" x="2422"/>
        <item m="1" x="2423"/>
        <item m="1" x="2260"/>
        <item m="1" x="862"/>
        <item m="1" x="2684"/>
        <item m="1" x="882"/>
        <item m="1" x="2424"/>
        <item m="1" x="1882"/>
        <item m="1" x="1347"/>
        <item m="1" x="691"/>
        <item m="1" x="2690"/>
        <item m="1" x="351"/>
        <item m="1" x="2139"/>
        <item m="1" x="2469"/>
        <item m="1" x="1034"/>
        <item m="1" x="501"/>
        <item m="1" x="818"/>
        <item m="1" x="819"/>
        <item m="1" x="914"/>
        <item m="1" x="63"/>
        <item m="1" x="2119"/>
        <item m="1" x="656"/>
        <item m="1" x="2425"/>
        <item m="1" x="149"/>
        <item m="1" x="387"/>
        <item m="1" x="557"/>
        <item m="1" x="1785"/>
        <item m="1" x="2061"/>
        <item m="1" x="440"/>
        <item m="1" x="2099"/>
        <item m="1" x="2426"/>
        <item m="1" x="995"/>
        <item m="1" x="1767"/>
        <item m="1" x="991"/>
        <item m="1" x="386"/>
        <item m="1" x="434"/>
        <item m="1" x="2428"/>
        <item m="1" x="2120"/>
        <item m="1" x="820"/>
        <item m="1" x="1994"/>
        <item m="1" x="487"/>
        <item m="1" x="95"/>
        <item m="1" x="482"/>
        <item m="1" x="87"/>
        <item m="1" x="1938"/>
        <item m="1" x="2062"/>
        <item m="1" x="371"/>
        <item m="1" x="210"/>
        <item m="1" x="2671"/>
        <item m="1" x="312"/>
        <item m="1" x="1923"/>
        <item m="1" x="120"/>
        <item m="1" x="2429"/>
        <item m="1" x="966"/>
        <item m="1" x="821"/>
        <item m="1" x="2068"/>
        <item m="1" x="1489"/>
        <item m="1" x="1490"/>
        <item m="1" x="1491"/>
        <item m="1" x="2430"/>
        <item m="1" x="1684"/>
        <item m="1" x="1379"/>
        <item m="1" x="1730"/>
        <item m="1" x="1800"/>
        <item m="1" x="162"/>
        <item m="1" x="1314"/>
        <item m="1" x="694"/>
        <item m="1" x="1493"/>
        <item m="1" x="1435"/>
        <item m="1" x="611"/>
        <item m="1" x="1018"/>
        <item m="1" x="2384"/>
        <item m="1" x="2616"/>
        <item m="1" x="2561"/>
        <item m="1" x="1290"/>
        <item m="1" x="1156"/>
        <item m="1" x="401"/>
        <item m="1" x="2142"/>
        <item m="1" x="383"/>
        <item m="1" x="2433"/>
        <item m="1" x="380"/>
        <item m="1" x="2434"/>
        <item m="1" x="1986"/>
        <item m="1" x="695"/>
        <item m="1" x="1688"/>
        <item m="1" x="907"/>
        <item m="1" x="2387"/>
        <item m="1" x="310"/>
        <item m="1" x="168"/>
        <item m="1" x="954"/>
        <item m="1" x="1342"/>
        <item m="1" x="328"/>
        <item m="1" x="822"/>
        <item m="1" x="403"/>
        <item m="1" x="1486"/>
        <item m="1" x="339"/>
        <item m="1" x="823"/>
        <item m="1" x="2435"/>
        <item m="1" x="502"/>
        <item m="1" x="565"/>
        <item m="1" x="1501"/>
        <item m="1" x="1023"/>
        <item m="1" x="2436"/>
        <item sd="0" m="1" x="2733"/>
        <item m="1" x="1217"/>
        <item m="1" x="800"/>
        <item m="1" x="1467"/>
        <item m="1" x="389"/>
        <item m="1" x="2063"/>
        <item m="1" x="2437"/>
        <item m="1" x="1064"/>
        <item m="1" x="853"/>
        <item m="1" x="936"/>
        <item m="1" x="1596"/>
        <item m="1" x="1502"/>
        <item m="1" x="2438"/>
        <item m="1" x="2129"/>
        <item m="1" x="174"/>
        <item m="1" x="2064"/>
        <item m="1" x="161"/>
        <item m="1" x="931"/>
        <item m="1" x="2584"/>
        <item m="1" x="923"/>
        <item m="1" x="2439"/>
        <item m="1" x="227"/>
        <item m="1" x="1517"/>
        <item m="1" x="2440"/>
        <item x="25"/>
        <item m="1" x="392"/>
        <item m="1" x="824"/>
        <item m="1" x="886"/>
        <item m="1" x="1396"/>
        <item m="1" x="1480"/>
        <item m="1" x="2065"/>
        <item m="1" x="1680"/>
        <item m="1" x="1511"/>
        <item m="1" x="393"/>
        <item m="1" x="2441"/>
        <item m="1" x="1792"/>
        <item m="1" x="172"/>
        <item m="1" x="1967"/>
        <item m="1" x="1512"/>
        <item m="1" x="825"/>
        <item m="1" x="71"/>
        <item m="1" x="1944"/>
        <item m="1" x="2594"/>
        <item m="1" x="2382"/>
        <item m="1" x="1665"/>
        <item m="1" x="2442"/>
        <item m="1" x="375"/>
        <item m="1" x="985"/>
        <item m="1" x="257"/>
        <item m="1" x="1119"/>
        <item m="1" x="2443"/>
        <item m="1" x="721"/>
        <item m="1" x="2444"/>
        <item m="1" x="1376"/>
        <item m="1" x="670"/>
        <item m="1" x="1768"/>
        <item m="1" x="2445"/>
        <item m="1" x="1943"/>
        <item m="1" x="67"/>
        <item m="1" x="1222"/>
        <item m="1" x="2070"/>
        <item m="1" x="180"/>
        <item m="1" x="124"/>
        <item m="1" x="1968"/>
        <item m="1" x="396"/>
        <item m="1" x="1525"/>
        <item m="1" x="1295"/>
        <item m="1" x="340"/>
        <item m="1" x="2447"/>
        <item m="1" x="422"/>
        <item m="1" x="2448"/>
        <item m="1" x="563"/>
        <item m="1" x="893"/>
        <item m="1" x="894"/>
        <item m="1" x="696"/>
        <item m="1" x="2450"/>
        <item m="1" x="1066"/>
        <item m="1" x="2066"/>
        <item m="1" x="2646"/>
        <item m="1" x="2570"/>
        <item m="1" x="1443"/>
        <item m="1" x="226"/>
        <item m="1" x="157"/>
        <item m="1" x="1383"/>
        <item m="1" x="940"/>
        <item m="1" x="2014"/>
        <item m="1" x="697"/>
        <item m="1" x="698"/>
        <item m="1" x="587"/>
        <item m="1" x="2451"/>
        <item m="1" x="1580"/>
        <item m="1" x="2532"/>
        <item m="1" x="253"/>
        <item m="1" x="1814"/>
        <item m="1" x="1118"/>
        <item m="1" x="1180"/>
        <item m="1" x="827"/>
        <item m="1" x="2121"/>
        <item m="1" x="1619"/>
        <item m="1" x="1035"/>
        <item m="1" x="2723"/>
        <item m="1" x="2639"/>
        <item m="1" x="2009"/>
        <item m="1" x="119"/>
        <item m="1" x="1534"/>
        <item m="1" x="2452"/>
        <item m="1" x="1291"/>
        <item m="1" x="398"/>
        <item m="1" x="1728"/>
        <item m="1" x="2316"/>
        <item m="1" x="1560"/>
        <item m="1" x="2619"/>
        <item m="1" x="469"/>
        <item m="1" x="1769"/>
        <item m="1" x="1889"/>
        <item m="1" x="699"/>
        <item sd="0" m="1" x="2732"/>
        <item m="1" x="569"/>
        <item m="1" x="803"/>
        <item x="17"/>
        <item m="1" x="2453"/>
        <item m="1" x="1995"/>
        <item m="1" x="2454"/>
        <item m="1" x="1296"/>
        <item m="1" x="1866"/>
        <item m="1" x="1731"/>
        <item m="1" x="1537"/>
        <item m="1" x="1609"/>
        <item m="1" x="2574"/>
        <item m="1" x="1538"/>
        <item m="1" x="483"/>
        <item m="1" x="1603"/>
        <item m="1" x="178"/>
        <item m="1" x="1791"/>
        <item m="1" x="1840"/>
        <item m="1" x="958"/>
        <item m="1" x="402"/>
        <item sd="0" m="1" x="258"/>
        <item sd="0" m="1" x="2725"/>
        <item m="1" x="1033"/>
        <item m="1" x="1798"/>
        <item m="1" x="1013"/>
        <item m="1" x="186"/>
        <item m="1" x="1916"/>
        <item m="1" x="968"/>
        <item m="1" x="2599"/>
        <item m="1" x="2140"/>
        <item m="1" x="796"/>
        <item m="1" x="1540"/>
        <item m="1" x="1541"/>
        <item m="1" x="701"/>
        <item m="1" x="1856"/>
        <item m="1" x="897"/>
        <item m="1" x="1857"/>
        <item m="1" x="2455"/>
        <item m="1" x="2660"/>
        <item m="1" x="1115"/>
        <item m="1" x="2471"/>
        <item m="1" x="1896"/>
        <item m="1" x="680"/>
        <item m="1" x="705"/>
        <item m="1" x="446"/>
        <item m="1" x="1350"/>
        <item m="1" x="600"/>
        <item m="1" x="1001"/>
        <item m="1" x="702"/>
        <item m="1" x="1545"/>
        <item x="2"/>
        <item m="1" x="531"/>
        <item m="1" x="634"/>
        <item m="1" x="814"/>
        <item m="1" x="556"/>
        <item x="21"/>
        <item m="1" x="2679"/>
        <item sd="0" m="1" x="1190"/>
        <item m="1" x="1823"/>
        <item m="1" x="790"/>
        <item m="1" x="2696"/>
        <item m="1" x="1127"/>
        <item m="1" x="845"/>
        <item m="1" x="347"/>
        <item m="1" x="1559"/>
        <item m="1" x="1116"/>
        <item m="1" x="1839"/>
        <item m="1" x="1721"/>
        <item m="1" x="1144"/>
        <item m="1" x="1107"/>
        <item m="1" x="888"/>
        <item m="1" x="1332"/>
        <item m="1" x="1845"/>
        <item sd="0" m="1" x="522"/>
        <item m="1" x="1714"/>
        <item m="1" x="1841"/>
        <item m="1" x="627"/>
        <item m="1" x="409"/>
        <item m="1" x="1040"/>
        <item m="1" x="1862"/>
        <item m="1" x="1969"/>
        <item m="1" x="379"/>
        <item m="1" x="1988"/>
        <item m="1" x="703"/>
        <item m="1" x="187"/>
        <item m="1" x="470"/>
        <item m="1" x="2122"/>
        <item m="1" x="1838"/>
        <item m="1" x="1564"/>
        <item m="1" x="198"/>
        <item x="39"/>
        <item m="1" x="913"/>
        <item m="1" x="1867"/>
        <item m="1" x="2458"/>
        <item m="1" x="1529"/>
        <item m="1" x="2459"/>
        <item m="1" x="2460"/>
        <item m="1" x="2462"/>
        <item m="1" x="830"/>
        <item m="1" x="704"/>
        <item m="1" x="2609"/>
        <item m="1" x="305"/>
        <item m="1" x="953"/>
        <item m="1" x="977"/>
        <item m="1" x="2463"/>
        <item m="1" x="2591"/>
        <item m="1" x="2299"/>
        <item m="1" x="189"/>
        <item m="1" x="2381"/>
        <item m="1" x="2662"/>
        <item m="1" x="228"/>
        <item m="1" x="2457"/>
        <item m="1" x="2032"/>
        <item m="1" x="961"/>
        <item m="1" x="1610"/>
        <item m="1" x="229"/>
        <item m="1" x="1772"/>
        <item m="1" x="1567"/>
        <item m="1" x="362"/>
        <item m="1" x="1029"/>
        <item m="1" x="829"/>
        <item m="1" x="1582"/>
        <item m="1" x="447"/>
        <item m="1" x="1150"/>
        <item sd="0" m="1" x="2736"/>
        <item m="1" x="1178"/>
        <item m="1" x="1514"/>
        <item m="1" x="1583"/>
        <item m="1" x="1584"/>
        <item m="1" x="1134"/>
        <item m="1" x="707"/>
        <item m="1" x="1561"/>
        <item m="1" x="2472"/>
        <item m="1" x="2011"/>
        <item m="1" x="1585"/>
        <item m="1" x="1338"/>
        <item m="1" x="909"/>
        <item m="1" x="700"/>
        <item m="1" x="77"/>
        <item m="1" x="2562"/>
        <item m="1" x="1586"/>
        <item m="1" x="2473"/>
        <item m="1" x="1685"/>
        <item m="1" x="564"/>
        <item m="1" x="1110"/>
        <item x="30"/>
        <item m="1" x="2474"/>
        <item m="1" x="2576"/>
        <item m="1" x="2610"/>
        <item m="1" x="1696"/>
        <item m="1" x="1051"/>
        <item m="1" x="2475"/>
        <item m="1" x="2476"/>
        <item m="1" x="1629"/>
        <item m="1" x="2477"/>
        <item m="1" x="1922"/>
        <item m="1" x="2479"/>
        <item m="1" x="2478"/>
        <item m="1" x="1676"/>
        <item m="1" x="1965"/>
        <item m="1" x="2695"/>
        <item m="1" x="496"/>
        <item m="1" x="1990"/>
        <item m="1" x="2689"/>
        <item m="1" x="1590"/>
        <item m="1" x="1155"/>
        <item m="1" x="881"/>
        <item m="1" x="2480"/>
        <item x="11"/>
        <item m="1" x="1960"/>
        <item m="1" x="2481"/>
        <item m="1" x="520"/>
        <item m="1" x="1028"/>
        <item m="1" x="352"/>
        <item m="1" x="2482"/>
        <item m="1" x="504"/>
        <item m="1" x="1496"/>
        <item m="1" x="928"/>
        <item m="1" x="2468"/>
        <item m="1" x="1024"/>
        <item m="1" x="1854"/>
        <item m="1" x="2483"/>
        <item m="1" x="1593"/>
        <item m="1" x="2680"/>
        <item m="1" x="1061"/>
        <item m="1" x="243"/>
        <item m="1" x="191"/>
        <item m="1" x="1579"/>
        <item m="1" x="1595"/>
        <item m="1" x="192"/>
        <item m="1" x="298"/>
        <item m="1" x="1601"/>
        <item m="1" x="962"/>
        <item m="1" x="2485"/>
        <item m="1" x="2124"/>
        <item m="1" x="1421"/>
        <item m="1" x="2005"/>
        <item m="1" x="1648"/>
        <item m="1" x="2125"/>
        <item m="1" x="1184"/>
        <item m="1" x="2676"/>
        <item m="1" x="1604"/>
        <item m="1" x="1558"/>
        <item m="1" x="194"/>
        <item m="1" x="2126"/>
        <item m="1" x="307"/>
        <item m="1" x="588"/>
        <item m="1" x="1168"/>
        <item m="1" x="193"/>
        <item m="1" x="972"/>
        <item m="1" x="413"/>
        <item m="1" x="414"/>
        <item m="1" x="415"/>
        <item m="1" x="169"/>
        <item m="1" x="416"/>
        <item m="1" x="1445"/>
        <item m="1" x="833"/>
        <item m="1" x="2486"/>
        <item m="1" x="1570"/>
        <item m="1" x="855"/>
        <item m="1" x="1533"/>
        <item m="1" x="2487"/>
        <item m="1" x="1842"/>
        <item m="1" x="1773"/>
        <item m="1" x="2488"/>
        <item m="1" x="1563"/>
        <item m="1" x="902"/>
        <item m="1" x="435"/>
        <item m="1" x="860"/>
        <item m="1" x="1121"/>
        <item m="1" x="708"/>
        <item m="1" x="2490"/>
        <item m="1" x="542"/>
        <item m="1" x="1607"/>
        <item m="1" x="1608"/>
        <item m="1" x="1335"/>
        <item sd="0" m="1" x="2719"/>
        <item m="1" x="1864"/>
        <item m="1" x="742"/>
        <item m="1" x="2368"/>
        <item m="1" x="832"/>
        <item m="1" x="1117"/>
        <item m="1" x="239"/>
        <item m="1" x="1426"/>
        <item m="1" x="2492"/>
        <item m="1" x="2493"/>
        <item m="1" x="196"/>
        <item m="1" x="2494"/>
        <item m="1" x="278"/>
        <item sd="0" m="1" x="2740"/>
        <item m="1" x="2069"/>
        <item m="1" x="1797"/>
        <item m="1" x="143"/>
        <item m="1" x="1611"/>
        <item x="42"/>
        <item m="1" x="608"/>
        <item m="1" x="1848"/>
        <item m="1" x="602"/>
        <item m="1" x="1858"/>
        <item m="1" x="1849"/>
        <item m="1" x="1976"/>
        <item m="1" x="1929"/>
        <item m="1" x="603"/>
        <item m="1" x="770"/>
        <item m="1" x="1850"/>
        <item m="1" x="601"/>
        <item m="1" x="606"/>
        <item m="1" x="610"/>
        <item m="1" x="1852"/>
        <item m="1" x="515"/>
        <item sd="0" x="29"/>
        <item m="1" x="1661"/>
        <item x="41"/>
        <item m="1" x="596"/>
        <item m="1" x="1662"/>
        <item m="1" x="514"/>
        <item m="1" x="595"/>
        <item m="1" x="1977"/>
        <item m="1" x="1358"/>
        <item m="1" x="1847"/>
        <item m="1" x="605"/>
        <item m="1" x="1846"/>
        <item m="1" x="609"/>
        <item sd="0" m="1" x="604"/>
        <item x="28"/>
        <item sd="0" m="1" x="2730"/>
        <item sd="0" m="1" x="2735"/>
        <item sd="0" x="26"/>
        <item m="1" x="857"/>
        <item m="1" x="1861"/>
        <item m="1" x="2027"/>
        <item m="1" x="2035"/>
        <item m="1" x="1881"/>
        <item m="1" x="92"/>
        <item m="1" x="1666"/>
        <item m="1" x="1974"/>
        <item m="1" x="1017"/>
        <item m="1" x="805"/>
        <item m="1" x="2699"/>
        <item m="1" x="2427"/>
        <item m="1" x="2446"/>
        <item m="1" x="151"/>
        <item m="1" x="709"/>
        <item m="1" x="1659"/>
        <item m="1" x="421"/>
        <item m="1" x="2067"/>
        <item m="1" x="2495"/>
        <item m="1" x="921"/>
        <item m="1" x="2238"/>
        <item sd="0" m="1" x="2738"/>
        <item m="1" x="1423"/>
        <item m="1" x="582"/>
        <item m="1" x="2123"/>
        <item m="1" x="70"/>
        <item m="1" x="2497"/>
        <item m="1" x="325"/>
        <item m="1" x="2156"/>
        <item m="1" x="2498"/>
        <item m="1" x="2461"/>
        <item m="1" x="1234"/>
        <item m="1" x="934"/>
        <item m="1" x="2672"/>
        <item m="1" x="1067"/>
        <item m="1" x="2256"/>
        <item m="1" x="1308"/>
        <item m="1" x="1669"/>
        <item m="1" x="1446"/>
        <item m="1" x="1154"/>
        <item m="1" x="2127"/>
        <item m="1" x="423"/>
        <item m="1" x="1400"/>
        <item m="1" x="424"/>
        <item m="1" x="1958"/>
        <item m="1" x="197"/>
        <item m="1" x="2499"/>
        <item m="1" x="1673"/>
        <item m="1" x="517"/>
        <item m="1" x="1477"/>
        <item m="1" x="2500"/>
        <item m="1" x="1808"/>
        <item m="1" x="892"/>
        <item m="1" x="1138"/>
        <item m="1" x="275"/>
        <item m="1" x="834"/>
        <item m="1" x="79"/>
        <item m="1" x="910"/>
        <item m="1" x="136"/>
        <item m="1" x="203"/>
        <item m="1" x="2575"/>
        <item m="1" x="2585"/>
        <item m="1" x="939"/>
        <item m="1" x="1366"/>
        <item m="1" x="1136"/>
        <item m="1" x="1605"/>
        <item m="1" x="1226"/>
        <item m="1" x="484"/>
        <item m="1" x="1677"/>
        <item m="1" x="2714"/>
        <item m="1" x="993"/>
        <item m="1" x="1387"/>
        <item m="1" x="1678"/>
        <item m="1" x="1895"/>
        <item m="1" x="1365"/>
        <item m="1" x="1649"/>
        <item m="1" x="1620"/>
        <item m="1" x="1599"/>
        <item m="1" x="1122"/>
        <item m="1" x="489"/>
        <item m="1" x="1352"/>
        <item m="1" x="1616"/>
        <item m="1" x="835"/>
        <item m="1" x="2515"/>
        <item m="1" x="230"/>
        <item m="1" x="533"/>
        <item m="1" x="2501"/>
        <item m="1" x="261"/>
        <item m="1" x="201"/>
        <item m="1" x="285"/>
        <item m="1" x="2502"/>
        <item m="1" x="1187"/>
        <item m="1" x="552"/>
        <item m="1" x="2503"/>
        <item m="1" x="630"/>
        <item m="1" x="859"/>
        <item m="1" x="1975"/>
        <item m="1" x="2504"/>
        <item m="1" x="2713"/>
        <item m="1" x="2694"/>
        <item m="1" x="1076"/>
        <item m="1" x="905"/>
        <item m="1" x="2514"/>
        <item m="1" x="1828"/>
        <item m="1" x="1164"/>
        <item m="1" x="1415"/>
        <item m="1" x="2587"/>
        <item m="1" x="2698"/>
        <item m="1" x="1697"/>
        <item m="1" x="1401"/>
        <item m="1" x="1292"/>
        <item m="1" x="2505"/>
        <item m="1" x="2702"/>
        <item m="1" x="280"/>
        <item m="1" x="879"/>
        <item m="1" x="937"/>
        <item x="34"/>
        <item m="1" x="365"/>
        <item m="1" x="1566"/>
        <item m="1" x="710"/>
        <item m="1" x="490"/>
        <item sd="0" m="1" x="493"/>
        <item m="1" x="711"/>
        <item m="1" x="400"/>
        <item m="1" x="2507"/>
        <item m="1" x="2624"/>
        <item m="1" x="632"/>
        <item m="1" x="2189"/>
        <item m="1" x="1631"/>
        <item m="1" x="2706"/>
        <item m="1" x="729"/>
        <item m="1" x="2617"/>
        <item x="24"/>
        <item m="1" x="1331"/>
        <item m="1" x="838"/>
        <item m="1" x="2022"/>
        <item m="1" x="1689"/>
        <item m="1" x="1690"/>
        <item m="1" x="2308"/>
        <item m="1" x="1794"/>
        <item m="1" x="1173"/>
        <item m="1" x="651"/>
        <item m="1" x="2652"/>
        <item m="1" x="1101"/>
        <item m="1" x="2128"/>
        <item m="1" x="613"/>
        <item m="1" x="137"/>
        <item m="1" x="813"/>
        <item m="1" x="2603"/>
        <item m="1" x="1343"/>
        <item m="1" x="2509"/>
        <item m="1" x="839"/>
        <item m="1" x="1691"/>
        <item m="1" x="121"/>
        <item m="1" x="425"/>
        <item m="1" x="2431"/>
        <item m="1" x="1890"/>
        <item m="1" x="1776"/>
        <item m="1" x="1904"/>
        <item m="1" x="2144"/>
        <item m="1" x="62"/>
        <item m="1" x="1055"/>
        <item m="1" x="840"/>
        <item m="1" x="2383"/>
        <item m="1" x="1578"/>
        <item m="1" x="2510"/>
        <item m="1" x="1660"/>
        <item m="1" x="485"/>
        <item m="1" x="1207"/>
        <item m="1" x="1693"/>
        <item m="1" x="1663"/>
        <item m="1" x="1657"/>
        <item m="1" x="858"/>
        <item m="1" x="2511"/>
        <item m="1" x="2001"/>
        <item m="1" x="841"/>
        <item m="1" x="1411"/>
        <item m="1" x="837"/>
        <item m="1" x="2597"/>
        <item m="1" x="1694"/>
        <item m="1" x="1801"/>
        <item m="1" x="1695"/>
        <item m="1" x="1681"/>
        <item m="1" x="1587"/>
        <item m="1" x="1160"/>
        <item m="1" x="1569"/>
        <item m="1" x="998"/>
        <item m="1" x="856"/>
        <item m="1" x="1166"/>
        <item m="1" x="2512"/>
        <item m="1" x="150"/>
        <item m="1" x="2149"/>
        <item m="1" x="1223"/>
        <item m="1" x="212"/>
        <item m="1" x="918"/>
        <item m="1" x="1989"/>
        <item m="1" x="1979"/>
        <item m="1" x="2268"/>
        <item m="1" x="56"/>
        <item m="1" x="1562"/>
        <item m="1" x="1581"/>
        <item m="1" x="2390"/>
        <item m="1" x="969"/>
        <item m="1" x="473"/>
        <item m="1" x="843"/>
        <item m="1" x="1625"/>
        <item m="1" x="935"/>
        <item m="1" x="2023"/>
        <item m="1" x="1462"/>
        <item m="1" x="2666"/>
        <item m="1" x="2024"/>
        <item x="9"/>
        <item m="1" x="1698"/>
        <item m="1" x="1375"/>
        <item m="1" x="1699"/>
        <item m="1" x="179"/>
        <item m="1" x="2148"/>
        <item m="1" x="589"/>
        <item m="1" x="558"/>
        <item m="1" x="1019"/>
        <item m="1" x="69"/>
        <item m="1" x="199"/>
        <item m="1" x="844"/>
        <item m="1" x="714"/>
        <item m="1" x="2449"/>
        <item m="1" x="715"/>
        <item m="1" x="1670"/>
        <item m="1" x="1407"/>
        <item m="1" x="2130"/>
        <item m="1" x="1702"/>
        <item m="1" x="427"/>
        <item m="1" x="190"/>
        <item m="1" x="1479"/>
        <item m="1" x="679"/>
        <item m="1" x="716"/>
        <item m="1" x="65"/>
        <item m="1" x="1703"/>
        <item m="1" x="1851"/>
        <item m="1" x="717"/>
        <item m="1" x="486"/>
        <item m="1" x="231"/>
        <item m="1" x="2079"/>
        <item m="1" x="2131"/>
        <item m="1" x="1626"/>
        <item m="1" x="2516"/>
        <item m="1" x="1374"/>
        <item m="1" x="1280"/>
        <item m="1" x="927"/>
        <item m="1" x="299"/>
        <item sd="0" m="1" x="2734"/>
        <item m="1" x="1843"/>
        <item m="1" x="1991"/>
        <item m="1" x="200"/>
        <item m="1" x="1859"/>
        <item m="1" x="86"/>
        <item m="1" x="1268"/>
        <item m="1" x="1417"/>
        <item m="1" x="1706"/>
        <item m="1" x="1269"/>
        <item m="1" x="2132"/>
        <item m="1" x="989"/>
        <item m="1" x="1704"/>
        <item m="1" x="637"/>
        <item m="1" x="706"/>
        <item sd="0" m="1" x="640"/>
        <item m="1" x="842"/>
        <item m="1" x="105"/>
        <item m="1" x="173"/>
        <item m="1" x="1495"/>
        <item m="1" x="896"/>
        <item m="1" x="2517"/>
        <item m="1" x="2518"/>
        <item m="1" x="982"/>
        <item m="1" x="2519"/>
        <item m="1" x="718"/>
        <item m="1" x="1705"/>
        <item m="1" x="1519"/>
        <item m="1" x="2644"/>
        <item m="1" x="2640"/>
        <item m="1" x="2520"/>
        <item m="1" x="1025"/>
        <item m="1" x="1182"/>
        <item m="1" x="1946"/>
        <item m="1" x="1635"/>
        <item m="1" x="984"/>
        <item m="1" x="1274"/>
        <item m="1" x="2521"/>
        <item m="1" x="1633"/>
        <item m="1" x="2522"/>
        <item m="1" x="861"/>
        <item m="1" x="1707"/>
        <item m="1" x="1834"/>
        <item m="1" x="1634"/>
        <item m="1" x="2700"/>
        <item m="1" x="127"/>
        <item m="1" x="1032"/>
        <item m="1" x="2203"/>
        <item m="1" x="1404"/>
        <item m="1" x="1494"/>
        <item m="1" x="1770"/>
        <item m="1" x="1983"/>
        <item m="1" x="2523"/>
        <item m="1" x="1709"/>
        <item m="1" x="1777"/>
        <item m="1" x="2525"/>
        <item m="1" x="719"/>
        <item m="1" x="1927"/>
        <item m="1" x="1996"/>
        <item m="1" x="846"/>
        <item m="1" x="2526"/>
        <item m="1" x="2392"/>
        <item m="1" x="519"/>
        <item m="1" x="1086"/>
        <item m="1" x="2059"/>
        <item m="1" x="598"/>
        <item m="1" x="757"/>
        <item m="1" x="535"/>
        <item m="1" x="2133"/>
        <item m="1" x="2527"/>
        <item m="1" x="204"/>
        <item m="1" x="720"/>
        <item x="35"/>
        <item m="1" x="1713"/>
        <item m="1" x="1014"/>
        <item m="1" x="1424"/>
        <item m="1" x="941"/>
        <item m="1" x="2712"/>
        <item m="1" x="420"/>
        <item m="1" x="2528"/>
        <item m="1" x="1391"/>
        <item m="1" x="2012"/>
        <item m="1" x="2573"/>
        <item m="1" x="938"/>
        <item m="1" x="2134"/>
        <item m="1" x="267"/>
        <item m="1" x="2529"/>
        <item m="1" x="1293"/>
        <item m="1" x="614"/>
        <item sd="0" m="1" x="2722"/>
        <item m="1" x="2593"/>
        <item m="1" x="1416"/>
        <item m="1" x="324"/>
        <item m="1" x="428"/>
        <item m="1" x="2530"/>
        <item m="1" x="2029"/>
        <item m="1" x="723"/>
        <item m="1" x="2259"/>
        <item m="1" x="541"/>
        <item m="1" x="1618"/>
        <item m="1" x="1674"/>
        <item m="1" x="1778"/>
        <item m="1" x="911"/>
        <item m="1" x="2531"/>
        <item m="1" x="847"/>
        <item x="23"/>
        <item m="1" x="478"/>
        <item m="1" x="848"/>
        <item m="1" x="929"/>
        <item m="1" x="1844"/>
        <item m="1" x="1715"/>
        <item m="1" x="1710"/>
        <item m="1" x="1004"/>
        <item m="1" x="726"/>
        <item m="1" x="2135"/>
        <item m="1" x="1353"/>
        <item m="1" x="1717"/>
        <item m="1" x="1779"/>
        <item sd="0" m="1" x="465"/>
        <item m="1" x="1260"/>
        <item m="1" x="974"/>
        <item m="1" x="2533"/>
        <item m="1" x="188"/>
        <item m="1" x="2647"/>
        <item m="1" x="2686"/>
        <item m="1" x="866"/>
        <item m="1" x="1811"/>
        <item m="1" x="812"/>
        <item x="43"/>
        <item m="1" x="1718"/>
        <item m="1" x="1719"/>
        <item m="1" x="1398"/>
        <item m="1" x="1720"/>
        <item sd="0" m="1" x="2728"/>
        <item m="1" x="128"/>
        <item m="1" x="205"/>
        <item m="1" x="686"/>
        <item m="1" x="2622"/>
        <item m="1" x="1780"/>
        <item m="1" x="685"/>
        <item m="1" x="2416"/>
        <item m="1" x="2705"/>
        <item m="1" x="1333"/>
        <item m="1" x="1667"/>
        <item m="1" x="2136"/>
        <item m="1" x="1781"/>
        <item m="1" x="329"/>
        <item m="1" x="1724"/>
        <item m="1" x="206"/>
        <item m="1" x="153"/>
        <item m="1" x="2643"/>
        <item m="1" x="849"/>
        <item m="1" x="854"/>
        <item m="1" x="2631"/>
        <item m="1" x="471"/>
        <item m="1" x="2535"/>
        <item m="1" x="1902"/>
        <item m="1" x="722"/>
        <item m="1" x="540"/>
        <item m="1" x="2255"/>
        <item m="1" x="850"/>
        <item m="1" x="183"/>
        <item m="1" x="693"/>
        <item m="1" x="644"/>
        <item m="1" x="1726"/>
        <item m="1" x="967"/>
        <item sd="0" m="1" x="2117"/>
        <item m="1" x="397"/>
        <item m="1" x="1504"/>
        <item x="40"/>
        <item sd="0" m="1" x="2729"/>
        <item m="1" x="1273"/>
        <item m="1" x="2536"/>
        <item m="1" x="2470"/>
        <item m="1" x="429"/>
        <item m="1" x="2537"/>
        <item m="1" x="2538"/>
        <item m="1" x="2569"/>
        <item m="1" x="2539"/>
        <item m="1" x="1460"/>
        <item m="1" x="2058"/>
        <item m="1" x="2540"/>
        <item m="1" x="942"/>
        <item m="1" x="2031"/>
        <item m="1" x="1597"/>
        <item m="1" x="2541"/>
        <item m="1" x="1325"/>
        <item m="1" x="2071"/>
        <item m="1" x="828"/>
        <item m="1" x="430"/>
        <item m="1" x="1356"/>
        <item m="1" x="1031"/>
        <item x="16"/>
        <item m="1" x="1957"/>
        <item m="1" x="1434"/>
        <item m="1" x="874"/>
        <item m="1" x="2542"/>
        <item m="1" x="2543"/>
        <item m="1" x="249"/>
        <item m="1" x="207"/>
        <item m="1" x="2544"/>
        <item m="1" x="2545"/>
        <item m="1" x="2137"/>
        <item m="1" x="2138"/>
        <item m="1" x="1002"/>
        <item m="1" x="134"/>
        <item m="1" x="1732"/>
        <item m="1" x="1326"/>
        <item m="1" x="155"/>
        <item m="1" x="211"/>
        <item m="1" x="1161"/>
        <item x="36"/>
        <item m="1" x="141"/>
        <item m="1" x="2548"/>
        <item m="1" x="508"/>
        <item m="1" x="930"/>
        <item m="1" x="571"/>
        <item m="1" x="2372"/>
        <item m="1" x="2357"/>
        <item m="1" x="241"/>
        <item m="1" x="1733"/>
        <item m="1" x="1734"/>
        <item m="1" x="431"/>
        <item m="1" x="851"/>
        <item m="1" x="2546"/>
        <item m="1" x="532"/>
        <item m="1" x="1521"/>
        <item m="1" x="1554"/>
        <item m="1" x="2547"/>
        <item m="1" x="1782"/>
        <item m="1" x="1903"/>
        <item m="1" x="2549"/>
        <item m="1" x="1735"/>
        <item m="1" x="1650"/>
        <item m="1" x="1736"/>
        <item m="1" x="2708"/>
        <item t="default" sd="0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4"/>
    <field x="0"/>
  </rowFields>
  <rowItems count="1">
    <i t="grand">
      <x/>
    </i>
  </rowItems>
  <colItems count="1">
    <i/>
  </colItems>
  <pageFields count="1">
    <pageField fld="3" hier="-1"/>
  </pageFields>
  <dataFields count="1">
    <dataField name="Total" fld="9" baseField="0" baseItem="0" numFmtId="44"/>
  </dataFields>
  <formats count="9">
    <format dxfId="261">
      <pivotArea collapsedLevelsAreSubtotals="1" fieldPosition="0">
        <references count="1">
          <reference field="4" count="1">
            <x v="275"/>
          </reference>
        </references>
      </pivotArea>
    </format>
    <format dxfId="260">
      <pivotArea collapsedLevelsAreSubtotals="1" fieldPosition="0">
        <references count="1">
          <reference field="4" count="1">
            <x v="664"/>
          </reference>
        </references>
      </pivotArea>
    </format>
    <format dxfId="259">
      <pivotArea collapsedLevelsAreSubtotals="1" fieldPosition="0">
        <references count="1">
          <reference field="4" count="1">
            <x v="789"/>
          </reference>
        </references>
      </pivotArea>
    </format>
    <format dxfId="258">
      <pivotArea collapsedLevelsAreSubtotals="1" fieldPosition="0">
        <references count="1">
          <reference field="4" count="1">
            <x v="1446"/>
          </reference>
        </references>
      </pivotArea>
    </format>
    <format dxfId="257">
      <pivotArea collapsedLevelsAreSubtotals="1" fieldPosition="0">
        <references count="1">
          <reference field="4" count="1">
            <x v="1688"/>
          </reference>
        </references>
      </pivotArea>
    </format>
    <format dxfId="256">
      <pivotArea collapsedLevelsAreSubtotals="1" fieldPosition="0">
        <references count="1">
          <reference field="4" count="1">
            <x v="1989"/>
          </reference>
        </references>
      </pivotArea>
    </format>
    <format dxfId="255">
      <pivotArea dataOnly="0" labelOnly="1" fieldPosition="0">
        <references count="1">
          <reference field="4" count="6">
            <x v="275"/>
            <x v="664"/>
            <x v="789"/>
            <x v="1446"/>
            <x v="1688"/>
            <x v="1989"/>
          </reference>
        </references>
      </pivotArea>
    </format>
    <format dxfId="254">
      <pivotArea field="4" type="button" dataOnly="0" labelOnly="1" outline="0" axis="axisRow" fieldPosition="0"/>
    </format>
    <format dxfId="253">
      <pivotArea dataOnly="0" labelOnly="1" outline="0" axis="axisValues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A4CE3A-4480-5444-8585-28A7843CD5AA}" name="PivotTable5" cacheId="4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A4:B5" firstHeaderRow="1" firstDataRow="1" firstDataCol="1" rowPageCount="1" colPageCount="1"/>
  <pivotFields count="15">
    <pivotField axis="axisRow" showAll="0">
      <items count="71">
        <item x="56"/>
        <item x="64"/>
        <item x="57"/>
        <item x="65"/>
        <item x="25"/>
        <item x="34"/>
        <item x="36"/>
        <item x="30"/>
        <item x="21"/>
        <item x="52"/>
        <item x="13"/>
        <item x="44"/>
        <item x="14"/>
        <item x="22"/>
        <item x="16"/>
        <item x="29"/>
        <item x="2"/>
        <item x="8"/>
        <item x="51"/>
        <item x="20"/>
        <item x="26"/>
        <item x="35"/>
        <item x="19"/>
        <item x="6"/>
        <item x="61"/>
        <item x="4"/>
        <item x="43"/>
        <item x="11"/>
        <item x="54"/>
        <item x="33"/>
        <item x="38"/>
        <item x="39"/>
        <item x="63"/>
        <item x="17"/>
        <item x="55"/>
        <item x="0"/>
        <item x="1"/>
        <item m="1" x="67"/>
        <item x="46"/>
        <item x="45"/>
        <item x="24"/>
        <item x="18"/>
        <item x="50"/>
        <item x="58"/>
        <item x="59"/>
        <item x="7"/>
        <item x="47"/>
        <item x="31"/>
        <item x="53"/>
        <item x="48"/>
        <item x="23"/>
        <item x="27"/>
        <item x="32"/>
        <item x="37"/>
        <item x="49"/>
        <item m="1" x="68"/>
        <item m="1" x="69"/>
        <item x="3"/>
        <item x="9"/>
        <item x="60"/>
        <item x="28"/>
        <item x="10"/>
        <item x="66"/>
        <item x="62"/>
        <item x="40"/>
        <item x="41"/>
        <item x="42"/>
        <item x="12"/>
        <item x="15"/>
        <item x="5"/>
        <item t="default"/>
      </items>
    </pivotField>
    <pivotField showAll="0"/>
    <pivotField showAll="0"/>
    <pivotField axis="axisPage" multipleItemSelectionAllowed="1" showAll="0">
      <items count="49">
        <item h="1" x="10"/>
        <item h="1" x="15"/>
        <item h="1" x="17"/>
        <item h="1" x="5"/>
        <item h="1" x="7"/>
        <item h="1" m="1" x="18"/>
        <item h="1" x="6"/>
        <item h="1" x="12"/>
        <item h="1" x="14"/>
        <item h="1" m="1" x="36"/>
        <item h="1" x="3"/>
        <item h="1" x="8"/>
        <item h="1" x="9"/>
        <item h="1" m="1" x="41"/>
        <item h="1" m="1" x="42"/>
        <item h="1" x="13"/>
        <item h="1" x="0"/>
        <item m="1" x="23"/>
        <item h="1" m="1" x="45"/>
        <item h="1" m="1" x="47"/>
        <item h="1" x="1"/>
        <item h="1" m="1" x="39"/>
        <item h="1" x="4"/>
        <item h="1" m="1" x="44"/>
        <item h="1" m="1" x="46"/>
        <item h="1" x="2"/>
        <item h="1" m="1" x="40"/>
        <item h="1" x="11"/>
        <item h="1" m="1" x="34"/>
        <item h="1" m="1" x="21"/>
        <item h="1" m="1" x="31"/>
        <item h="1" m="1" x="33"/>
        <item h="1" m="1" x="22"/>
        <item h="1" m="1" x="20"/>
        <item h="1" m="1" x="26"/>
        <item h="1" m="1" x="27"/>
        <item h="1" m="1" x="19"/>
        <item h="1" x="16"/>
        <item h="1" m="1" x="43"/>
        <item h="1" m="1" x="24"/>
        <item h="1" m="1" x="25"/>
        <item h="1" m="1" x="28"/>
        <item h="1" m="1" x="29"/>
        <item h="1" m="1" x="30"/>
        <item h="1" m="1" x="32"/>
        <item h="1" m="1" x="35"/>
        <item h="1" m="1" x="37"/>
        <item h="1" m="1" x="38"/>
        <item t="default"/>
      </items>
    </pivotField>
    <pivotField axis="axisRow" showAll="0" sortType="ascending">
      <items count="2742">
        <item m="1" x="956"/>
        <item m="1" x="1464"/>
        <item m="1" x="2141"/>
        <item m="1" x="272"/>
        <item m="1" x="870"/>
        <item m="1" x="575"/>
        <item m="1" x="2057"/>
        <item m="1" x="1442"/>
        <item m="1" x="361"/>
        <item m="1" x="118"/>
        <item m="1" x="1346"/>
        <item m="1" x="725"/>
        <item m="1" x="1254"/>
        <item m="1" x="282"/>
        <item m="1" x="2036"/>
        <item m="1" x="2157"/>
        <item m="1" x="1796"/>
        <item m="1" x="951"/>
        <item m="1" x="1887"/>
        <item m="1" x="1870"/>
        <item m="1" x="2717"/>
        <item x="5"/>
        <item m="1" x="491"/>
        <item m="1" x="1549"/>
        <item m="1" x="1484"/>
        <item m="1" x="727"/>
        <item m="1" x="1288"/>
        <item m="1" x="1739"/>
        <item m="1" x="804"/>
        <item m="1" x="451"/>
        <item m="1" x="1888"/>
        <item x="12"/>
        <item m="1" x="2159"/>
        <item m="1" x="1623"/>
        <item m="1" x="2037"/>
        <item m="1" x="78"/>
        <item m="1" x="2611"/>
        <item m="1" x="1378"/>
        <item m="1" x="1556"/>
        <item m="1" x="959"/>
        <item m="1" x="177"/>
        <item m="1" x="2038"/>
        <item m="1" x="1737"/>
        <item m="1" x="2160"/>
        <item m="1" x="2161"/>
        <item m="1" x="357"/>
        <item m="1" x="1142"/>
        <item m="1" x="1003"/>
        <item m="1" x="2688"/>
        <item m="1" x="2162"/>
        <item m="1" x="1096"/>
        <item m="1" x="1016"/>
        <item m="1" x="2039"/>
        <item m="1" x="88"/>
        <item m="1" x="1738"/>
        <item m="1" x="2163"/>
        <item m="1" x="1459"/>
        <item m="1" x="2164"/>
        <item m="1" x="2153"/>
        <item m="1" x="89"/>
        <item m="1" x="2165"/>
        <item m="1" x="730"/>
        <item m="1" x="1630"/>
        <item m="1" x="1005"/>
        <item m="1" x="2166"/>
        <item m="1" x="1348"/>
        <item m="1" x="1006"/>
        <item m="1" x="731"/>
        <item m="1" x="1651"/>
        <item m="1" x="2167"/>
        <item m="1" x="1008"/>
        <item m="1" x="2168"/>
        <item m="1" x="1367"/>
        <item m="1" x="2146"/>
        <item m="1" x="90"/>
        <item m="1" x="2169"/>
        <item m="1" x="266"/>
        <item m="1" x="922"/>
        <item m="1" x="442"/>
        <item m="1" x="364"/>
        <item m="1" x="732"/>
        <item m="1" x="1555"/>
        <item m="1" x="2170"/>
        <item m="1" x="418"/>
        <item m="1" x="887"/>
        <item m="1" x="265"/>
        <item m="1" x="292"/>
        <item m="1" x="2171"/>
        <item m="1" x="68"/>
        <item m="1" x="521"/>
        <item m="1" x="616"/>
        <item m="1" x="2484"/>
        <item m="1" x="617"/>
        <item m="1" x="284"/>
        <item m="1" x="2172"/>
        <item m="1" x="2659"/>
        <item m="1" x="1617"/>
        <item m="1" x="1363"/>
        <item m="1" x="2173"/>
        <item m="1" x="232"/>
        <item m="1" x="2174"/>
        <item m="1" x="2175"/>
        <item m="1" x="2176"/>
        <item m="1" x="2040"/>
        <item m="1" x="562"/>
        <item m="1" x="1476"/>
        <item m="1" x="242"/>
        <item m="1" x="181"/>
        <item m="1" x="1465"/>
        <item m="1" x="2678"/>
        <item m="1" x="1482"/>
        <item m="1" x="815"/>
        <item m="1" x="1128"/>
        <item m="1" x="2489"/>
        <item m="1" x="2177"/>
        <item m="1" x="2385"/>
        <item m="1" x="1129"/>
        <item m="1" x="2178"/>
        <item m="1" x="2181"/>
        <item m="1" x="1012"/>
        <item m="1" x="890"/>
        <item m="1" x="2182"/>
        <item m="1" x="1874"/>
        <item m="1" x="2183"/>
        <item m="1" x="1727"/>
        <item m="1" x="2184"/>
        <item m="1" x="1408"/>
        <item m="1" x="238"/>
        <item m="1" x="2185"/>
        <item m="1" x="93"/>
        <item m="1" x="1041"/>
        <item m="1" x="734"/>
        <item m="1" x="1042"/>
        <item m="1" x="1309"/>
        <item m="1" x="1399"/>
        <item m="1" x="1547"/>
        <item m="1" x="2186"/>
        <item m="1" x="344"/>
        <item m="1" x="94"/>
        <item m="1" x="2187"/>
        <item m="1" x="2188"/>
        <item m="1" x="983"/>
        <item m="1" x="2041"/>
        <item m="1" x="547"/>
        <item m="1" x="1359"/>
        <item m="1" x="1303"/>
        <item m="1" x="1552"/>
        <item m="1" x="981"/>
        <item m="1" x="54"/>
        <item m="1" x="255"/>
        <item m="1" x="497"/>
        <item m="1" x="2190"/>
        <item m="1" x="2191"/>
        <item m="1" x="2192"/>
        <item m="1" x="2650"/>
        <item m="1" x="621"/>
        <item m="1" x="1045"/>
        <item m="1" x="880"/>
        <item m="1" x="1046"/>
        <item m="1" x="274"/>
        <item m="1" x="1047"/>
        <item m="1" x="2193"/>
        <item m="1" x="1049"/>
        <item m="1" x="1050"/>
        <item m="1" x="1962"/>
        <item m="1" x="735"/>
        <item m="1" x="2194"/>
        <item m="1" x="2083"/>
        <item m="1" x="2682"/>
        <item m="1" x="287"/>
        <item m="1" x="432"/>
        <item m="1" x="472"/>
        <item m="1" x="1868"/>
        <item m="1" x="419"/>
        <item m="1" x="2389"/>
        <item m="1" x="1052"/>
        <item m="1" x="1053"/>
        <item m="1" x="2618"/>
        <item m="1" x="2637"/>
        <item m="1" x="2641"/>
        <item m="1" x="366"/>
        <item m="1" x="296"/>
        <item m="1" x="1218"/>
        <item m="1" x="1151"/>
        <item m="1" x="620"/>
        <item m="1" x="1344"/>
        <item m="1" x="1203"/>
        <item m="1" x="2195"/>
        <item m="1" x="736"/>
        <item m="1" x="538"/>
        <item m="1" x="2196"/>
        <item m="1" x="1200"/>
        <item m="1" x="1873"/>
        <item m="1" x="1744"/>
        <item m="1" x="2197"/>
        <item m="1" x="1505"/>
        <item m="1" x="622"/>
        <item m="1" x="2261"/>
        <item m="1" x="2000"/>
        <item m="1" x="374"/>
        <item m="1" x="1741"/>
        <item m="1" x="1948"/>
        <item m="1" x="1056"/>
        <item m="1" x="304"/>
        <item m="1" x="498"/>
        <item m="1" x="737"/>
        <item m="1" x="2042"/>
        <item m="1" x="2198"/>
        <item m="1" x="1643"/>
        <item m="1" x="1475"/>
        <item m="1" x="738"/>
        <item m="1" x="1058"/>
        <item m="1" x="1863"/>
        <item m="1" x="2635"/>
        <item m="1" x="97"/>
        <item m="1" x="739"/>
        <item m="1" x="516"/>
        <item m="1" x="807"/>
        <item m="1" x="2651"/>
        <item m="1" x="2115"/>
        <item m="1" x="625"/>
        <item m="1" x="1978"/>
        <item m="1" x="2043"/>
        <item m="1" x="895"/>
        <item m="1" x="626"/>
        <item m="1" x="1063"/>
        <item m="1" x="1253"/>
        <item m="1" x="1393"/>
        <item m="1" x="1020"/>
        <item m="1" x="492"/>
        <item m="1" x="1804"/>
        <item m="1" x="2085"/>
        <item m="1" x="1900"/>
        <item m="1" x="1886"/>
        <item m="1" x="573"/>
        <item m="1" x="2638"/>
        <item m="1" x="628"/>
        <item m="1" x="2508"/>
        <item m="1" x="464"/>
        <item m="1" x="1224"/>
        <item m="1" x="2002"/>
        <item m="1" x="1500"/>
        <item m="1" x="2199"/>
        <item m="1" x="448"/>
        <item m="1" x="412"/>
        <item m="1" x="98"/>
        <item m="1" x="1575"/>
        <item m="1" x="2601"/>
        <item m="1" x="1508"/>
        <item m="1" x="741"/>
        <item m="1" x="2200"/>
        <item m="1" x="175"/>
        <item m="1" x="1349"/>
        <item m="1" x="1622"/>
        <item m="1" x="2080"/>
        <item m="1" x="806"/>
        <item m="1" x="1981"/>
        <item m="1" x="594"/>
        <item m="1" x="2201"/>
        <item m="1" x="1947"/>
        <item m="1" x="1069"/>
        <item sd="0" m="1" x="47"/>
        <item m="1" x="1382"/>
        <item m="1" x="1701"/>
        <item m="1" x="2681"/>
        <item m="1" x="1355"/>
        <item m="1" x="2202"/>
        <item m="1" x="1364"/>
        <item m="1" x="743"/>
        <item m="1" x="1072"/>
        <item m="1" x="1327"/>
        <item m="1" x="1240"/>
        <item m="1" x="250"/>
        <item m="1" x="2704"/>
        <item sd="0" m="1" x="301"/>
        <item sd="0" m="1" x="2726"/>
        <item m="1" x="2572"/>
        <item m="1" x="744"/>
        <item m="1" x="2018"/>
        <item m="1" x="1073"/>
        <item m="1" x="745"/>
        <item m="1" x="746"/>
        <item m="1" x="2204"/>
        <item m="1" x="1137"/>
        <item m="1" x="2205"/>
        <item m="1" x="529"/>
        <item m="1" x="577"/>
        <item m="1" x="215"/>
        <item m="1" x="499"/>
        <item m="1" x="1418"/>
        <item m="1" x="1940"/>
        <item m="1" x="474"/>
        <item m="1" x="986"/>
        <item m="1" x="72"/>
        <item m="1" x="1388"/>
        <item m="1" x="2206"/>
        <item m="1" x="99"/>
        <item m="1" x="1330"/>
        <item m="1" x="1237"/>
        <item m="1" x="1282"/>
        <item m="1" x="1294"/>
        <item m="1" x="2207"/>
        <item m="1" x="2208"/>
        <item m="1" x="811"/>
        <item m="1" x="747"/>
        <item m="1" x="1310"/>
        <item m="1" x="2081"/>
        <item m="1" x="1771"/>
        <item m="1" x="449"/>
        <item m="1" x="1341"/>
        <item m="1" x="1878"/>
        <item m="1" x="159"/>
        <item m="1" x="576"/>
        <item m="1" x="551"/>
        <item m="1" x="2209"/>
        <item m="1" x="2003"/>
        <item m="1" x="1078"/>
        <item m="1" x="2210"/>
        <item m="1" x="1453"/>
        <item m="1" x="1935"/>
        <item m="1" x="251"/>
        <item m="1" x="1574"/>
        <item m="1" x="1306"/>
        <item m="1" x="1905"/>
        <item m="1" x="1652"/>
        <item m="1" x="313"/>
        <item sd="0" m="1" x="631"/>
        <item m="1" x="1079"/>
        <item m="1" x="526"/>
        <item m="1" x="1757"/>
        <item m="1" x="2211"/>
        <item m="1" x="1037"/>
        <item m="1" x="561"/>
        <item m="1" x="926"/>
        <item m="1" x="2577"/>
        <item m="1" x="2212"/>
        <item m="1" x="1360"/>
        <item m="1" x="2086"/>
        <item m="1" x="1377"/>
        <item m="1" x="2213"/>
        <item m="1" x="100"/>
        <item m="1" x="476"/>
        <item m="1" x="1336"/>
        <item m="1" x="1907"/>
        <item m="1" x="1956"/>
        <item m="1" x="1909"/>
        <item m="1" x="452"/>
        <item m="1" x="109"/>
        <item m="1" x="399"/>
        <item m="1" x="1083"/>
        <item m="1" x="2214"/>
        <item m="1" x="1085"/>
        <item m="1" x="748"/>
        <item m="1" x="2215"/>
        <item m="1" x="2589"/>
        <item m="1" x="1087"/>
        <item m="1" x="254"/>
        <item m="1" x="2563"/>
        <item m="1" x="749"/>
        <item m="1" x="1088"/>
        <item m="1" x="2581"/>
        <item m="1" x="81"/>
        <item m="1" x="1095"/>
        <item m="1" x="158"/>
        <item m="1" x="950"/>
        <item m="1" x="979"/>
        <item m="1" x="1098"/>
        <item sd="0" m="1" x="2571"/>
        <item m="1" x="1084"/>
        <item x="38"/>
        <item m="1" x="2630"/>
        <item m="1" x="103"/>
        <item m="1" x="2716"/>
        <item m="1" x="633"/>
        <item m="1" x="1438"/>
        <item m="1" x="1147"/>
        <item m="1" x="1520"/>
        <item m="1" x="1149"/>
        <item m="1" x="102"/>
        <item m="1" x="1091"/>
        <item m="1" x="115"/>
        <item sd="0" m="1" x="116"/>
        <item m="1" x="1152"/>
        <item m="1" x="618"/>
        <item m="1" x="1380"/>
        <item m="1" x="117"/>
        <item m="1" x="649"/>
        <item m="1" x="648"/>
        <item m="1" x="1089"/>
        <item m="1" x="2670"/>
        <item m="1" x="2216"/>
        <item m="1" x="1090"/>
        <item m="1" x="2004"/>
        <item m="1" x="1021"/>
        <item m="1" x="523"/>
        <item m="1" x="578"/>
        <item m="1" x="1764"/>
        <item m="1" x="908"/>
        <item m="1" x="2560"/>
        <item m="1" x="1803"/>
        <item m="1" x="2242"/>
        <item m="1" x="49"/>
        <item m="1" x="2044"/>
        <item m="1" x="1397"/>
        <item m="1" x="2649"/>
        <item m="1" x="2217"/>
        <item m="1" x="1163"/>
        <item m="1" x="148"/>
        <item m="1" x="2596"/>
        <item m="1" x="167"/>
        <item m="1" x="970"/>
        <item m="1" x="1094"/>
        <item m="1" x="2218"/>
        <item m="1" x="1898"/>
        <item m="1" x="2219"/>
        <item m="1" x="883"/>
        <item m="1" x="873"/>
        <item m="1" x="2600"/>
        <item m="1" x="2380"/>
        <item m="1" x="1932"/>
        <item m="1" x="1062"/>
        <item m="1" x="2220"/>
        <item m="1" x="1952"/>
        <item m="1" x="1082"/>
        <item m="1" x="1289"/>
        <item sd="0" m="1" x="2721"/>
        <item m="1" x="106"/>
        <item m="1" x="360"/>
        <item m="1" x="1998"/>
        <item m="1" x="2339"/>
        <item m="1" x="2667"/>
        <item m="1" x="545"/>
        <item m="1" x="2087"/>
        <item m="1" x="751"/>
        <item m="1" x="107"/>
        <item m="1" x="509"/>
        <item m="1" x="259"/>
        <item m="1" x="1097"/>
        <item m="1" x="1080"/>
        <item x="10"/>
        <item m="1" x="2559"/>
        <item m="1" x="1621"/>
        <item m="1" x="753"/>
        <item m="1" x="331"/>
        <item m="1" x="932"/>
        <item x="22"/>
        <item x="1"/>
        <item m="1" x="2221"/>
        <item m="1" x="2222"/>
        <item m="1" x="369"/>
        <item m="1" x="453"/>
        <item m="1" x="58"/>
        <item m="1" x="437"/>
        <item m="1" x="1687"/>
        <item m="1" x="1099"/>
        <item m="1" x="2224"/>
        <item m="1" x="2045"/>
        <item m="1" x="2608"/>
        <item m="1" x="1783"/>
        <item m="1" x="1885"/>
        <item m="1" x="636"/>
        <item m="1" x="108"/>
        <item m="1" x="52"/>
        <item m="1" x="1103"/>
        <item x="18"/>
        <item m="1" x="1993"/>
        <item m="1" x="2016"/>
        <item m="1" x="1911"/>
        <item m="1" x="593"/>
        <item m="1" x="754"/>
        <item m="1" x="755"/>
        <item m="1" x="407"/>
        <item m="1" x="356"/>
        <item m="1" x="1104"/>
        <item m="1" x="2225"/>
        <item m="1" x="1105"/>
        <item m="1" x="756"/>
        <item m="1" x="2158"/>
        <item m="1" x="752"/>
        <item m="1" x="2046"/>
        <item m="1" x="2226"/>
        <item m="1" x="1913"/>
        <item m="1" x="2150"/>
        <item m="1" x="919"/>
        <item m="1" x="2020"/>
        <item m="1" x="208"/>
        <item m="1" x="1708"/>
        <item m="1" x="1111"/>
        <item m="1" x="454"/>
        <item m="1" x="1112"/>
        <item m="1" x="309"/>
        <item m="1" x="1869"/>
        <item m="1" x="302"/>
        <item m="1" x="852"/>
        <item m="1" x="1205"/>
        <item m="1" x="1113"/>
        <item m="1" x="713"/>
        <item m="1" x="638"/>
        <item m="1" x="1210"/>
        <item m="1" x="1070"/>
        <item m="1" x="1805"/>
        <item m="1" x="1806"/>
        <item m="1" x="216"/>
        <item m="1" x="1809"/>
        <item m="1" x="875"/>
        <item m="1" x="2669"/>
        <item m="1" x="1126"/>
        <item m="1" x="110"/>
        <item m="1" x="1054"/>
        <item m="1" x="1830"/>
        <item m="1" x="1832"/>
        <item m="1" x="1818"/>
        <item m="1" x="1106"/>
        <item x="19"/>
        <item m="1" x="1043"/>
        <item m="1" x="1712"/>
        <item x="33"/>
        <item m="1" x="1615"/>
        <item m="1" x="1810"/>
        <item m="1" x="1114"/>
        <item m="1" x="1143"/>
        <item m="1" x="1535"/>
        <item m="1" x="1812"/>
        <item m="1" x="2088"/>
        <item m="1" x="1813"/>
        <item m="1" x="111"/>
        <item m="1" x="2228"/>
        <item m="1" x="1000"/>
        <item m="1" x="2229"/>
        <item m="1" x="2578"/>
        <item m="1" x="2230"/>
        <item m="1" x="1030"/>
        <item m="1" x="2564"/>
        <item m="1" x="946"/>
        <item m="1" x="2231"/>
        <item m="1" x="50"/>
        <item m="1" x="378"/>
        <item m="1" x="2232"/>
        <item m="1" x="2456"/>
        <item m="1" x="276"/>
        <item m="1" x="758"/>
        <item m="1" x="1010"/>
        <item m="1" x="1120"/>
        <item m="1" x="900"/>
        <item m="1" x="2663"/>
        <item m="1" x="2233"/>
        <item m="1" x="1015"/>
        <item m="1" x="1026"/>
        <item m="1" x="641"/>
        <item m="1" x="642"/>
        <item m="1" x="597"/>
        <item m="1" x="2606"/>
        <item m="1" x="643"/>
        <item m="1" x="1918"/>
        <item m="1" x="635"/>
        <item m="1" x="1123"/>
        <item m="1" x="2234"/>
        <item m="1" x="112"/>
        <item m="1" x="1742"/>
        <item m="1" x="878"/>
        <item m="1" x="2235"/>
        <item m="1" x="1984"/>
        <item m="1" x="2007"/>
        <item m="1" x="2236"/>
        <item m="1" x="759"/>
        <item m="1" x="933"/>
        <item m="1" x="436"/>
        <item m="1" x="2664"/>
        <item m="1" x="2078"/>
        <item m="1" x="1775"/>
        <item m="1" x="2586"/>
        <item m="1" x="475"/>
        <item m="1" x="1109"/>
        <item m="1" x="2674"/>
        <item m="1" x="2657"/>
        <item m="1" x="1700"/>
        <item m="1" x="539"/>
        <item m="1" x="455"/>
        <item m="1" x="952"/>
        <item m="1" x="315"/>
        <item m="1" x="408"/>
        <item m="1" x="867"/>
        <item m="1" x="2506"/>
        <item m="1" x="114"/>
        <item m="1" x="2237"/>
        <item m="1" x="1402"/>
        <item m="1" x="164"/>
        <item m="1" x="645"/>
        <item m="1" x="1638"/>
        <item m="1" x="1139"/>
        <item m="1" x="1146"/>
        <item m="1" x="554"/>
        <item m="1" x="2634"/>
        <item m="1" x="994"/>
        <item m="1" x="2465"/>
        <item m="1" x="1406"/>
        <item m="1" x="1236"/>
        <item m="1" x="1959"/>
        <item m="1" x="1247"/>
        <item m="1" x="1481"/>
        <item m="1" x="1876"/>
        <item m="1" x="1141"/>
        <item m="1" x="1065"/>
        <item m="1" x="646"/>
        <item sd="0" m="1" x="2731"/>
        <item m="1" x="1573"/>
        <item m="1" x="647"/>
        <item m="1" x="2239"/>
        <item m="1" x="126"/>
        <item m="1" x="96"/>
        <item m="1" x="1329"/>
        <item m="1" x="760"/>
        <item m="1" x="1270"/>
        <item m="1" x="2558"/>
        <item m="1" x="869"/>
        <item m="1" x="1145"/>
        <item m="1" x="1510"/>
        <item x="20"/>
        <item m="1" x="1175"/>
        <item m="1" x="1795"/>
        <item m="1" x="1124"/>
        <item m="1" x="1802"/>
        <item sd="0" x="7"/>
        <item x="37"/>
        <item m="1" x="1298"/>
        <item m="1" x="1339"/>
        <item m="1" x="1816"/>
        <item m="1" x="1762"/>
        <item m="1" x="1532"/>
        <item m="1" x="2240"/>
        <item m="1" x="871"/>
        <item m="1" x="2718"/>
        <item m="1" x="91"/>
        <item m="1" x="2241"/>
        <item m="1" x="2030"/>
        <item m="1" x="1672"/>
        <item m="1" x="761"/>
        <item m="1" x="2089"/>
        <item m="1" x="2227"/>
        <item m="1" x="762"/>
        <item m="1" x="1148"/>
        <item m="1" x="316"/>
        <item m="1" x="2633"/>
        <item m="1" x="1242"/>
        <item m="1" x="260"/>
        <item m="1" x="1412"/>
        <item m="1" x="1384"/>
        <item m="1" x="763"/>
        <item m="1" x="1682"/>
        <item m="1" x="385"/>
        <item m="1" x="591"/>
        <item m="1" x="1565"/>
        <item m="1" x="2243"/>
        <item m="1" x="1153"/>
        <item m="1" x="500"/>
        <item m="1" x="2552"/>
        <item m="1" x="217"/>
        <item m="1" x="1229"/>
        <item m="1" x="373"/>
        <item m="1" x="433"/>
        <item m="1" x="2632"/>
        <item m="1" x="1092"/>
        <item m="1" x="1241"/>
        <item m="1" x="1743"/>
        <item sd="0" m="1" x="244"/>
        <item m="1" x="444"/>
        <item m="1" x="2047"/>
        <item m="1" x="1403"/>
        <item m="1" x="1644"/>
        <item m="1" x="1158"/>
        <item m="1" x="1612"/>
        <item m="1" x="372"/>
        <item m="1" x="2588"/>
        <item m="1" x="1872"/>
        <item m="1" x="1478"/>
        <item m="1" x="2244"/>
        <item m="1" x="1865"/>
        <item m="1" x="319"/>
        <item m="1" x="303"/>
        <item m="1" x="1879"/>
        <item m="1" x="2351"/>
        <item m="1" x="1875"/>
        <item sd="0" m="1" x="2090"/>
        <item m="1" x="2245"/>
        <item m="1" x="2072"/>
        <item m="1" x="2374"/>
        <item m="1" x="2091"/>
        <item m="1" x="311"/>
        <item m="1" x="2246"/>
        <item m="1" x="2247"/>
        <item m="1" x="333"/>
        <item m="1" x="765"/>
        <item m="1" x="1318"/>
        <item m="1" x="2248"/>
        <item m="1" x="1276"/>
        <item m="1" x="650"/>
        <item m="1" x="2557"/>
        <item m="1" x="997"/>
        <item m="1" x="1130"/>
        <item m="1" x="2249"/>
        <item m="1" x="1362"/>
        <item m="1" x="1836"/>
        <item m="1" x="131"/>
        <item m="1" x="202"/>
        <item m="1" x="2250"/>
        <item m="1" x="321"/>
        <item m="1" x="146"/>
        <item m="1" x="2697"/>
        <item m="1" x="652"/>
        <item m="1" x="740"/>
        <item m="1" x="920"/>
        <item m="1" x="291"/>
        <item m="1" x="1170"/>
        <item m="1" x="513"/>
        <item m="1" x="2251"/>
        <item m="1" x="1899"/>
        <item m="1" x="766"/>
        <item sd="0" m="1" x="456"/>
        <item m="1" x="1171"/>
        <item m="1" x="2687"/>
        <item m="1" x="1172"/>
        <item m="1" x="1439"/>
        <item m="1" x="2252"/>
        <item m="1" x="1544"/>
        <item m="1" x="2143"/>
        <item m="1" x="653"/>
        <item m="1" x="615"/>
        <item m="1" x="2615"/>
        <item m="1" x="550"/>
        <item m="1" x="1174"/>
        <item m="1" x="2253"/>
        <item m="1" x="2254"/>
        <item sd="0" m="1" x="445"/>
        <item m="1" x="290"/>
        <item m="1" x="1305"/>
        <item m="1" x="1930"/>
        <item m="1" x="767"/>
        <item m="1" x="992"/>
        <item m="1" x="2565"/>
        <item m="1" x="2658"/>
        <item m="1" x="1915"/>
        <item m="1" x="1221"/>
        <item m="1" x="411"/>
        <item m="1" x="2257"/>
        <item m="1" x="1211"/>
        <item m="1" x="2258"/>
        <item m="1" x="1931"/>
        <item m="1" x="84"/>
        <item m="1" x="1745"/>
        <item m="1" x="1135"/>
        <item m="1" x="2092"/>
        <item m="1" x="654"/>
        <item m="1" x="1413"/>
        <item m="1" x="1131"/>
        <item m="1" x="1215"/>
        <item m="1" x="947"/>
        <item m="1" x="1668"/>
        <item m="1" x="1179"/>
        <item m="1" x="85"/>
        <item m="1" x="553"/>
        <item m="1" x="768"/>
        <item m="1" x="1194"/>
        <item sd="0" x="31"/>
        <item m="1" x="1140"/>
        <item m="1" x="655"/>
        <item m="1" x="233"/>
        <item m="1" x="769"/>
        <item x="27"/>
        <item m="1" x="1627"/>
        <item m="1" x="945"/>
        <item m="1" x="1746"/>
        <item m="1" x="322"/>
        <item m="1" x="1747"/>
        <item m="1" x="1664"/>
        <item m="1" x="1515"/>
        <item m="1" x="1600"/>
        <item m="1" x="1181"/>
        <item m="1" x="1877"/>
        <item m="1" x="2073"/>
        <item m="1" x="891"/>
        <item m="1" x="574"/>
        <item m="1" x="2262"/>
        <item m="1" x="1748"/>
        <item m="1" x="570"/>
        <item m="1" x="2093"/>
        <item m="1" x="2263"/>
        <item m="1" x="1183"/>
        <item m="1" x="2642"/>
        <item m="1" x="171"/>
        <item sd="0" m="1" x="256"/>
        <item m="1" x="1405"/>
        <item m="1" x="1531"/>
        <item m="1" x="488"/>
        <item m="1" x="443"/>
        <item m="1" x="122"/>
        <item m="1" x="1186"/>
        <item m="1" x="2264"/>
        <item m="1" x="326"/>
        <item m="1" x="2265"/>
        <item m="1" x="327"/>
        <item m="1" x="978"/>
        <item m="1" x="2266"/>
        <item m="1" x="248"/>
        <item m="1" x="534"/>
        <item m="1" x="1506"/>
        <item m="1" x="2077"/>
        <item m="1" x="1498"/>
        <item m="1" x="1287"/>
        <item m="1" x="156"/>
        <item m="1" x="394"/>
        <item m="1" x="1361"/>
        <item m="1" x="1592"/>
        <item m="1" x="1492"/>
        <item m="1" x="1468"/>
        <item m="1" x="2580"/>
        <item m="1" x="1568"/>
        <item m="1" x="2026"/>
        <item m="1" x="664"/>
        <item m="1" x="1955"/>
        <item m="1" x="2267"/>
        <item m="1" x="295"/>
        <item m="1" x="1191"/>
        <item m="1" x="1729"/>
        <item m="1" x="771"/>
        <item m="1" x="1195"/>
        <item m="1" x="1571"/>
        <item m="1" x="2094"/>
        <item m="1" x="2015"/>
        <item m="1" x="2524"/>
        <item m="1" x="2271"/>
        <item m="1" x="1789"/>
        <item m="1" x="306"/>
        <item m="1" x="1954"/>
        <item m="1" x="865"/>
        <item m="1" x="1835"/>
        <item m="1" x="801"/>
        <item m="1" x="1790"/>
        <item m="1" x="2272"/>
        <item m="1" x="1774"/>
        <item m="1" x="1653"/>
        <item m="1" x="1441"/>
        <item m="1" x="2095"/>
        <item m="1" x="2274"/>
        <item m="1" x="1793"/>
        <item m="1" x="990"/>
        <item m="1" x="2273"/>
        <item m="1" x="1819"/>
        <item m="1" x="2275"/>
        <item m="1" x="2076"/>
        <item m="1" x="2276"/>
        <item m="1" x="1204"/>
        <item m="1" x="1526"/>
        <item m="1" x="2145"/>
        <item m="1" x="1503"/>
        <item m="1" x="560"/>
        <item m="1" x="1550"/>
        <item m="1" x="872"/>
        <item m="1" x="2277"/>
        <item m="1" x="1425"/>
        <item m="1" x="1340"/>
        <item m="1" x="1167"/>
        <item m="1" x="2278"/>
        <item m="1" x="2279"/>
        <item m="1" x="772"/>
        <item m="1" x="728"/>
        <item m="1" x="658"/>
        <item m="1" x="1176"/>
        <item m="1" x="1315"/>
        <item m="1" x="2096"/>
        <item m="1" x="123"/>
        <item m="1" x="1337"/>
        <item m="1" x="270"/>
        <item m="1" x="2280"/>
        <item m="1" x="125"/>
        <item m="1" x="2074"/>
        <item m="1" x="2281"/>
        <item m="1" x="2282"/>
        <item m="1" x="659"/>
        <item m="1" x="1450"/>
        <item m="1" x="2283"/>
        <item m="1" x="925"/>
        <item m="1" x="1470"/>
        <item m="1" x="1209"/>
        <item m="1" x="660"/>
        <item m="1" x="2550"/>
        <item m="1" x="2648"/>
        <item m="1" x="2345"/>
        <item m="1" x="2097"/>
        <item m="1" x="2048"/>
        <item x="0"/>
        <item m="1" x="1497"/>
        <item m="1" x="2627"/>
        <item m="1" x="1763"/>
        <item m="1" x="1212"/>
        <item m="1" x="410"/>
        <item m="1" x="1961"/>
        <item m="1" x="917"/>
        <item m="1" x="988"/>
        <item m="1" x="1197"/>
        <item m="1" x="2284"/>
        <item m="1" x="1213"/>
        <item m="1" x="773"/>
        <item m="1" x="1214"/>
        <item m="1" x="1686"/>
        <item m="1" x="218"/>
        <item m="1" x="1509"/>
        <item m="1" x="724"/>
        <item m="1" x="1557"/>
        <item m="1" x="330"/>
        <item m="1" x="1216"/>
        <item m="1" x="457"/>
        <item m="1" x="1162"/>
        <item m="1" x="2285"/>
        <item m="1" x="2155"/>
        <item m="1" x="2286"/>
        <item m="1" x="2579"/>
        <item m="1" x="1219"/>
        <item m="1" x="2287"/>
        <item m="1" x="2098"/>
        <item m="1" x="2288"/>
        <item m="1" x="1466"/>
        <item m="1" x="2612"/>
        <item m="1" x="2049"/>
        <item m="1" x="176"/>
        <item m="1" x="1749"/>
        <item m="1" x="1455"/>
        <item m="1" x="458"/>
        <item m="1" x="1933"/>
        <item m="1" x="1658"/>
        <item m="1" x="775"/>
        <item m="1" x="459"/>
        <item m="1" x="129"/>
        <item m="1" x="219"/>
        <item m="1" x="2180"/>
        <item m="1" x="750"/>
        <item m="1" x="1044"/>
        <item m="1" x="661"/>
        <item m="1" x="663"/>
        <item m="1" x="809"/>
        <item m="1" x="130"/>
        <item m="1" x="585"/>
        <item m="1" x="1624"/>
        <item m="1" x="943"/>
        <item m="1" x="80"/>
        <item m="1" x="1817"/>
        <item m="1" x="2289"/>
        <item m="1" x="1997"/>
        <item m="1" x="960"/>
        <item m="1" x="665"/>
        <item m="1" x="505"/>
        <item m="1" x="2100"/>
        <item m="1" x="332"/>
        <item m="1" x="776"/>
        <item m="1" x="2290"/>
        <item m="1" x="2291"/>
        <item m="1" x="1169"/>
        <item m="1" x="1022"/>
        <item m="1" x="2101"/>
        <item m="1" x="2710"/>
        <item m="1" x="2292"/>
        <item m="1" x="182"/>
        <item m="1" x="48"/>
        <item m="1" x="2269"/>
        <item m="1" x="607"/>
        <item m="1" x="2388"/>
        <item m="1" x="252"/>
        <item m="1" x="2692"/>
        <item m="1" x="320"/>
        <item m="1" x="863"/>
        <item m="1" x="2293"/>
        <item m="1" x="1436"/>
        <item m="1" x="2102"/>
        <item m="1" x="376"/>
        <item m="1" x="2513"/>
        <item m="1" x="359"/>
        <item m="1" x="2147"/>
        <item m="1" x="2154"/>
        <item m="1" x="662"/>
        <item m="1" x="334"/>
        <item m="1" x="235"/>
        <item m="1" x="2103"/>
        <item m="1" x="76"/>
        <item m="1" x="1919"/>
        <item m="1" x="405"/>
        <item m="1" x="2534"/>
        <item m="1" x="2104"/>
        <item m="1" x="2294"/>
        <item m="1" x="1972"/>
        <item m="1" x="1228"/>
        <item m="1" x="1788"/>
        <item x="46"/>
        <item m="1" x="1189"/>
        <item m="1" x="462"/>
        <item m="1" x="1901"/>
        <item m="1" x="777"/>
        <item m="1" x="2592"/>
        <item m="1" x="335"/>
        <item m="1" x="2295"/>
        <item m="1" x="2296"/>
        <item m="1" x="612"/>
        <item m="1" x="1027"/>
        <item m="1" x="363"/>
        <item m="1" x="1750"/>
        <item m="1" x="1230"/>
        <item m="1" x="1799"/>
        <item m="1" x="1231"/>
        <item m="1" x="2297"/>
        <item m="1" x="1936"/>
        <item m="1" x="579"/>
        <item m="1" x="220"/>
        <item m="1" x="666"/>
        <item m="1" x="391"/>
        <item m="1" x="2724"/>
        <item m="1" x="2701"/>
        <item m="1" x="2656"/>
        <item m="1" x="778"/>
        <item m="1" x="1675"/>
        <item m="1" x="2298"/>
        <item m="1" x="53"/>
        <item m="1" x="1820"/>
        <item m="1" x="1232"/>
        <item m="1" x="1853"/>
        <item m="1" x="1469"/>
        <item m="1" x="61"/>
        <item m="1" x="1884"/>
        <item m="1" x="1941"/>
        <item m="1" x="623"/>
        <item m="1" x="2386"/>
        <item m="1" x="1263"/>
        <item m="1" x="1971"/>
        <item m="1" x="1039"/>
        <item m="1" x="1233"/>
        <item m="1" x="530"/>
        <item m="1" x="1892"/>
        <item m="1" x="2300"/>
        <item m="1" x="1165"/>
        <item m="1" x="1507"/>
        <item m="1" x="779"/>
        <item m="1" x="2645"/>
        <item m="1" x="2106"/>
        <item m="1" x="358"/>
        <item m="1" x="2301"/>
        <item m="1" x="1386"/>
        <item m="1" x="1822"/>
        <item m="1" x="1235"/>
        <item m="1" x="318"/>
        <item m="1" x="2302"/>
        <item m="1" x="1009"/>
        <item m="1" x="1108"/>
        <item m="1" x="2303"/>
        <item m="1" x="2304"/>
        <item m="1" x="1437"/>
        <item m="1" x="581"/>
        <item m="1" x="1100"/>
        <item m="1" x="1071"/>
        <item m="1" x="2305"/>
        <item m="1" x="370"/>
        <item m="1" x="1259"/>
        <item m="1" x="59"/>
        <item m="1" x="1683"/>
        <item m="1" x="336"/>
        <item m="1" x="60"/>
        <item m="1" x="337"/>
        <item m="1" x="2306"/>
        <item m="1" x="1245"/>
        <item m="1" x="2307"/>
        <item m="1" x="268"/>
        <item m="1" x="512"/>
        <item m="1" x="1177"/>
        <item m="1" x="868"/>
        <item m="1" x="667"/>
        <item m="1" x="1516"/>
        <item m="1" x="494"/>
        <item m="1" x="1238"/>
        <item m="1" x="388"/>
        <item m="1" x="283"/>
        <item m="1" x="104"/>
        <item m="1" x="1513"/>
        <item m="1" x="2107"/>
        <item m="1" x="1539"/>
        <item m="1" x="537"/>
        <item m="1" x="1752"/>
        <item m="1" x="101"/>
        <item m="1" x="195"/>
        <item m="1" x="338"/>
        <item m="1" x="668"/>
        <item m="1" x="1193"/>
        <item m="1" x="438"/>
        <item m="1" x="221"/>
        <item x="32"/>
        <item m="1" x="2309"/>
        <item m="1" x="2310"/>
        <item m="1" x="1679"/>
        <item m="1" x="2311"/>
        <item m="1" x="948"/>
        <item m="1" x="1928"/>
        <item m="1" x="1551"/>
        <item m="1" x="288"/>
        <item m="1" x="273"/>
        <item m="1" x="1711"/>
        <item m="1" x="185"/>
        <item m="1" x="1461"/>
        <item m="1" x="1239"/>
        <item m="1" x="1937"/>
        <item m="1" x="903"/>
        <item m="1" x="692"/>
        <item m="1" x="506"/>
        <item m="1" x="2312"/>
        <item m="1" x="2313"/>
        <item m="1" x="669"/>
        <item m="1" x="876"/>
        <item m="1" x="2314"/>
        <item m="1" x="1244"/>
        <item m="1" x="2108"/>
        <item m="1" x="1420"/>
        <item m="1" x="2315"/>
        <item m="1" x="1992"/>
        <item m="1" x="826"/>
        <item m="1" x="2567"/>
        <item m="1" x="774"/>
        <item m="1" x="75"/>
        <item m="1" x="1246"/>
        <item m="1" x="2317"/>
        <item m="1" x="2318"/>
        <item m="1" x="672"/>
        <item m="1" x="2319"/>
        <item m="1" x="1645"/>
        <item m="1" x="2017"/>
        <item m="1" x="1248"/>
        <item m="1" x="1249"/>
        <item m="1" x="781"/>
        <item m="1" x="1250"/>
        <item m="1" x="1060"/>
        <item m="1" x="671"/>
        <item m="1" x="1252"/>
        <item m="1" x="1880"/>
        <item m="1" x="1286"/>
        <item x="6"/>
        <item m="1" x="348"/>
        <item m="1" x="2320"/>
        <item m="1" x="1243"/>
        <item m="1" x="354"/>
        <item m="1" x="2179"/>
        <item m="1" x="2321"/>
        <item m="1" x="1440"/>
        <item m="1" x="884"/>
        <item m="1" x="629"/>
        <item m="1" x="2152"/>
        <item m="1" x="764"/>
        <item m="1" x="782"/>
        <item m="1" x="2322"/>
        <item m="1" x="783"/>
        <item m="1" x="1371"/>
        <item m="1" x="2323"/>
        <item m="1" x="971"/>
        <item m="1" x="1304"/>
        <item m="1" x="2324"/>
        <item m="1" x="1921"/>
        <item m="1" x="368"/>
        <item m="1" x="279"/>
        <item m="1" x="57"/>
        <item m="1" x="2325"/>
        <item m="1" x="240"/>
        <item m="1" x="286"/>
        <item m="1" x="1589"/>
        <item m="1" x="1271"/>
        <item m="1" x="294"/>
        <item m="1" x="549"/>
        <item m="1" x="784"/>
        <item m="1" x="1602"/>
        <item m="1" x="2326"/>
        <item m="1" x="1546"/>
        <item m="1" x="1487"/>
        <item m="1" x="1419"/>
        <item m="1" x="281"/>
        <item m="1" x="566"/>
        <item m="1" x="341"/>
        <item m="1" x="2554"/>
        <item m="1" x="1740"/>
        <item m="1" x="460"/>
        <item m="1" x="1897"/>
        <item m="1" x="1255"/>
        <item m="1" x="785"/>
        <item m="1" x="786"/>
        <item m="1" x="2598"/>
        <item m="1" x="477"/>
        <item m="1" x="1753"/>
        <item m="1" x="2056"/>
        <item m="1" x="417"/>
        <item x="4"/>
        <item m="1" x="2075"/>
        <item m="1" x="1093"/>
        <item sd="0" m="1" x="2737"/>
        <item m="1" x="590"/>
        <item m="1" x="2707"/>
        <item m="1" x="1057"/>
        <item m="1" x="599"/>
        <item m="1" x="1654"/>
        <item m="1" x="1257"/>
        <item m="1" x="788"/>
        <item m="1" x="1754"/>
        <item m="1" x="536"/>
        <item m="1" x="1258"/>
        <item m="1" x="2327"/>
        <item m="1" x="789"/>
        <item m="1" x="567"/>
        <item m="1" x="2328"/>
        <item m="1" x="2329"/>
        <item m="1" x="439"/>
        <item m="1" x="406"/>
        <item m="1" x="269"/>
        <item m="1" x="1208"/>
        <item m="1" x="1261"/>
        <item m="1" x="1262"/>
        <item m="1" x="592"/>
        <item m="1" x="1522"/>
        <item m="1" x="791"/>
        <item m="1" x="1614"/>
        <item m="1" x="1871"/>
        <item m="1" x="2109"/>
        <item m="1" x="1825"/>
        <item m="1" x="559"/>
        <item m="1" x="1591"/>
        <item m="1" x="580"/>
        <item m="1" x="1369"/>
        <item m="1" x="548"/>
        <item m="1" x="1192"/>
        <item sd="0" m="1" x="2105"/>
        <item m="1" x="1256"/>
        <item m="1" x="673"/>
        <item m="1" x="899"/>
        <item m="1" x="1264"/>
        <item m="1" x="1265"/>
        <item m="1" x="1824"/>
        <item m="1" x="2110"/>
        <item x="8"/>
        <item m="1" x="511"/>
        <item m="1" x="546"/>
        <item m="1" x="64"/>
        <item m="1" x="1201"/>
        <item m="1" x="1266"/>
        <item m="1" x="792"/>
        <item m="1" x="1982"/>
        <item x="44"/>
        <item m="1" x="1577"/>
        <item m="1" x="1613"/>
        <item m="1" x="2330"/>
        <item m="1" x="793"/>
        <item m="1" x="2464"/>
        <item m="1" x="2084"/>
        <item m="1" x="794"/>
        <item m="1" x="583"/>
        <item m="1" x="1433"/>
        <item m="1" x="1640"/>
        <item m="1" x="2614"/>
        <item m="1" x="503"/>
        <item m="1" x="1267"/>
        <item m="1" x="1036"/>
        <item m="1" x="1302"/>
        <item m="1" x="1225"/>
        <item m="1" x="404"/>
        <item m="1" x="1251"/>
        <item m="1" x="2013"/>
        <item m="1" x="510"/>
        <item m="1" x="555"/>
        <item m="1" x="1671"/>
        <item m="1" x="1906"/>
        <item m="1" x="2111"/>
        <item m="1" x="1125"/>
        <item m="1" x="461"/>
        <item m="1" x="1351"/>
        <item m="1" x="518"/>
        <item m="1" x="2331"/>
        <item m="1" x="1368"/>
        <item m="1" x="222"/>
        <item m="1" x="2332"/>
        <item m="1" x="795"/>
        <item m="1" x="674"/>
        <item m="1" x="1132"/>
        <item m="1" x="584"/>
        <item m="1" x="1826"/>
        <item m="1" x="2605"/>
        <item m="1" x="1317"/>
        <item m="1" x="1980"/>
        <item m="1" x="1939"/>
        <item m="1" x="1272"/>
        <item m="1" x="675"/>
        <item m="1" x="676"/>
        <item m="1" x="1951"/>
        <item m="1" x="2625"/>
        <item x="13"/>
        <item m="1" x="1474"/>
        <item m="1" x="2333"/>
        <item m="1" x="1277"/>
        <item m="1" x="1572"/>
        <item m="1" x="1278"/>
        <item m="1" x="2334"/>
        <item m="1" x="2335"/>
        <item m="1" x="1784"/>
        <item m="1" x="300"/>
        <item m="1" x="1723"/>
        <item m="1" x="1279"/>
        <item m="1" x="1410"/>
        <item m="1" x="152"/>
        <item m="1" x="1594"/>
        <item m="1" x="277"/>
        <item m="1" x="1074"/>
        <item m="1" x="132"/>
        <item m="1" x="1934"/>
        <item m="1" x="236"/>
        <item m="1" x="1283"/>
        <item m="1" x="2337"/>
        <item m="1" x="426"/>
        <item m="1" x="1606"/>
        <item m="1" x="1966"/>
        <item m="1" x="2391"/>
        <item m="1" x="2338"/>
        <item m="1" x="1354"/>
        <item m="1" x="1463"/>
        <item m="1" x="2340"/>
        <item m="1" x="657"/>
        <item m="1" x="2668"/>
        <item m="1" x="906"/>
        <item m="1" x="2341"/>
        <item sd="0" m="1" x="2739"/>
        <item x="45"/>
        <item m="1" x="463"/>
        <item m="1" x="924"/>
        <item m="1" x="1925"/>
        <item m="1" x="2342"/>
        <item m="1" x="2343"/>
        <item m="1" x="2344"/>
        <item m="1" x="963"/>
        <item m="1" x="2033"/>
        <item m="1" x="2346"/>
        <item sd="0" m="1" x="2223"/>
        <item m="1" x="2715"/>
        <item m="1" x="2613"/>
        <item m="1" x="677"/>
        <item m="1" x="1598"/>
        <item m="1" x="2021"/>
        <item m="1" x="2347"/>
        <item m="1" x="2348"/>
        <item m="1" x="1297"/>
        <item m="1" x="343"/>
        <item m="1" x="2551"/>
        <item m="1" x="353"/>
        <item m="1" x="1964"/>
        <item m="1" x="441"/>
        <item m="1" x="2050"/>
        <item m="1" x="901"/>
        <item m="1" x="1499"/>
        <item m="1" x="450"/>
        <item m="1" x="2654"/>
        <item m="1" x="1646"/>
        <item m="1" x="2466"/>
        <item m="1" x="1860"/>
        <item m="1" x="1299"/>
        <item m="1" x="2028"/>
        <item m="1" x="904"/>
        <item m="1" x="2350"/>
        <item m="1" x="135"/>
        <item m="1" x="2336"/>
        <item m="1" x="2349"/>
        <item m="1" x="2582"/>
        <item m="1" x="234"/>
        <item m="1" x="1524"/>
        <item m="1" x="1414"/>
        <item m="1" x="1301"/>
        <item m="1" x="133"/>
        <item m="1" x="507"/>
        <item m="1" x="527"/>
        <item m="1" x="2112"/>
        <item m="1" x="214"/>
        <item sd="0" m="1" x="213"/>
        <item m="1" x="1999"/>
        <item m="1" x="2352"/>
        <item m="1" x="1185"/>
        <item m="1" x="74"/>
        <item m="1" x="1311"/>
        <item m="1" x="2607"/>
        <item m="1" x="2151"/>
        <item m="1" x="1755"/>
        <item m="1" x="184"/>
        <item m="1" x="525"/>
        <item m="1" x="1312"/>
        <item m="1" x="1313"/>
        <item m="1" x="543"/>
        <item m="1" x="495"/>
        <item m="1" x="2008"/>
        <item m="1" x="1855"/>
        <item m="1" x="944"/>
        <item m="1" x="1081"/>
        <item m="1" x="223"/>
        <item m="1" x="2353"/>
        <item m="1" x="138"/>
        <item m="1" x="139"/>
        <item m="1" x="73"/>
        <item m="1" x="1007"/>
        <item m="1" x="2354"/>
        <item m="1" x="898"/>
        <item m="1" x="1756"/>
        <item m="1" x="2355"/>
        <item m="1" x="2356"/>
        <item m="1" x="1970"/>
        <item m="1" x="1985"/>
        <item m="1" x="1381"/>
        <item m="1" x="345"/>
        <item m="1" x="797"/>
        <item m="1" x="678"/>
        <item m="1" x="2358"/>
        <item m="1" x="2496"/>
        <item m="1" x="346"/>
        <item m="1" x="2661"/>
        <item m="1" x="237"/>
        <item m="1" x="1628"/>
        <item m="1" x="2359"/>
        <item m="1" x="140"/>
        <item m="1" x="1647"/>
        <item m="1" x="1316"/>
        <item m="1" x="1655"/>
        <item m="1" x="1632"/>
        <item m="1" x="1553"/>
        <item m="1" x="1942"/>
        <item m="1" x="1917"/>
        <item m="1" x="2683"/>
        <item m="1" x="836"/>
        <item m="1" x="2360"/>
        <item m="1" x="1949"/>
        <item m="1" x="712"/>
        <item m="1" x="2113"/>
        <item m="1" x="1285"/>
        <item m="1" x="271"/>
        <item m="1" x="1319"/>
        <item m="1" x="1011"/>
        <item m="1" x="2361"/>
        <item m="1" x="1357"/>
        <item m="1" x="349"/>
        <item m="1" x="2051"/>
        <item x="3"/>
        <item m="1" x="1963"/>
        <item m="1" x="619"/>
        <item m="1" x="2362"/>
        <item m="1" x="877"/>
        <item m="1" x="1893"/>
        <item m="1" x="1827"/>
        <item sd="0" m="1" x="245"/>
        <item m="1" x="996"/>
        <item m="1" x="384"/>
        <item m="1" x="2363"/>
        <item m="1" x="980"/>
        <item m="1" x="1548"/>
        <item m="1" x="2720"/>
        <item m="1" x="949"/>
        <item m="1" x="1102"/>
        <item m="1" x="689"/>
        <item m="1" x="639"/>
        <item m="1" x="1639"/>
        <item m="1" x="1321"/>
        <item m="1" x="1322"/>
        <item m="1" x="2366"/>
        <item m="1" x="528"/>
        <item m="1" x="1973"/>
        <item m="1" x="2553"/>
        <item m="1" x="2590"/>
        <item m="1" x="2583"/>
        <item m="1" x="342"/>
        <item m="1" x="1323"/>
        <item m="1" x="2052"/>
        <item m="1" x="1523"/>
        <item m="1" x="1786"/>
        <item m="1" x="1641"/>
        <item m="1" x="1829"/>
        <item m="1" x="681"/>
        <item m="1" x="350"/>
        <item m="1" x="2711"/>
        <item m="1" x="1324"/>
        <item m="1" x="390"/>
        <item m="1" x="1725"/>
        <item m="1" x="780"/>
        <item m="1" x="2621"/>
        <item m="1" x="955"/>
        <item m="1" x="1924"/>
        <item m="1" x="1950"/>
        <item m="1" x="787"/>
        <item sd="0" x="15"/>
        <item m="1" x="798"/>
        <item m="1" x="323"/>
        <item m="1" x="2364"/>
        <item m="1" x="973"/>
        <item m="1" x="142"/>
        <item m="1" x="2365"/>
        <item m="1" x="82"/>
        <item m="1" x="1372"/>
        <item m="1" x="1987"/>
        <item m="1" x="1831"/>
        <item m="1" x="1198"/>
        <item m="1" x="916"/>
        <item m="1" x="2685"/>
        <item m="1" x="1953"/>
        <item m="1" x="2703"/>
        <item m="1" x="682"/>
        <item m="1" x="264"/>
        <item m="1" x="2367"/>
        <item m="1" x="524"/>
        <item m="1" x="1328"/>
        <item m="1" x="1389"/>
        <item m="1" x="2369"/>
        <item m="1" x="1758"/>
        <item m="1" x="1821"/>
        <item m="1" x="965"/>
        <item m="1" x="1334"/>
        <item m="1" x="544"/>
        <item m="1" x="2053"/>
        <item m="1" x="2655"/>
        <item m="1" x="1807"/>
        <item m="1" x="2114"/>
        <item m="1" x="1345"/>
        <item m="1" x="2467"/>
        <item m="1" x="2370"/>
        <item m="1" x="964"/>
        <item m="1" x="209"/>
        <item m="1" x="2628"/>
        <item m="1" x="1588"/>
        <item m="1" x="1908"/>
        <item m="1" x="1385"/>
        <item m="1" x="1759"/>
        <item m="1" x="51"/>
        <item m="1" x="2371"/>
        <item m="1" x="1275"/>
        <item sd="0" m="1" x="2677"/>
        <item m="1" x="987"/>
        <item m="1" x="2010"/>
        <item m="1" x="683"/>
        <item m="1" x="1760"/>
        <item m="1" x="2373"/>
        <item m="1" x="864"/>
        <item m="1" x="2054"/>
        <item m="1" x="1945"/>
        <item m="1" x="684"/>
        <item m="1" x="572"/>
        <item m="1" x="145"/>
        <item m="1" x="479"/>
        <item m="1" x="1188"/>
        <item m="1" x="799"/>
        <item m="1" x="1833"/>
        <item m="1" x="2375"/>
        <item m="1" x="1761"/>
        <item m="1" x="1883"/>
        <item m="1" x="1048"/>
        <item m="1" x="2568"/>
        <item m="1" x="1891"/>
        <item m="1" x="2376"/>
        <item m="1" x="1716"/>
        <item m="1" x="1642"/>
        <item m="1" x="2377"/>
        <item m="1" x="2432"/>
        <item m="1" x="1542"/>
        <item m="1" x="2691"/>
        <item m="1" x="1370"/>
        <item m="1" x="1133"/>
        <item m="1" x="1636"/>
        <item m="1" x="1815"/>
        <item m="1" x="2665"/>
        <item m="1" x="1320"/>
        <item m="1" x="1447"/>
        <item m="1" x="466"/>
        <item m="1" x="1431"/>
        <item m="1" x="481"/>
        <item m="1" x="1307"/>
        <item m="1" x="1527"/>
        <item m="1" x="1077"/>
        <item m="1" x="297"/>
        <item m="1" x="2006"/>
        <item m="1" x="147"/>
        <item m="1" x="2378"/>
        <item m="1" x="1199"/>
        <item m="1" x="1452"/>
        <item m="1" x="999"/>
        <item m="1" x="2379"/>
        <item m="1" x="113"/>
        <item m="1" x="355"/>
        <item m="1" x="1196"/>
        <item m="1" x="1075"/>
        <item m="1" x="831"/>
        <item m="1" x="802"/>
        <item m="1" x="1202"/>
        <item m="1" x="2055"/>
        <item m="1" x="1536"/>
        <item m="1" x="568"/>
        <item m="1" x="1038"/>
        <item m="1" x="2025"/>
        <item m="1" x="317"/>
        <item m="1" x="1157"/>
        <item m="1" x="154"/>
        <item m="1" x="1300"/>
        <item m="1" x="1485"/>
        <item m="1" x="975"/>
        <item m="1" x="2555"/>
        <item m="1" x="2393"/>
        <item m="1" x="687"/>
        <item m="1" x="293"/>
        <item m="1" x="262"/>
        <item m="1" x="2673"/>
        <item m="1" x="1068"/>
        <item m="1" x="2394"/>
        <item m="1" x="2604"/>
        <item m="1" x="1059"/>
        <item m="1" x="2626"/>
        <item m="1" x="976"/>
        <item m="1" x="2620"/>
        <item m="1" x="1926"/>
        <item m="1" x="2395"/>
        <item m="1" x="2396"/>
        <item m="1" x="224"/>
        <item m="1" x="263"/>
        <item m="1" x="1530"/>
        <item m="1" x="1692"/>
        <item m="1" x="1227"/>
        <item m="1" x="83"/>
        <item m="1" x="2629"/>
        <item m="1" x="2397"/>
        <item m="1" x="2595"/>
        <item m="1" x="1427"/>
        <item m="1" x="1920"/>
        <item m="1" x="808"/>
        <item m="1" x="1428"/>
        <item m="1" x="810"/>
        <item m="1" x="2116"/>
        <item m="1" x="225"/>
        <item m="1" x="2398"/>
        <item m="1" x="1429"/>
        <item m="1" x="2399"/>
        <item m="1" x="688"/>
        <item m="1" x="377"/>
        <item m="1" x="2400"/>
        <item m="1" x="1430"/>
        <item m="1" x="1637"/>
        <item m="1" x="1488"/>
        <item m="1" x="1432"/>
        <item m="1" x="2401"/>
        <item m="1" x="2402"/>
        <item m="1" x="247"/>
        <item m="1" x="480"/>
        <item m="1" x="2623"/>
        <item m="1" x="1765"/>
        <item m="1" x="1518"/>
        <item m="1" x="957"/>
        <item m="1" x="2403"/>
        <item m="1" x="885"/>
        <item m="1" x="2405"/>
        <item m="1" x="2082"/>
        <item m="1" x="2060"/>
        <item m="1" x="467"/>
        <item m="1" x="1373"/>
        <item m="1" x="2406"/>
        <item m="1" x="1837"/>
        <item m="1" x="912"/>
        <item m="1" x="1576"/>
        <item m="1" x="1394"/>
        <item m="1" x="1448"/>
        <item m="1" x="1422"/>
        <item m="1" x="889"/>
        <item m="1" x="1449"/>
        <item m="1" x="1159"/>
        <item m="1" x="66"/>
        <item m="1" x="1894"/>
        <item m="1" x="314"/>
        <item m="1" x="163"/>
        <item m="1" x="1451"/>
        <item m="1" x="2491"/>
        <item m="1" x="381"/>
        <item m="1" x="2407"/>
        <item m="1" x="2408"/>
        <item m="1" x="2410"/>
        <item m="1" x="2675"/>
        <item m="1" x="1751"/>
        <item m="1" x="2409"/>
        <item m="1" x="382"/>
        <item m="1" x="1483"/>
        <item m="1" x="246"/>
        <item m="1" x="1454"/>
        <item m="1" x="1766"/>
        <item m="1" x="55"/>
        <item m="1" x="468"/>
        <item m="1" x="1220"/>
        <item m="1" x="395"/>
        <item m="1" x="1206"/>
        <item sd="0" m="1" x="2727"/>
        <item sd="0" m="1" x="308"/>
        <item m="1" x="1910"/>
        <item m="1" x="1457"/>
        <item m="1" x="1456"/>
        <item m="1" x="1458"/>
        <item m="1" x="624"/>
        <item m="1" x="1444"/>
        <item m="1" x="1787"/>
        <item m="1" x="2566"/>
        <item m="1" x="2411"/>
        <item m="1" x="367"/>
        <item m="1" x="2412"/>
        <item m="1" x="289"/>
        <item m="1" x="2413"/>
        <item m="1" x="1543"/>
        <item m="1" x="2414"/>
        <item m="1" x="1722"/>
        <item m="1" x="170"/>
        <item m="1" x="2404"/>
        <item m="1" x="160"/>
        <item m="1" x="1392"/>
        <item m="1" x="2693"/>
        <item m="1" x="2556"/>
        <item m="1" x="2415"/>
        <item m="1" x="733"/>
        <item m="1" x="1656"/>
        <item x="14"/>
        <item m="1" x="1912"/>
        <item m="1" x="1528"/>
        <item m="1" x="1284"/>
        <item m="1" x="165"/>
        <item m="1" x="2270"/>
        <item m="1" x="1914"/>
        <item m="1" x="2653"/>
        <item m="1" x="2118"/>
        <item m="1" x="1390"/>
        <item m="1" x="2034"/>
        <item m="1" x="816"/>
        <item m="1" x="166"/>
        <item m="1" x="1281"/>
        <item m="1" x="1395"/>
        <item m="1" x="1471"/>
        <item m="1" x="144"/>
        <item m="1" x="2019"/>
        <item m="1" x="586"/>
        <item m="1" x="2602"/>
        <item m="1" x="2417"/>
        <item m="1" x="2418"/>
        <item m="1" x="817"/>
        <item m="1" x="2636"/>
        <item m="1" x="1409"/>
        <item m="1" x="1472"/>
        <item m="1" x="690"/>
        <item m="1" x="1473"/>
        <item m="1" x="2419"/>
        <item m="1" x="2420"/>
        <item m="1" x="915"/>
        <item m="1" x="2421"/>
        <item m="1" x="2709"/>
        <item m="1" x="2422"/>
        <item m="1" x="2423"/>
        <item m="1" x="2260"/>
        <item m="1" x="862"/>
        <item m="1" x="2684"/>
        <item m="1" x="882"/>
        <item m="1" x="2424"/>
        <item m="1" x="1882"/>
        <item m="1" x="1347"/>
        <item m="1" x="691"/>
        <item m="1" x="2690"/>
        <item m="1" x="351"/>
        <item m="1" x="2139"/>
        <item m="1" x="2469"/>
        <item m="1" x="1034"/>
        <item m="1" x="501"/>
        <item m="1" x="818"/>
        <item m="1" x="819"/>
        <item m="1" x="914"/>
        <item m="1" x="63"/>
        <item m="1" x="2119"/>
        <item m="1" x="656"/>
        <item m="1" x="2425"/>
        <item m="1" x="149"/>
        <item m="1" x="387"/>
        <item m="1" x="557"/>
        <item m="1" x="1785"/>
        <item m="1" x="2061"/>
        <item m="1" x="440"/>
        <item m="1" x="2099"/>
        <item m="1" x="2426"/>
        <item m="1" x="995"/>
        <item m="1" x="1767"/>
        <item m="1" x="991"/>
        <item m="1" x="386"/>
        <item m="1" x="434"/>
        <item m="1" x="2428"/>
        <item m="1" x="2120"/>
        <item m="1" x="820"/>
        <item m="1" x="1994"/>
        <item m="1" x="487"/>
        <item m="1" x="95"/>
        <item m="1" x="482"/>
        <item m="1" x="87"/>
        <item m="1" x="1938"/>
        <item m="1" x="2062"/>
        <item m="1" x="371"/>
        <item m="1" x="210"/>
        <item m="1" x="2671"/>
        <item m="1" x="312"/>
        <item m="1" x="1923"/>
        <item m="1" x="120"/>
        <item m="1" x="2429"/>
        <item m="1" x="966"/>
        <item m="1" x="821"/>
        <item m="1" x="2068"/>
        <item m="1" x="1489"/>
        <item m="1" x="1490"/>
        <item m="1" x="1491"/>
        <item m="1" x="2430"/>
        <item m="1" x="1684"/>
        <item m="1" x="1379"/>
        <item m="1" x="1730"/>
        <item m="1" x="1800"/>
        <item m="1" x="162"/>
        <item m="1" x="1314"/>
        <item m="1" x="694"/>
        <item m="1" x="1493"/>
        <item m="1" x="1435"/>
        <item m="1" x="611"/>
        <item m="1" x="1018"/>
        <item m="1" x="2384"/>
        <item m="1" x="2616"/>
        <item m="1" x="2561"/>
        <item m="1" x="1290"/>
        <item m="1" x="1156"/>
        <item m="1" x="401"/>
        <item m="1" x="2142"/>
        <item m="1" x="383"/>
        <item m="1" x="2433"/>
        <item m="1" x="380"/>
        <item m="1" x="2434"/>
        <item m="1" x="1986"/>
        <item m="1" x="695"/>
        <item m="1" x="1688"/>
        <item m="1" x="907"/>
        <item m="1" x="2387"/>
        <item m="1" x="310"/>
        <item m="1" x="168"/>
        <item m="1" x="954"/>
        <item m="1" x="1342"/>
        <item m="1" x="328"/>
        <item m="1" x="822"/>
        <item m="1" x="403"/>
        <item m="1" x="1486"/>
        <item m="1" x="339"/>
        <item m="1" x="823"/>
        <item m="1" x="2435"/>
        <item m="1" x="502"/>
        <item m="1" x="565"/>
        <item m="1" x="1501"/>
        <item m="1" x="1023"/>
        <item m="1" x="2436"/>
        <item sd="0" m="1" x="2733"/>
        <item m="1" x="1217"/>
        <item m="1" x="800"/>
        <item m="1" x="1467"/>
        <item m="1" x="389"/>
        <item m="1" x="2063"/>
        <item m="1" x="2437"/>
        <item m="1" x="1064"/>
        <item m="1" x="853"/>
        <item m="1" x="936"/>
        <item m="1" x="1596"/>
        <item m="1" x="1502"/>
        <item m="1" x="2438"/>
        <item m="1" x="2129"/>
        <item m="1" x="174"/>
        <item m="1" x="2064"/>
        <item m="1" x="161"/>
        <item m="1" x="931"/>
        <item m="1" x="2584"/>
        <item m="1" x="923"/>
        <item m="1" x="2439"/>
        <item m="1" x="227"/>
        <item m="1" x="1517"/>
        <item m="1" x="2440"/>
        <item x="25"/>
        <item m="1" x="392"/>
        <item m="1" x="824"/>
        <item m="1" x="886"/>
        <item m="1" x="1396"/>
        <item m="1" x="1480"/>
        <item m="1" x="2065"/>
        <item m="1" x="1680"/>
        <item m="1" x="1511"/>
        <item m="1" x="393"/>
        <item m="1" x="2441"/>
        <item m="1" x="1792"/>
        <item m="1" x="172"/>
        <item m="1" x="1967"/>
        <item m="1" x="1512"/>
        <item m="1" x="825"/>
        <item m="1" x="71"/>
        <item m="1" x="1944"/>
        <item m="1" x="2594"/>
        <item m="1" x="2382"/>
        <item m="1" x="1665"/>
        <item m="1" x="2442"/>
        <item m="1" x="375"/>
        <item m="1" x="985"/>
        <item m="1" x="257"/>
        <item m="1" x="1119"/>
        <item m="1" x="2443"/>
        <item m="1" x="721"/>
        <item m="1" x="2444"/>
        <item m="1" x="1376"/>
        <item m="1" x="670"/>
        <item m="1" x="1768"/>
        <item m="1" x="2445"/>
        <item m="1" x="1943"/>
        <item m="1" x="67"/>
        <item m="1" x="1222"/>
        <item m="1" x="2070"/>
        <item m="1" x="180"/>
        <item m="1" x="124"/>
        <item m="1" x="1968"/>
        <item m="1" x="396"/>
        <item m="1" x="1525"/>
        <item m="1" x="1295"/>
        <item m="1" x="340"/>
        <item m="1" x="2447"/>
        <item m="1" x="422"/>
        <item m="1" x="2448"/>
        <item m="1" x="563"/>
        <item m="1" x="893"/>
        <item m="1" x="894"/>
        <item m="1" x="696"/>
        <item m="1" x="2450"/>
        <item m="1" x="1066"/>
        <item m="1" x="2066"/>
        <item m="1" x="2646"/>
        <item m="1" x="2570"/>
        <item m="1" x="1443"/>
        <item m="1" x="226"/>
        <item m="1" x="157"/>
        <item m="1" x="1383"/>
        <item m="1" x="940"/>
        <item m="1" x="2014"/>
        <item m="1" x="697"/>
        <item m="1" x="698"/>
        <item m="1" x="587"/>
        <item m="1" x="2451"/>
        <item m="1" x="1580"/>
        <item m="1" x="2532"/>
        <item m="1" x="253"/>
        <item m="1" x="1814"/>
        <item m="1" x="1118"/>
        <item m="1" x="1180"/>
        <item m="1" x="827"/>
        <item m="1" x="2121"/>
        <item m="1" x="1619"/>
        <item m="1" x="1035"/>
        <item m="1" x="2723"/>
        <item m="1" x="2639"/>
        <item m="1" x="2009"/>
        <item m="1" x="119"/>
        <item m="1" x="1534"/>
        <item m="1" x="2452"/>
        <item m="1" x="1291"/>
        <item m="1" x="398"/>
        <item m="1" x="1728"/>
        <item m="1" x="2316"/>
        <item m="1" x="1560"/>
        <item m="1" x="2619"/>
        <item m="1" x="469"/>
        <item m="1" x="1769"/>
        <item m="1" x="1889"/>
        <item m="1" x="699"/>
        <item sd="0" m="1" x="2732"/>
        <item m="1" x="569"/>
        <item m="1" x="803"/>
        <item x="17"/>
        <item m="1" x="2453"/>
        <item m="1" x="1995"/>
        <item m="1" x="2454"/>
        <item m="1" x="1296"/>
        <item m="1" x="1866"/>
        <item m="1" x="1731"/>
        <item m="1" x="1537"/>
        <item m="1" x="1609"/>
        <item m="1" x="2574"/>
        <item m="1" x="1538"/>
        <item m="1" x="483"/>
        <item m="1" x="1603"/>
        <item m="1" x="178"/>
        <item m="1" x="1791"/>
        <item m="1" x="1840"/>
        <item m="1" x="958"/>
        <item m="1" x="402"/>
        <item sd="0" m="1" x="258"/>
        <item sd="0" m="1" x="2725"/>
        <item m="1" x="1033"/>
        <item m="1" x="1798"/>
        <item m="1" x="1013"/>
        <item m="1" x="186"/>
        <item m="1" x="1916"/>
        <item m="1" x="968"/>
        <item m="1" x="2599"/>
        <item m="1" x="2140"/>
        <item m="1" x="796"/>
        <item m="1" x="1540"/>
        <item m="1" x="1541"/>
        <item m="1" x="701"/>
        <item m="1" x="1856"/>
        <item m="1" x="897"/>
        <item m="1" x="1857"/>
        <item m="1" x="2455"/>
        <item m="1" x="2660"/>
        <item m="1" x="1115"/>
        <item m="1" x="2471"/>
        <item m="1" x="1896"/>
        <item m="1" x="680"/>
        <item m="1" x="705"/>
        <item m="1" x="446"/>
        <item m="1" x="1350"/>
        <item m="1" x="600"/>
        <item m="1" x="1001"/>
        <item m="1" x="702"/>
        <item m="1" x="1545"/>
        <item x="2"/>
        <item m="1" x="531"/>
        <item m="1" x="634"/>
        <item m="1" x="814"/>
        <item m="1" x="556"/>
        <item x="21"/>
        <item m="1" x="2679"/>
        <item sd="0" m="1" x="1190"/>
        <item m="1" x="1823"/>
        <item m="1" x="790"/>
        <item m="1" x="2696"/>
        <item m="1" x="1127"/>
        <item m="1" x="845"/>
        <item m="1" x="347"/>
        <item m="1" x="1559"/>
        <item m="1" x="1116"/>
        <item m="1" x="1839"/>
        <item m="1" x="1721"/>
        <item m="1" x="1144"/>
        <item m="1" x="1107"/>
        <item m="1" x="888"/>
        <item m="1" x="1332"/>
        <item m="1" x="1845"/>
        <item sd="0" m="1" x="522"/>
        <item m="1" x="1714"/>
        <item m="1" x="1841"/>
        <item m="1" x="627"/>
        <item m="1" x="409"/>
        <item m="1" x="1040"/>
        <item m="1" x="1862"/>
        <item m="1" x="1969"/>
        <item m="1" x="379"/>
        <item m="1" x="1988"/>
        <item m="1" x="703"/>
        <item m="1" x="187"/>
        <item m="1" x="470"/>
        <item m="1" x="2122"/>
        <item m="1" x="1838"/>
        <item m="1" x="1564"/>
        <item m="1" x="198"/>
        <item x="39"/>
        <item m="1" x="913"/>
        <item m="1" x="1867"/>
        <item m="1" x="2458"/>
        <item m="1" x="1529"/>
        <item m="1" x="2459"/>
        <item m="1" x="2460"/>
        <item m="1" x="2462"/>
        <item m="1" x="830"/>
        <item m="1" x="704"/>
        <item m="1" x="2609"/>
        <item m="1" x="305"/>
        <item m="1" x="953"/>
        <item m="1" x="977"/>
        <item m="1" x="2463"/>
        <item m="1" x="2591"/>
        <item m="1" x="2299"/>
        <item m="1" x="189"/>
        <item m="1" x="2381"/>
        <item m="1" x="2662"/>
        <item m="1" x="228"/>
        <item m="1" x="2457"/>
        <item m="1" x="2032"/>
        <item m="1" x="961"/>
        <item m="1" x="1610"/>
        <item m="1" x="229"/>
        <item m="1" x="1772"/>
        <item m="1" x="1567"/>
        <item m="1" x="362"/>
        <item m="1" x="1029"/>
        <item m="1" x="829"/>
        <item m="1" x="1582"/>
        <item m="1" x="447"/>
        <item m="1" x="1150"/>
        <item sd="0" m="1" x="2736"/>
        <item m="1" x="1178"/>
        <item m="1" x="1514"/>
        <item m="1" x="1583"/>
        <item m="1" x="1584"/>
        <item m="1" x="1134"/>
        <item m="1" x="707"/>
        <item m="1" x="1561"/>
        <item m="1" x="2472"/>
        <item m="1" x="2011"/>
        <item m="1" x="1585"/>
        <item m="1" x="1338"/>
        <item m="1" x="909"/>
        <item m="1" x="700"/>
        <item m="1" x="77"/>
        <item m="1" x="2562"/>
        <item m="1" x="1586"/>
        <item m="1" x="2473"/>
        <item m="1" x="1685"/>
        <item m="1" x="564"/>
        <item m="1" x="1110"/>
        <item x="30"/>
        <item m="1" x="2474"/>
        <item m="1" x="2576"/>
        <item m="1" x="2610"/>
        <item m="1" x="1696"/>
        <item m="1" x="1051"/>
        <item m="1" x="2475"/>
        <item m="1" x="2476"/>
        <item m="1" x="1629"/>
        <item m="1" x="2477"/>
        <item m="1" x="1922"/>
        <item m="1" x="2479"/>
        <item m="1" x="2478"/>
        <item m="1" x="1676"/>
        <item m="1" x="1965"/>
        <item m="1" x="2695"/>
        <item m="1" x="496"/>
        <item m="1" x="1990"/>
        <item m="1" x="2689"/>
        <item m="1" x="1590"/>
        <item m="1" x="1155"/>
        <item m="1" x="881"/>
        <item m="1" x="2480"/>
        <item x="11"/>
        <item m="1" x="1960"/>
        <item m="1" x="2481"/>
        <item m="1" x="520"/>
        <item m="1" x="1028"/>
        <item m="1" x="352"/>
        <item m="1" x="2482"/>
        <item m="1" x="504"/>
        <item m="1" x="1496"/>
        <item m="1" x="928"/>
        <item m="1" x="2468"/>
        <item m="1" x="1024"/>
        <item m="1" x="1854"/>
        <item m="1" x="2483"/>
        <item m="1" x="1593"/>
        <item m="1" x="2680"/>
        <item m="1" x="1061"/>
        <item m="1" x="243"/>
        <item m="1" x="191"/>
        <item m="1" x="1579"/>
        <item m="1" x="1595"/>
        <item m="1" x="192"/>
        <item m="1" x="298"/>
        <item m="1" x="1601"/>
        <item m="1" x="962"/>
        <item m="1" x="2485"/>
        <item m="1" x="2124"/>
        <item m="1" x="1421"/>
        <item m="1" x="2005"/>
        <item m="1" x="1648"/>
        <item m="1" x="2125"/>
        <item m="1" x="1184"/>
        <item m="1" x="2676"/>
        <item m="1" x="1604"/>
        <item m="1" x="1558"/>
        <item m="1" x="194"/>
        <item m="1" x="2126"/>
        <item m="1" x="307"/>
        <item m="1" x="588"/>
        <item m="1" x="1168"/>
        <item m="1" x="193"/>
        <item m="1" x="972"/>
        <item m="1" x="413"/>
        <item m="1" x="414"/>
        <item m="1" x="415"/>
        <item m="1" x="169"/>
        <item m="1" x="416"/>
        <item m="1" x="1445"/>
        <item m="1" x="833"/>
        <item m="1" x="2486"/>
        <item m="1" x="1570"/>
        <item m="1" x="855"/>
        <item m="1" x="1533"/>
        <item m="1" x="2487"/>
        <item m="1" x="1842"/>
        <item m="1" x="1773"/>
        <item m="1" x="2488"/>
        <item m="1" x="1563"/>
        <item m="1" x="902"/>
        <item m="1" x="435"/>
        <item m="1" x="860"/>
        <item m="1" x="1121"/>
        <item m="1" x="708"/>
        <item m="1" x="2490"/>
        <item m="1" x="542"/>
        <item m="1" x="1607"/>
        <item m="1" x="1608"/>
        <item m="1" x="1335"/>
        <item sd="0" m="1" x="2719"/>
        <item m="1" x="1864"/>
        <item m="1" x="742"/>
        <item m="1" x="2368"/>
        <item m="1" x="832"/>
        <item m="1" x="1117"/>
        <item m="1" x="239"/>
        <item m="1" x="1426"/>
        <item m="1" x="2492"/>
        <item m="1" x="2493"/>
        <item m="1" x="196"/>
        <item m="1" x="2494"/>
        <item m="1" x="278"/>
        <item sd="0" m="1" x="2740"/>
        <item m="1" x="2069"/>
        <item m="1" x="1797"/>
        <item m="1" x="143"/>
        <item m="1" x="1611"/>
        <item x="42"/>
        <item m="1" x="608"/>
        <item m="1" x="1848"/>
        <item m="1" x="602"/>
        <item m="1" x="1858"/>
        <item m="1" x="1849"/>
        <item m="1" x="1976"/>
        <item m="1" x="1929"/>
        <item m="1" x="603"/>
        <item m="1" x="770"/>
        <item m="1" x="1850"/>
        <item m="1" x="601"/>
        <item m="1" x="606"/>
        <item m="1" x="610"/>
        <item m="1" x="1852"/>
        <item m="1" x="515"/>
        <item sd="0" x="29"/>
        <item m="1" x="1661"/>
        <item x="41"/>
        <item m="1" x="596"/>
        <item m="1" x="1662"/>
        <item m="1" x="514"/>
        <item m="1" x="595"/>
        <item m="1" x="1977"/>
        <item m="1" x="1358"/>
        <item m="1" x="1847"/>
        <item m="1" x="605"/>
        <item m="1" x="1846"/>
        <item m="1" x="609"/>
        <item sd="0" m="1" x="604"/>
        <item x="28"/>
        <item sd="0" m="1" x="2730"/>
        <item sd="0" m="1" x="2735"/>
        <item sd="0" x="26"/>
        <item m="1" x="857"/>
        <item m="1" x="1861"/>
        <item m="1" x="2027"/>
        <item m="1" x="2035"/>
        <item m="1" x="1881"/>
        <item m="1" x="92"/>
        <item m="1" x="1666"/>
        <item m="1" x="1974"/>
        <item m="1" x="1017"/>
        <item m="1" x="805"/>
        <item m="1" x="2699"/>
        <item m="1" x="2427"/>
        <item m="1" x="2446"/>
        <item m="1" x="151"/>
        <item m="1" x="709"/>
        <item m="1" x="1659"/>
        <item m="1" x="421"/>
        <item m="1" x="2067"/>
        <item m="1" x="2495"/>
        <item m="1" x="921"/>
        <item m="1" x="2238"/>
        <item sd="0" m="1" x="2738"/>
        <item m="1" x="1423"/>
        <item m="1" x="582"/>
        <item m="1" x="2123"/>
        <item m="1" x="70"/>
        <item m="1" x="2497"/>
        <item m="1" x="325"/>
        <item m="1" x="2156"/>
        <item m="1" x="2498"/>
        <item m="1" x="2461"/>
        <item m="1" x="1234"/>
        <item m="1" x="934"/>
        <item m="1" x="2672"/>
        <item m="1" x="1067"/>
        <item m="1" x="2256"/>
        <item m="1" x="1308"/>
        <item m="1" x="1669"/>
        <item m="1" x="1446"/>
        <item m="1" x="1154"/>
        <item m="1" x="2127"/>
        <item m="1" x="423"/>
        <item m="1" x="1400"/>
        <item m="1" x="424"/>
        <item m="1" x="1958"/>
        <item m="1" x="197"/>
        <item m="1" x="2499"/>
        <item m="1" x="1673"/>
        <item m="1" x="517"/>
        <item m="1" x="1477"/>
        <item m="1" x="2500"/>
        <item m="1" x="1808"/>
        <item m="1" x="892"/>
        <item m="1" x="1138"/>
        <item m="1" x="275"/>
        <item m="1" x="834"/>
        <item m="1" x="79"/>
        <item m="1" x="910"/>
        <item m="1" x="136"/>
        <item m="1" x="203"/>
        <item m="1" x="2575"/>
        <item m="1" x="2585"/>
        <item m="1" x="939"/>
        <item m="1" x="1366"/>
        <item m="1" x="1136"/>
        <item m="1" x="1605"/>
        <item m="1" x="1226"/>
        <item m="1" x="484"/>
        <item m="1" x="1677"/>
        <item m="1" x="2714"/>
        <item m="1" x="993"/>
        <item m="1" x="1387"/>
        <item m="1" x="1678"/>
        <item m="1" x="1895"/>
        <item m="1" x="1365"/>
        <item m="1" x="1649"/>
        <item m="1" x="1620"/>
        <item m="1" x="1599"/>
        <item m="1" x="1122"/>
        <item m="1" x="489"/>
        <item m="1" x="1352"/>
        <item m="1" x="1616"/>
        <item m="1" x="835"/>
        <item m="1" x="2515"/>
        <item m="1" x="230"/>
        <item m="1" x="533"/>
        <item m="1" x="2501"/>
        <item m="1" x="261"/>
        <item m="1" x="201"/>
        <item m="1" x="285"/>
        <item m="1" x="2502"/>
        <item m="1" x="1187"/>
        <item m="1" x="552"/>
        <item m="1" x="2503"/>
        <item m="1" x="630"/>
        <item m="1" x="859"/>
        <item m="1" x="1975"/>
        <item m="1" x="2504"/>
        <item m="1" x="2713"/>
        <item m="1" x="2694"/>
        <item m="1" x="1076"/>
        <item m="1" x="905"/>
        <item m="1" x="2514"/>
        <item m="1" x="1828"/>
        <item m="1" x="1164"/>
        <item m="1" x="1415"/>
        <item m="1" x="2587"/>
        <item m="1" x="2698"/>
        <item m="1" x="1697"/>
        <item m="1" x="1401"/>
        <item m="1" x="1292"/>
        <item m="1" x="2505"/>
        <item m="1" x="2702"/>
        <item m="1" x="280"/>
        <item m="1" x="879"/>
        <item m="1" x="937"/>
        <item x="34"/>
        <item m="1" x="365"/>
        <item m="1" x="1566"/>
        <item m="1" x="710"/>
        <item m="1" x="490"/>
        <item sd="0" m="1" x="493"/>
        <item m="1" x="711"/>
        <item m="1" x="400"/>
        <item m="1" x="2507"/>
        <item m="1" x="2624"/>
        <item m="1" x="632"/>
        <item m="1" x="2189"/>
        <item m="1" x="1631"/>
        <item m="1" x="2706"/>
        <item m="1" x="729"/>
        <item m="1" x="2617"/>
        <item x="24"/>
        <item m="1" x="1331"/>
        <item m="1" x="838"/>
        <item m="1" x="2022"/>
        <item m="1" x="1689"/>
        <item m="1" x="1690"/>
        <item m="1" x="2308"/>
        <item m="1" x="1794"/>
        <item m="1" x="1173"/>
        <item m="1" x="651"/>
        <item m="1" x="2652"/>
        <item m="1" x="1101"/>
        <item m="1" x="2128"/>
        <item m="1" x="613"/>
        <item m="1" x="137"/>
        <item m="1" x="813"/>
        <item m="1" x="2603"/>
        <item m="1" x="1343"/>
        <item m="1" x="2509"/>
        <item m="1" x="839"/>
        <item m="1" x="1691"/>
        <item m="1" x="121"/>
        <item m="1" x="425"/>
        <item m="1" x="2431"/>
        <item m="1" x="1890"/>
        <item m="1" x="1776"/>
        <item m="1" x="1904"/>
        <item m="1" x="2144"/>
        <item m="1" x="62"/>
        <item m="1" x="1055"/>
        <item m="1" x="840"/>
        <item m="1" x="2383"/>
        <item m="1" x="1578"/>
        <item m="1" x="2510"/>
        <item m="1" x="1660"/>
        <item m="1" x="485"/>
        <item m="1" x="1207"/>
        <item m="1" x="1693"/>
        <item m="1" x="1663"/>
        <item m="1" x="1657"/>
        <item m="1" x="858"/>
        <item m="1" x="2511"/>
        <item m="1" x="2001"/>
        <item m="1" x="841"/>
        <item m="1" x="1411"/>
        <item m="1" x="837"/>
        <item m="1" x="2597"/>
        <item m="1" x="1694"/>
        <item m="1" x="1801"/>
        <item m="1" x="1695"/>
        <item m="1" x="1681"/>
        <item m="1" x="1587"/>
        <item m="1" x="1160"/>
        <item m="1" x="1569"/>
        <item m="1" x="998"/>
        <item m="1" x="856"/>
        <item m="1" x="1166"/>
        <item m="1" x="2512"/>
        <item m="1" x="150"/>
        <item m="1" x="2149"/>
        <item m="1" x="1223"/>
        <item m="1" x="212"/>
        <item m="1" x="918"/>
        <item m="1" x="1989"/>
        <item m="1" x="1979"/>
        <item m="1" x="2268"/>
        <item m="1" x="56"/>
        <item m="1" x="1562"/>
        <item m="1" x="1581"/>
        <item m="1" x="2390"/>
        <item m="1" x="969"/>
        <item m="1" x="473"/>
        <item m="1" x="843"/>
        <item m="1" x="1625"/>
        <item m="1" x="935"/>
        <item m="1" x="2023"/>
        <item m="1" x="1462"/>
        <item m="1" x="2666"/>
        <item m="1" x="2024"/>
        <item x="9"/>
        <item m="1" x="1698"/>
        <item m="1" x="1375"/>
        <item m="1" x="1699"/>
        <item m="1" x="179"/>
        <item m="1" x="2148"/>
        <item m="1" x="589"/>
        <item m="1" x="558"/>
        <item m="1" x="1019"/>
        <item m="1" x="69"/>
        <item m="1" x="199"/>
        <item m="1" x="844"/>
        <item m="1" x="714"/>
        <item m="1" x="2449"/>
        <item m="1" x="715"/>
        <item m="1" x="1670"/>
        <item m="1" x="1407"/>
        <item m="1" x="2130"/>
        <item m="1" x="1702"/>
        <item m="1" x="427"/>
        <item m="1" x="190"/>
        <item m="1" x="1479"/>
        <item m="1" x="679"/>
        <item m="1" x="716"/>
        <item m="1" x="65"/>
        <item m="1" x="1703"/>
        <item m="1" x="1851"/>
        <item m="1" x="717"/>
        <item m="1" x="486"/>
        <item m="1" x="231"/>
        <item m="1" x="2079"/>
        <item m="1" x="2131"/>
        <item m="1" x="1626"/>
        <item m="1" x="2516"/>
        <item m="1" x="1374"/>
        <item m="1" x="1280"/>
        <item m="1" x="927"/>
        <item m="1" x="299"/>
        <item sd="0" m="1" x="2734"/>
        <item m="1" x="1843"/>
        <item m="1" x="1991"/>
        <item m="1" x="200"/>
        <item m="1" x="1859"/>
        <item m="1" x="86"/>
        <item m="1" x="1268"/>
        <item m="1" x="1417"/>
        <item m="1" x="1706"/>
        <item m="1" x="1269"/>
        <item m="1" x="2132"/>
        <item m="1" x="989"/>
        <item m="1" x="1704"/>
        <item m="1" x="637"/>
        <item m="1" x="706"/>
        <item sd="0" m="1" x="640"/>
        <item m="1" x="842"/>
        <item m="1" x="105"/>
        <item m="1" x="173"/>
        <item m="1" x="1495"/>
        <item m="1" x="896"/>
        <item m="1" x="2517"/>
        <item m="1" x="2518"/>
        <item m="1" x="982"/>
        <item m="1" x="2519"/>
        <item m="1" x="718"/>
        <item m="1" x="1705"/>
        <item m="1" x="1519"/>
        <item m="1" x="2644"/>
        <item m="1" x="2640"/>
        <item m="1" x="2520"/>
        <item m="1" x="1025"/>
        <item m="1" x="1182"/>
        <item m="1" x="1946"/>
        <item m="1" x="1635"/>
        <item m="1" x="984"/>
        <item m="1" x="1274"/>
        <item m="1" x="2521"/>
        <item m="1" x="1633"/>
        <item m="1" x="2522"/>
        <item m="1" x="861"/>
        <item m="1" x="1707"/>
        <item m="1" x="1834"/>
        <item m="1" x="1634"/>
        <item m="1" x="2700"/>
        <item m="1" x="127"/>
        <item m="1" x="1032"/>
        <item m="1" x="2203"/>
        <item m="1" x="1404"/>
        <item m="1" x="1494"/>
        <item m="1" x="1770"/>
        <item m="1" x="1983"/>
        <item m="1" x="2523"/>
        <item m="1" x="1709"/>
        <item m="1" x="1777"/>
        <item m="1" x="2525"/>
        <item m="1" x="719"/>
        <item m="1" x="1927"/>
        <item m="1" x="1996"/>
        <item m="1" x="846"/>
        <item m="1" x="2526"/>
        <item m="1" x="2392"/>
        <item m="1" x="519"/>
        <item m="1" x="1086"/>
        <item m="1" x="2059"/>
        <item m="1" x="598"/>
        <item m="1" x="757"/>
        <item m="1" x="535"/>
        <item m="1" x="2133"/>
        <item m="1" x="2527"/>
        <item m="1" x="204"/>
        <item m="1" x="720"/>
        <item x="35"/>
        <item m="1" x="1713"/>
        <item m="1" x="1014"/>
        <item m="1" x="1424"/>
        <item m="1" x="941"/>
        <item m="1" x="2712"/>
        <item m="1" x="420"/>
        <item m="1" x="2528"/>
        <item m="1" x="1391"/>
        <item m="1" x="2012"/>
        <item m="1" x="2573"/>
        <item m="1" x="938"/>
        <item m="1" x="2134"/>
        <item m="1" x="267"/>
        <item m="1" x="2529"/>
        <item m="1" x="1293"/>
        <item m="1" x="614"/>
        <item sd="0" m="1" x="2722"/>
        <item m="1" x="2593"/>
        <item m="1" x="1416"/>
        <item m="1" x="324"/>
        <item m="1" x="428"/>
        <item m="1" x="2530"/>
        <item m="1" x="2029"/>
        <item m="1" x="723"/>
        <item m="1" x="2259"/>
        <item m="1" x="541"/>
        <item m="1" x="1618"/>
        <item m="1" x="1674"/>
        <item m="1" x="1778"/>
        <item m="1" x="911"/>
        <item m="1" x="2531"/>
        <item m="1" x="847"/>
        <item x="23"/>
        <item m="1" x="478"/>
        <item m="1" x="848"/>
        <item m="1" x="929"/>
        <item m="1" x="1844"/>
        <item m="1" x="1715"/>
        <item m="1" x="1710"/>
        <item m="1" x="1004"/>
        <item m="1" x="726"/>
        <item m="1" x="2135"/>
        <item m="1" x="1353"/>
        <item m="1" x="1717"/>
        <item m="1" x="1779"/>
        <item sd="0" m="1" x="465"/>
        <item m="1" x="1260"/>
        <item m="1" x="974"/>
        <item m="1" x="2533"/>
        <item m="1" x="188"/>
        <item m="1" x="2647"/>
        <item m="1" x="2686"/>
        <item m="1" x="866"/>
        <item m="1" x="1811"/>
        <item m="1" x="812"/>
        <item x="43"/>
        <item m="1" x="1718"/>
        <item m="1" x="1719"/>
        <item m="1" x="1398"/>
        <item m="1" x="1720"/>
        <item sd="0" m="1" x="2728"/>
        <item m="1" x="128"/>
        <item m="1" x="205"/>
        <item m="1" x="686"/>
        <item m="1" x="2622"/>
        <item m="1" x="1780"/>
        <item m="1" x="685"/>
        <item m="1" x="2416"/>
        <item m="1" x="2705"/>
        <item m="1" x="1333"/>
        <item m="1" x="1667"/>
        <item m="1" x="2136"/>
        <item m="1" x="1781"/>
        <item m="1" x="329"/>
        <item m="1" x="1724"/>
        <item m="1" x="206"/>
        <item m="1" x="153"/>
        <item m="1" x="2643"/>
        <item m="1" x="849"/>
        <item m="1" x="854"/>
        <item m="1" x="2631"/>
        <item m="1" x="471"/>
        <item m="1" x="2535"/>
        <item m="1" x="1902"/>
        <item m="1" x="722"/>
        <item m="1" x="540"/>
        <item m="1" x="2255"/>
        <item m="1" x="850"/>
        <item m="1" x="183"/>
        <item m="1" x="693"/>
        <item m="1" x="644"/>
        <item m="1" x="1726"/>
        <item m="1" x="967"/>
        <item sd="0" m="1" x="2117"/>
        <item m="1" x="397"/>
        <item m="1" x="1504"/>
        <item x="40"/>
        <item sd="0" m="1" x="2729"/>
        <item m="1" x="1273"/>
        <item m="1" x="2536"/>
        <item m="1" x="2470"/>
        <item m="1" x="429"/>
        <item m="1" x="2537"/>
        <item m="1" x="2538"/>
        <item m="1" x="2569"/>
        <item m="1" x="2539"/>
        <item m="1" x="1460"/>
        <item m="1" x="2058"/>
        <item m="1" x="2540"/>
        <item m="1" x="942"/>
        <item m="1" x="2031"/>
        <item m="1" x="1597"/>
        <item m="1" x="2541"/>
        <item m="1" x="1325"/>
        <item m="1" x="2071"/>
        <item m="1" x="828"/>
        <item m="1" x="430"/>
        <item m="1" x="1356"/>
        <item m="1" x="1031"/>
        <item x="16"/>
        <item m="1" x="1957"/>
        <item m="1" x="1434"/>
        <item m="1" x="874"/>
        <item m="1" x="2542"/>
        <item m="1" x="2543"/>
        <item m="1" x="249"/>
        <item m="1" x="207"/>
        <item m="1" x="2544"/>
        <item m="1" x="2545"/>
        <item m="1" x="2137"/>
        <item m="1" x="2138"/>
        <item m="1" x="1002"/>
        <item m="1" x="134"/>
        <item m="1" x="1732"/>
        <item m="1" x="1326"/>
        <item m="1" x="155"/>
        <item m="1" x="211"/>
        <item m="1" x="1161"/>
        <item x="36"/>
        <item m="1" x="141"/>
        <item m="1" x="2548"/>
        <item m="1" x="508"/>
        <item m="1" x="930"/>
        <item m="1" x="571"/>
        <item m="1" x="2372"/>
        <item m="1" x="2357"/>
        <item m="1" x="241"/>
        <item m="1" x="1733"/>
        <item m="1" x="1734"/>
        <item m="1" x="431"/>
        <item m="1" x="851"/>
        <item m="1" x="2546"/>
        <item m="1" x="532"/>
        <item m="1" x="1521"/>
        <item m="1" x="1554"/>
        <item m="1" x="2547"/>
        <item m="1" x="1782"/>
        <item m="1" x="1903"/>
        <item m="1" x="2549"/>
        <item m="1" x="1735"/>
        <item m="1" x="1650"/>
        <item m="1" x="1736"/>
        <item m="1" x="2708"/>
        <item t="default" sd="0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4"/>
    <field x="0"/>
  </rowFields>
  <rowItems count="1">
    <i t="grand">
      <x/>
    </i>
  </rowItems>
  <colItems count="1">
    <i/>
  </colItems>
  <pageFields count="1">
    <pageField fld="3" hier="-1"/>
  </pageFields>
  <dataFields count="1">
    <dataField name="Total" fld="9" baseField="0" baseItem="0" numFmtId="44"/>
  </dataFields>
  <formats count="9">
    <format dxfId="248">
      <pivotArea collapsedLevelsAreSubtotals="1" fieldPosition="0">
        <references count="1">
          <reference field="4" count="1">
            <x v="275"/>
          </reference>
        </references>
      </pivotArea>
    </format>
    <format dxfId="247">
      <pivotArea collapsedLevelsAreSubtotals="1" fieldPosition="0">
        <references count="1">
          <reference field="4" count="1">
            <x v="664"/>
          </reference>
        </references>
      </pivotArea>
    </format>
    <format dxfId="246">
      <pivotArea collapsedLevelsAreSubtotals="1" fieldPosition="0">
        <references count="1">
          <reference field="4" count="1">
            <x v="789"/>
          </reference>
        </references>
      </pivotArea>
    </format>
    <format dxfId="245">
      <pivotArea collapsedLevelsAreSubtotals="1" fieldPosition="0">
        <references count="1">
          <reference field="4" count="1">
            <x v="1446"/>
          </reference>
        </references>
      </pivotArea>
    </format>
    <format dxfId="244">
      <pivotArea collapsedLevelsAreSubtotals="1" fieldPosition="0">
        <references count="1">
          <reference field="4" count="1">
            <x v="1688"/>
          </reference>
        </references>
      </pivotArea>
    </format>
    <format dxfId="243">
      <pivotArea collapsedLevelsAreSubtotals="1" fieldPosition="0">
        <references count="1">
          <reference field="4" count="1">
            <x v="1989"/>
          </reference>
        </references>
      </pivotArea>
    </format>
    <format dxfId="242">
      <pivotArea dataOnly="0" labelOnly="1" fieldPosition="0">
        <references count="1">
          <reference field="4" count="6">
            <x v="275"/>
            <x v="664"/>
            <x v="789"/>
            <x v="1446"/>
            <x v="1688"/>
            <x v="1989"/>
          </reference>
        </references>
      </pivotArea>
    </format>
    <format dxfId="241">
      <pivotArea field="4" type="button" dataOnly="0" labelOnly="1" outline="0" axis="axisRow" fieldPosition="0"/>
    </format>
    <format dxfId="240">
      <pivotArea dataOnly="0" labelOnly="1" outline="0" axis="axisValues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377EDD-D25D-7547-A2FF-67689B188D81}" name="PivotTable6" cacheId="42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D4:E5" firstHeaderRow="1" firstDataRow="1" firstDataCol="1" rowPageCount="1" colPageCount="1"/>
  <pivotFields count="15">
    <pivotField showAll="0"/>
    <pivotField numFmtId="165" showAll="0"/>
    <pivotField axis="axisRow" showAll="0" measureFilter="1" sortType="ascending">
      <items count="537">
        <item m="1" x="433"/>
        <item x="0"/>
        <item x="1"/>
        <item x="2"/>
        <item m="1" x="209"/>
        <item x="3"/>
        <item m="1" x="352"/>
        <item m="1" x="358"/>
        <item m="1" x="215"/>
        <item m="1" x="182"/>
        <item m="1" x="297"/>
        <item m="1" x="373"/>
        <item m="1" x="192"/>
        <item m="1" x="381"/>
        <item m="1" x="202"/>
        <item m="1" x="303"/>
        <item x="4"/>
        <item x="5"/>
        <item x="6"/>
        <item m="1" x="533"/>
        <item m="1" x="295"/>
        <item m="1" x="184"/>
        <item m="1" x="488"/>
        <item x="7"/>
        <item m="1" x="510"/>
        <item x="8"/>
        <item x="9"/>
        <item x="10"/>
        <item m="1" x="426"/>
        <item x="11"/>
        <item x="12"/>
        <item x="13"/>
        <item x="14"/>
        <item m="1" x="413"/>
        <item m="1" x="518"/>
        <item m="1" x="385"/>
        <item m="1" x="392"/>
        <item x="15"/>
        <item x="16"/>
        <item m="1" x="504"/>
        <item x="17"/>
        <item m="1" x="447"/>
        <item m="1" x="481"/>
        <item x="18"/>
        <item x="19"/>
        <item m="1" x="347"/>
        <item m="1" x="354"/>
        <item m="1" x="411"/>
        <item m="1" x="418"/>
        <item m="1" x="186"/>
        <item x="20"/>
        <item m="1" x="277"/>
        <item m="1" x="214"/>
        <item x="21"/>
        <item m="1" x="479"/>
        <item m="1" x="436"/>
        <item x="22"/>
        <item m="1" x="367"/>
        <item m="1" x="267"/>
        <item x="23"/>
        <item m="1" x="219"/>
        <item x="24"/>
        <item m="1" x="265"/>
        <item m="1" x="357"/>
        <item x="25"/>
        <item x="26"/>
        <item x="27"/>
        <item m="1" x="228"/>
        <item m="1" x="485"/>
        <item x="28"/>
        <item m="1" x="469"/>
        <item m="1" x="394"/>
        <item x="29"/>
        <item m="1" x="435"/>
        <item x="30"/>
        <item m="1" x="248"/>
        <item x="31"/>
        <item x="32"/>
        <item x="33"/>
        <item x="34"/>
        <item x="35"/>
        <item m="1" x="482"/>
        <item x="36"/>
        <item m="1" x="226"/>
        <item m="1" x="235"/>
        <item x="37"/>
        <item m="1" x="283"/>
        <item x="38"/>
        <item m="1" x="213"/>
        <item m="1" x="274"/>
        <item m="1" x="425"/>
        <item m="1" x="205"/>
        <item m="1" x="345"/>
        <item m="1" x="532"/>
        <item m="1" x="346"/>
        <item m="1" x="443"/>
        <item m="1" x="331"/>
        <item m="1" x="396"/>
        <item m="1" x="253"/>
        <item x="39"/>
        <item m="1" x="501"/>
        <item m="1" x="387"/>
        <item x="40"/>
        <item m="1" x="355"/>
        <item x="41"/>
        <item x="42"/>
        <item x="43"/>
        <item x="44"/>
        <item x="45"/>
        <item m="1" x="289"/>
        <item m="1" x="475"/>
        <item m="1" x="521"/>
        <item m="1" x="200"/>
        <item m="1" x="376"/>
        <item m="1" x="221"/>
        <item m="1" x="270"/>
        <item x="46"/>
        <item m="1" x="431"/>
        <item m="1" x="292"/>
        <item m="1" x="414"/>
        <item m="1" x="375"/>
        <item m="1" x="471"/>
        <item x="47"/>
        <item m="1" x="393"/>
        <item x="48"/>
        <item m="1" x="494"/>
        <item x="49"/>
        <item x="50"/>
        <item m="1" x="183"/>
        <item x="51"/>
        <item m="1" x="416"/>
        <item x="52"/>
        <item m="1" x="290"/>
        <item m="1" x="341"/>
        <item m="1" x="439"/>
        <item m="1" x="257"/>
        <item m="1" x="340"/>
        <item m="1" x="256"/>
        <item x="53"/>
        <item m="1" x="203"/>
        <item x="54"/>
        <item x="55"/>
        <item x="56"/>
        <item m="1" x="529"/>
        <item x="57"/>
        <item m="1" x="461"/>
        <item m="1" x="415"/>
        <item x="58"/>
        <item m="1" x="238"/>
        <item x="59"/>
        <item x="60"/>
        <item m="1" x="452"/>
        <item m="1" x="457"/>
        <item x="61"/>
        <item m="1" x="508"/>
        <item m="1" x="208"/>
        <item m="1" x="321"/>
        <item m="1" x="390"/>
        <item x="62"/>
        <item m="1" x="293"/>
        <item m="1" x="232"/>
        <item m="1" x="366"/>
        <item m="1" x="310"/>
        <item x="63"/>
        <item m="1" x="400"/>
        <item m="1" x="446"/>
        <item m="1" x="251"/>
        <item x="64"/>
        <item x="65"/>
        <item m="1" x="349"/>
        <item x="66"/>
        <item x="67"/>
        <item m="1" x="259"/>
        <item m="1" x="519"/>
        <item x="68"/>
        <item m="1" x="490"/>
        <item x="69"/>
        <item m="1" x="344"/>
        <item m="1" x="255"/>
        <item x="70"/>
        <item x="71"/>
        <item m="1" x="406"/>
        <item x="72"/>
        <item m="1" x="458"/>
        <item x="73"/>
        <item m="1" x="196"/>
        <item m="1" x="314"/>
        <item m="1" x="419"/>
        <item x="74"/>
        <item x="75"/>
        <item x="76"/>
        <item m="1" x="404"/>
        <item m="1" x="302"/>
        <item m="1" x="372"/>
        <item m="1" x="316"/>
        <item x="77"/>
        <item m="1" x="279"/>
        <item m="1" x="276"/>
        <item m="1" x="361"/>
        <item m="1" x="468"/>
        <item m="1" x="371"/>
        <item m="1" x="258"/>
        <item m="1" x="260"/>
        <item m="1" x="430"/>
        <item m="1" x="187"/>
        <item x="78"/>
        <item x="79"/>
        <item x="80"/>
        <item m="1" x="227"/>
        <item m="1" x="427"/>
        <item x="81"/>
        <item m="1" x="395"/>
        <item m="1" x="407"/>
        <item m="1" x="473"/>
        <item m="1" x="445"/>
        <item m="1" x="405"/>
        <item m="1" x="252"/>
        <item m="1" x="464"/>
        <item x="82"/>
        <item m="1" x="230"/>
        <item x="83"/>
        <item m="1" x="514"/>
        <item m="1" x="456"/>
        <item m="1" x="517"/>
        <item m="1" x="325"/>
        <item m="1" x="422"/>
        <item m="1" x="505"/>
        <item m="1" x="241"/>
        <item x="84"/>
        <item m="1" x="195"/>
        <item m="1" x="233"/>
        <item x="85"/>
        <item m="1" x="286"/>
        <item m="1" x="250"/>
        <item x="86"/>
        <item m="1" x="189"/>
        <item m="1" x="470"/>
        <item x="87"/>
        <item x="88"/>
        <item x="89"/>
        <item m="1" x="465"/>
        <item x="90"/>
        <item x="91"/>
        <item m="1" x="489"/>
        <item m="1" x="268"/>
        <item m="1" x="300"/>
        <item m="1" x="360"/>
        <item x="92"/>
        <item m="1" x="315"/>
        <item m="1" x="263"/>
        <item m="1" x="278"/>
        <item m="1" x="199"/>
        <item m="1" x="486"/>
        <item m="1" x="454"/>
        <item m="1" x="211"/>
        <item m="1" x="317"/>
        <item x="93"/>
        <item m="1" x="298"/>
        <item m="1" x="288"/>
        <item x="94"/>
        <item m="1" x="448"/>
        <item x="95"/>
        <item m="1" x="307"/>
        <item m="1" x="294"/>
        <item m="1" x="450"/>
        <item m="1" x="190"/>
        <item m="1" x="512"/>
        <item x="96"/>
        <item x="97"/>
        <item x="98"/>
        <item m="1" x="516"/>
        <item m="1" x="365"/>
        <item m="1" x="242"/>
        <item m="1" x="377"/>
        <item m="1" x="491"/>
        <item x="99"/>
        <item m="1" x="472"/>
        <item x="100"/>
        <item m="1" x="384"/>
        <item x="101"/>
        <item x="102"/>
        <item m="1" x="309"/>
        <item m="1" x="311"/>
        <item x="103"/>
        <item x="104"/>
        <item m="1" x="291"/>
        <item m="1" x="338"/>
        <item m="1" x="285"/>
        <item m="1" x="306"/>
        <item x="105"/>
        <item m="1" x="386"/>
        <item m="1" x="197"/>
        <item m="1" x="528"/>
        <item m="1" x="223"/>
        <item m="1" x="275"/>
        <item m="1" x="194"/>
        <item x="106"/>
        <item m="1" x="403"/>
        <item m="1" x="525"/>
        <item m="1" x="324"/>
        <item m="1" x="201"/>
        <item m="1" x="243"/>
        <item x="107"/>
        <item m="1" x="434"/>
        <item m="1" x="362"/>
        <item x="108"/>
        <item m="1" x="363"/>
        <item m="1" x="437"/>
        <item m="1" x="339"/>
        <item m="1" x="329"/>
        <item m="1" x="284"/>
        <item m="1" x="441"/>
        <item x="109"/>
        <item m="1" x="244"/>
        <item x="110"/>
        <item m="1" x="225"/>
        <item m="1" x="442"/>
        <item m="1" x="402"/>
        <item m="1" x="333"/>
        <item m="1" x="224"/>
        <item x="111"/>
        <item m="1" x="217"/>
        <item m="1" x="188"/>
        <item x="112"/>
        <item m="1" x="383"/>
        <item x="113"/>
        <item m="1" x="212"/>
        <item m="1" x="313"/>
        <item x="114"/>
        <item m="1" x="507"/>
        <item x="115"/>
        <item x="116"/>
        <item m="1" x="493"/>
        <item x="117"/>
        <item m="1" x="330"/>
        <item m="1" x="389"/>
        <item m="1" x="234"/>
        <item m="1" x="408"/>
        <item x="118"/>
        <item x="119"/>
        <item m="1" x="220"/>
        <item m="1" x="506"/>
        <item m="1" x="391"/>
        <item x="120"/>
        <item m="1" x="266"/>
        <item m="1" x="509"/>
        <item m="1" x="374"/>
        <item x="121"/>
        <item m="1" x="359"/>
        <item m="1" x="305"/>
        <item m="1" x="282"/>
        <item x="122"/>
        <item m="1" x="280"/>
        <item x="123"/>
        <item x="124"/>
        <item m="1" x="356"/>
        <item m="1" x="327"/>
        <item m="1" x="398"/>
        <item m="1" x="246"/>
        <item m="1" x="498"/>
        <item x="125"/>
        <item x="126"/>
        <item m="1" x="451"/>
        <item x="127"/>
        <item m="1" x="530"/>
        <item m="1" x="388"/>
        <item x="128"/>
        <item m="1" x="206"/>
        <item m="1" x="191"/>
        <item m="1" x="322"/>
        <item x="129"/>
        <item m="1" x="417"/>
        <item m="1" x="308"/>
        <item m="1" x="534"/>
        <item m="1" x="440"/>
        <item m="1" x="254"/>
        <item x="130"/>
        <item m="1" x="455"/>
        <item m="1" x="523"/>
        <item x="131"/>
        <item m="1" x="296"/>
        <item x="132"/>
        <item x="133"/>
        <item m="1" x="474"/>
        <item m="1" x="334"/>
        <item m="1" x="531"/>
        <item m="1" x="229"/>
        <item x="134"/>
        <item x="135"/>
        <item m="1" x="535"/>
        <item m="1" x="476"/>
        <item x="136"/>
        <item x="137"/>
        <item m="1" x="239"/>
        <item m="1" x="478"/>
        <item x="138"/>
        <item x="139"/>
        <item x="140"/>
        <item m="1" x="423"/>
        <item m="1" x="401"/>
        <item m="1" x="193"/>
        <item x="141"/>
        <item m="1" x="397"/>
        <item m="1" x="526"/>
        <item x="142"/>
        <item m="1" x="271"/>
        <item x="143"/>
        <item m="1" x="428"/>
        <item x="144"/>
        <item x="145"/>
        <item x="146"/>
        <item x="147"/>
        <item x="148"/>
        <item m="1" x="247"/>
        <item x="149"/>
        <item m="1" x="502"/>
        <item m="1" x="207"/>
        <item m="1" x="222"/>
        <item m="1" x="462"/>
        <item m="1" x="520"/>
        <item m="1" x="410"/>
        <item m="1" x="336"/>
        <item m="1" x="511"/>
        <item m="1" x="328"/>
        <item m="1" x="424"/>
        <item m="1" x="421"/>
        <item m="1" x="499"/>
        <item m="1" x="515"/>
        <item m="1" x="527"/>
        <item m="1" x="379"/>
        <item x="150"/>
        <item m="1" x="369"/>
        <item x="151"/>
        <item m="1" x="237"/>
        <item m="1" x="323"/>
        <item x="152"/>
        <item x="153"/>
        <item x="154"/>
        <item m="1" x="348"/>
        <item m="1" x="236"/>
        <item x="155"/>
        <item x="156"/>
        <item m="1" x="483"/>
        <item m="1" x="420"/>
        <item m="1" x="503"/>
        <item m="1" x="332"/>
        <item m="1" x="204"/>
        <item m="1" x="460"/>
        <item x="157"/>
        <item x="158"/>
        <item m="1" x="326"/>
        <item m="1" x="513"/>
        <item x="159"/>
        <item m="1" x="351"/>
        <item m="1" x="216"/>
        <item m="1" x="262"/>
        <item m="1" x="320"/>
        <item m="1" x="453"/>
        <item m="1" x="272"/>
        <item m="1" x="500"/>
        <item x="160"/>
        <item m="1" x="484"/>
        <item m="1" x="231"/>
        <item m="1" x="399"/>
        <item x="161"/>
        <item m="1" x="304"/>
        <item m="1" x="382"/>
        <item m="1" x="318"/>
        <item m="1" x="319"/>
        <item m="1" x="429"/>
        <item m="1" x="378"/>
        <item m="1" x="269"/>
        <item m="1" x="496"/>
        <item m="1" x="281"/>
        <item m="1" x="495"/>
        <item m="1" x="301"/>
        <item x="162"/>
        <item x="163"/>
        <item m="1" x="353"/>
        <item m="1" x="210"/>
        <item m="1" x="343"/>
        <item m="1" x="312"/>
        <item m="1" x="497"/>
        <item m="1" x="185"/>
        <item m="1" x="350"/>
        <item m="1" x="249"/>
        <item m="1" x="368"/>
        <item m="1" x="438"/>
        <item m="1" x="264"/>
        <item m="1" x="342"/>
        <item m="1" x="198"/>
        <item m="1" x="240"/>
        <item m="1" x="467"/>
        <item x="164"/>
        <item m="1" x="337"/>
        <item m="1" x="524"/>
        <item m="1" x="299"/>
        <item x="165"/>
        <item m="1" x="459"/>
        <item m="1" x="218"/>
        <item m="1" x="466"/>
        <item m="1" x="492"/>
        <item x="166"/>
        <item m="1" x="477"/>
        <item m="1" x="449"/>
        <item m="1" x="409"/>
        <item m="1" x="480"/>
        <item x="167"/>
        <item m="1" x="522"/>
        <item x="168"/>
        <item m="1" x="261"/>
        <item m="1" x="245"/>
        <item m="1" x="412"/>
        <item m="1" x="432"/>
        <item x="169"/>
        <item m="1" x="444"/>
        <item m="1" x="370"/>
        <item x="170"/>
        <item x="171"/>
        <item x="172"/>
        <item m="1" x="287"/>
        <item m="1" x="273"/>
        <item x="173"/>
        <item m="1" x="487"/>
        <item x="174"/>
        <item m="1" x="463"/>
        <item x="175"/>
        <item m="1" x="335"/>
        <item x="176"/>
        <item m="1" x="380"/>
        <item m="1" x="364"/>
        <item x="177"/>
        <item x="178"/>
        <item x="179"/>
        <item x="180"/>
        <item m="1" x="181"/>
        <item t="default"/>
      </items>
    </pivotField>
    <pivotField axis="axisPage" multipleItemSelectionAllowed="1" showAll="0">
      <items count="41">
        <item h="1" x="2"/>
        <item h="1" x="7"/>
        <item h="1" x="3"/>
        <item h="1" m="1" x="35"/>
        <item h="1" x="20"/>
        <item h="1" m="1" x="32"/>
        <item h="1" x="5"/>
        <item h="1" x="6"/>
        <item h="1" x="11"/>
        <item h="1" x="15"/>
        <item h="1" m="1" x="30"/>
        <item h="1" x="1"/>
        <item h="1" x="16"/>
        <item h="1" x="21"/>
        <item h="1" x="19"/>
        <item h="1" x="8"/>
        <item h="1" x="0"/>
        <item h="1" x="9"/>
        <item h="1" x="13"/>
        <item h="1" x="4"/>
        <item h="1" x="10"/>
        <item h="1" m="1" x="38"/>
        <item h="1" m="1" x="33"/>
        <item h="1" m="1" x="26"/>
        <item h="1" x="12"/>
        <item h="1" m="1" x="28"/>
        <item h="1" m="1" x="36"/>
        <item h="1" m="1" x="37"/>
        <item h="1" m="1" x="29"/>
        <item h="1" m="1" x="39"/>
        <item h="1" m="1" x="23"/>
        <item h="1" m="1" x="31"/>
        <item h="1" m="1" x="25"/>
        <item h="1" x="17"/>
        <item h="1" m="1" x="34"/>
        <item h="1" x="14"/>
        <item h="1" m="1" x="24"/>
        <item h="1" m="1" x="27"/>
        <item h="1" x="18"/>
        <item h="1" x="22"/>
        <item t="default"/>
      </items>
    </pivotField>
    <pivotField showAll="0"/>
    <pivotField numFmtId="4" showAll="0"/>
    <pivotField numFmtId="4" showAll="0"/>
    <pivotField dataField="1" numFmtId="4" showAll="0"/>
    <pivotField numFmtId="4" showAll="0"/>
    <pivotField numFmtId="4" showAll="0"/>
    <pivotField numFmtId="166" showAll="0"/>
    <pivotField showAll="0"/>
    <pivotField showAll="0"/>
    <pivotField showAll="0"/>
    <pivotField showAll="0"/>
  </pivotFields>
  <rowFields count="1">
    <field x="2"/>
  </rowFields>
  <rowItems count="1">
    <i t="grand">
      <x/>
    </i>
  </rowItems>
  <colItems count="1">
    <i/>
  </colItems>
  <pageFields count="1">
    <pageField fld="3" hier="-1"/>
  </pageFields>
  <dataFields count="1">
    <dataField name="Total" fld="7" baseField="0" baseItem="0" numFmtId="44"/>
  </dataFields>
  <formats count="2">
    <format dxfId="250">
      <pivotArea field="2" type="button" dataOnly="0" labelOnly="1" outline="0" axis="axisRow" fieldPosition="0"/>
    </format>
    <format dxfId="249">
      <pivotArea dataOnly="0" labelOnly="1" outline="0" axis="axisValues" fieldPosition="0"/>
    </format>
  </formats>
  <pivotTableStyleInfo name="PivotStyleLight16" showRowHeaders="1" showColHeaders="1" showRowStripes="1" showColStripes="0" showLastColumn="1"/>
  <filters count="1">
    <filter fld="2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5EF46-E6E1-274E-BD97-314A57316E04}" name="PivotTable6" cacheId="42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D4:E20" firstHeaderRow="1" firstDataRow="1" firstDataCol="1" rowPageCount="1" colPageCount="1"/>
  <pivotFields count="15">
    <pivotField showAll="0"/>
    <pivotField numFmtId="165" showAll="0"/>
    <pivotField axis="axisRow" showAll="0" measureFilter="1" sortType="ascending">
      <items count="537">
        <item m="1" x="433"/>
        <item x="0"/>
        <item x="1"/>
        <item x="2"/>
        <item m="1" x="209"/>
        <item x="3"/>
        <item m="1" x="352"/>
        <item m="1" x="358"/>
        <item m="1" x="215"/>
        <item m="1" x="182"/>
        <item m="1" x="297"/>
        <item m="1" x="373"/>
        <item m="1" x="192"/>
        <item m="1" x="381"/>
        <item m="1" x="202"/>
        <item m="1" x="303"/>
        <item x="4"/>
        <item x="5"/>
        <item x="6"/>
        <item m="1" x="533"/>
        <item m="1" x="295"/>
        <item m="1" x="184"/>
        <item m="1" x="488"/>
        <item x="7"/>
        <item m="1" x="510"/>
        <item x="8"/>
        <item x="9"/>
        <item x="10"/>
        <item m="1" x="426"/>
        <item x="11"/>
        <item x="12"/>
        <item x="13"/>
        <item x="14"/>
        <item m="1" x="413"/>
        <item m="1" x="518"/>
        <item m="1" x="385"/>
        <item m="1" x="392"/>
        <item x="15"/>
        <item x="16"/>
        <item m="1" x="504"/>
        <item x="17"/>
        <item m="1" x="447"/>
        <item m="1" x="481"/>
        <item x="18"/>
        <item x="19"/>
        <item m="1" x="347"/>
        <item m="1" x="354"/>
        <item m="1" x="411"/>
        <item m="1" x="418"/>
        <item m="1" x="186"/>
        <item x="20"/>
        <item m="1" x="277"/>
        <item m="1" x="214"/>
        <item x="21"/>
        <item m="1" x="479"/>
        <item m="1" x="436"/>
        <item x="22"/>
        <item m="1" x="367"/>
        <item m="1" x="267"/>
        <item x="23"/>
        <item m="1" x="219"/>
        <item x="24"/>
        <item m="1" x="265"/>
        <item m="1" x="357"/>
        <item x="25"/>
        <item x="26"/>
        <item x="27"/>
        <item m="1" x="228"/>
        <item m="1" x="485"/>
        <item x="28"/>
        <item m="1" x="469"/>
        <item m="1" x="394"/>
        <item x="29"/>
        <item m="1" x="435"/>
        <item x="30"/>
        <item m="1" x="248"/>
        <item x="31"/>
        <item x="32"/>
        <item x="33"/>
        <item x="34"/>
        <item x="35"/>
        <item m="1" x="482"/>
        <item x="36"/>
        <item m="1" x="226"/>
        <item m="1" x="235"/>
        <item x="37"/>
        <item m="1" x="283"/>
        <item x="38"/>
        <item m="1" x="213"/>
        <item m="1" x="274"/>
        <item m="1" x="425"/>
        <item m="1" x="205"/>
        <item m="1" x="345"/>
        <item m="1" x="532"/>
        <item m="1" x="346"/>
        <item m="1" x="443"/>
        <item m="1" x="331"/>
        <item m="1" x="396"/>
        <item m="1" x="253"/>
        <item x="39"/>
        <item m="1" x="501"/>
        <item m="1" x="387"/>
        <item x="40"/>
        <item m="1" x="355"/>
        <item x="41"/>
        <item x="42"/>
        <item x="43"/>
        <item x="44"/>
        <item x="45"/>
        <item m="1" x="289"/>
        <item m="1" x="475"/>
        <item m="1" x="521"/>
        <item m="1" x="200"/>
        <item m="1" x="376"/>
        <item m="1" x="221"/>
        <item m="1" x="270"/>
        <item x="46"/>
        <item m="1" x="431"/>
        <item m="1" x="292"/>
        <item m="1" x="414"/>
        <item m="1" x="375"/>
        <item m="1" x="471"/>
        <item x="47"/>
        <item m="1" x="393"/>
        <item x="48"/>
        <item m="1" x="494"/>
        <item x="49"/>
        <item x="50"/>
        <item m="1" x="183"/>
        <item x="51"/>
        <item m="1" x="416"/>
        <item x="52"/>
        <item m="1" x="290"/>
        <item m="1" x="341"/>
        <item m="1" x="439"/>
        <item m="1" x="257"/>
        <item m="1" x="340"/>
        <item m="1" x="256"/>
        <item x="53"/>
        <item m="1" x="203"/>
        <item x="54"/>
        <item x="55"/>
        <item x="56"/>
        <item m="1" x="529"/>
        <item x="57"/>
        <item m="1" x="461"/>
        <item m="1" x="415"/>
        <item x="58"/>
        <item m="1" x="238"/>
        <item x="59"/>
        <item x="60"/>
        <item m="1" x="452"/>
        <item m="1" x="457"/>
        <item x="61"/>
        <item m="1" x="508"/>
        <item m="1" x="208"/>
        <item m="1" x="321"/>
        <item m="1" x="390"/>
        <item x="62"/>
        <item m="1" x="293"/>
        <item m="1" x="232"/>
        <item m="1" x="366"/>
        <item m="1" x="310"/>
        <item x="63"/>
        <item m="1" x="400"/>
        <item m="1" x="446"/>
        <item m="1" x="251"/>
        <item x="64"/>
        <item x="65"/>
        <item m="1" x="349"/>
        <item x="66"/>
        <item x="67"/>
        <item m="1" x="259"/>
        <item m="1" x="519"/>
        <item x="68"/>
        <item m="1" x="490"/>
        <item x="69"/>
        <item m="1" x="344"/>
        <item m="1" x="255"/>
        <item x="70"/>
        <item x="71"/>
        <item m="1" x="406"/>
        <item x="72"/>
        <item m="1" x="458"/>
        <item x="73"/>
        <item m="1" x="196"/>
        <item m="1" x="314"/>
        <item m="1" x="419"/>
        <item x="74"/>
        <item x="75"/>
        <item x="76"/>
        <item m="1" x="404"/>
        <item m="1" x="302"/>
        <item m="1" x="372"/>
        <item m="1" x="316"/>
        <item x="77"/>
        <item m="1" x="279"/>
        <item m="1" x="276"/>
        <item m="1" x="361"/>
        <item m="1" x="468"/>
        <item m="1" x="371"/>
        <item m="1" x="258"/>
        <item m="1" x="260"/>
        <item m="1" x="430"/>
        <item m="1" x="187"/>
        <item x="78"/>
        <item x="79"/>
        <item x="80"/>
        <item m="1" x="227"/>
        <item m="1" x="427"/>
        <item x="81"/>
        <item m="1" x="395"/>
        <item m="1" x="407"/>
        <item m="1" x="473"/>
        <item m="1" x="445"/>
        <item m="1" x="405"/>
        <item m="1" x="252"/>
        <item m="1" x="464"/>
        <item x="82"/>
        <item m="1" x="230"/>
        <item x="83"/>
        <item m="1" x="514"/>
        <item m="1" x="456"/>
        <item m="1" x="517"/>
        <item m="1" x="325"/>
        <item m="1" x="422"/>
        <item m="1" x="505"/>
        <item m="1" x="241"/>
        <item x="84"/>
        <item m="1" x="195"/>
        <item m="1" x="233"/>
        <item x="85"/>
        <item m="1" x="286"/>
        <item m="1" x="250"/>
        <item x="86"/>
        <item m="1" x="189"/>
        <item m="1" x="470"/>
        <item x="87"/>
        <item x="88"/>
        <item x="89"/>
        <item m="1" x="465"/>
        <item x="90"/>
        <item x="91"/>
        <item m="1" x="489"/>
        <item m="1" x="268"/>
        <item m="1" x="300"/>
        <item m="1" x="360"/>
        <item x="92"/>
        <item m="1" x="315"/>
        <item m="1" x="263"/>
        <item m="1" x="278"/>
        <item m="1" x="199"/>
        <item m="1" x="486"/>
        <item m="1" x="454"/>
        <item m="1" x="211"/>
        <item m="1" x="317"/>
        <item x="93"/>
        <item m="1" x="298"/>
        <item m="1" x="288"/>
        <item x="94"/>
        <item m="1" x="448"/>
        <item x="95"/>
        <item m="1" x="307"/>
        <item m="1" x="294"/>
        <item m="1" x="450"/>
        <item m="1" x="190"/>
        <item m="1" x="512"/>
        <item x="96"/>
        <item x="97"/>
        <item x="98"/>
        <item m="1" x="516"/>
        <item m="1" x="365"/>
        <item m="1" x="242"/>
        <item m="1" x="377"/>
        <item m="1" x="491"/>
        <item x="99"/>
        <item m="1" x="472"/>
        <item x="100"/>
        <item m="1" x="384"/>
        <item x="101"/>
        <item x="102"/>
        <item m="1" x="309"/>
        <item m="1" x="311"/>
        <item x="103"/>
        <item x="104"/>
        <item m="1" x="291"/>
        <item m="1" x="338"/>
        <item m="1" x="285"/>
        <item m="1" x="306"/>
        <item x="105"/>
        <item m="1" x="386"/>
        <item m="1" x="197"/>
        <item m="1" x="528"/>
        <item m="1" x="223"/>
        <item m="1" x="275"/>
        <item m="1" x="194"/>
        <item x="106"/>
        <item m="1" x="403"/>
        <item m="1" x="525"/>
        <item m="1" x="324"/>
        <item m="1" x="201"/>
        <item m="1" x="243"/>
        <item x="107"/>
        <item m="1" x="434"/>
        <item m="1" x="362"/>
        <item x="108"/>
        <item m="1" x="363"/>
        <item m="1" x="437"/>
        <item m="1" x="339"/>
        <item m="1" x="329"/>
        <item m="1" x="284"/>
        <item m="1" x="441"/>
        <item x="109"/>
        <item m="1" x="244"/>
        <item x="110"/>
        <item m="1" x="225"/>
        <item m="1" x="442"/>
        <item m="1" x="402"/>
        <item m="1" x="333"/>
        <item m="1" x="224"/>
        <item x="111"/>
        <item m="1" x="217"/>
        <item m="1" x="188"/>
        <item x="112"/>
        <item m="1" x="383"/>
        <item x="113"/>
        <item m="1" x="212"/>
        <item m="1" x="313"/>
        <item x="114"/>
        <item m="1" x="507"/>
        <item x="115"/>
        <item x="116"/>
        <item m="1" x="493"/>
        <item x="117"/>
        <item m="1" x="330"/>
        <item m="1" x="389"/>
        <item m="1" x="234"/>
        <item m="1" x="408"/>
        <item x="118"/>
        <item x="119"/>
        <item m="1" x="220"/>
        <item m="1" x="506"/>
        <item m="1" x="391"/>
        <item x="120"/>
        <item m="1" x="266"/>
        <item m="1" x="509"/>
        <item m="1" x="374"/>
        <item x="121"/>
        <item m="1" x="359"/>
        <item m="1" x="305"/>
        <item m="1" x="282"/>
        <item x="122"/>
        <item m="1" x="280"/>
        <item x="123"/>
        <item x="124"/>
        <item m="1" x="356"/>
        <item m="1" x="327"/>
        <item m="1" x="398"/>
        <item m="1" x="246"/>
        <item m="1" x="498"/>
        <item x="125"/>
        <item x="126"/>
        <item m="1" x="451"/>
        <item x="127"/>
        <item m="1" x="530"/>
        <item m="1" x="388"/>
        <item x="128"/>
        <item m="1" x="206"/>
        <item m="1" x="191"/>
        <item m="1" x="322"/>
        <item x="129"/>
        <item m="1" x="417"/>
        <item m="1" x="308"/>
        <item m="1" x="534"/>
        <item m="1" x="440"/>
        <item m="1" x="254"/>
        <item x="130"/>
        <item m="1" x="455"/>
        <item m="1" x="523"/>
        <item x="131"/>
        <item m="1" x="296"/>
        <item x="132"/>
        <item x="133"/>
        <item m="1" x="474"/>
        <item m="1" x="334"/>
        <item m="1" x="531"/>
        <item m="1" x="229"/>
        <item x="134"/>
        <item x="135"/>
        <item m="1" x="535"/>
        <item m="1" x="476"/>
        <item x="136"/>
        <item x="137"/>
        <item m="1" x="239"/>
        <item m="1" x="478"/>
        <item x="138"/>
        <item x="139"/>
        <item x="140"/>
        <item m="1" x="423"/>
        <item m="1" x="401"/>
        <item m="1" x="193"/>
        <item x="141"/>
        <item m="1" x="397"/>
        <item m="1" x="526"/>
        <item x="142"/>
        <item m="1" x="271"/>
        <item x="143"/>
        <item m="1" x="428"/>
        <item x="144"/>
        <item x="145"/>
        <item x="146"/>
        <item x="147"/>
        <item x="148"/>
        <item m="1" x="247"/>
        <item x="149"/>
        <item m="1" x="502"/>
        <item m="1" x="207"/>
        <item m="1" x="222"/>
        <item m="1" x="462"/>
        <item m="1" x="520"/>
        <item m="1" x="410"/>
        <item m="1" x="336"/>
        <item m="1" x="511"/>
        <item m="1" x="328"/>
        <item m="1" x="424"/>
        <item m="1" x="421"/>
        <item m="1" x="499"/>
        <item m="1" x="515"/>
        <item m="1" x="527"/>
        <item m="1" x="379"/>
        <item x="150"/>
        <item m="1" x="369"/>
        <item x="151"/>
        <item m="1" x="237"/>
        <item m="1" x="323"/>
        <item x="152"/>
        <item x="153"/>
        <item x="154"/>
        <item m="1" x="348"/>
        <item m="1" x="236"/>
        <item x="155"/>
        <item x="156"/>
        <item m="1" x="483"/>
        <item m="1" x="420"/>
        <item m="1" x="503"/>
        <item m="1" x="332"/>
        <item m="1" x="204"/>
        <item m="1" x="460"/>
        <item x="157"/>
        <item x="158"/>
        <item m="1" x="326"/>
        <item m="1" x="513"/>
        <item x="159"/>
        <item m="1" x="351"/>
        <item m="1" x="216"/>
        <item m="1" x="262"/>
        <item m="1" x="320"/>
        <item m="1" x="453"/>
        <item m="1" x="272"/>
        <item m="1" x="500"/>
        <item x="160"/>
        <item m="1" x="484"/>
        <item m="1" x="231"/>
        <item m="1" x="399"/>
        <item x="161"/>
        <item m="1" x="304"/>
        <item m="1" x="382"/>
        <item m="1" x="318"/>
        <item m="1" x="319"/>
        <item m="1" x="429"/>
        <item m="1" x="378"/>
        <item m="1" x="269"/>
        <item m="1" x="496"/>
        <item m="1" x="281"/>
        <item m="1" x="495"/>
        <item m="1" x="301"/>
        <item x="162"/>
        <item x="163"/>
        <item m="1" x="353"/>
        <item m="1" x="210"/>
        <item m="1" x="343"/>
        <item m="1" x="312"/>
        <item m="1" x="497"/>
        <item m="1" x="185"/>
        <item m="1" x="350"/>
        <item m="1" x="249"/>
        <item m="1" x="368"/>
        <item m="1" x="438"/>
        <item m="1" x="264"/>
        <item m="1" x="342"/>
        <item m="1" x="198"/>
        <item m="1" x="240"/>
        <item m="1" x="467"/>
        <item x="164"/>
        <item m="1" x="337"/>
        <item m="1" x="524"/>
        <item m="1" x="299"/>
        <item x="165"/>
        <item m="1" x="459"/>
        <item m="1" x="218"/>
        <item m="1" x="466"/>
        <item m="1" x="492"/>
        <item x="166"/>
        <item m="1" x="477"/>
        <item m="1" x="449"/>
        <item m="1" x="409"/>
        <item m="1" x="480"/>
        <item x="167"/>
        <item m="1" x="522"/>
        <item x="168"/>
        <item m="1" x="261"/>
        <item m="1" x="245"/>
        <item m="1" x="412"/>
        <item m="1" x="432"/>
        <item x="169"/>
        <item m="1" x="444"/>
        <item m="1" x="370"/>
        <item x="170"/>
        <item x="171"/>
        <item x="172"/>
        <item m="1" x="287"/>
        <item m="1" x="273"/>
        <item x="173"/>
        <item m="1" x="487"/>
        <item x="174"/>
        <item m="1" x="463"/>
        <item x="175"/>
        <item m="1" x="335"/>
        <item x="176"/>
        <item m="1" x="380"/>
        <item m="1" x="364"/>
        <item x="177"/>
        <item x="178"/>
        <item x="179"/>
        <item x="180"/>
        <item m="1" x="181"/>
        <item t="default"/>
      </items>
    </pivotField>
    <pivotField axis="axisPage" multipleItemSelectionAllowed="1" showAll="0">
      <items count="41">
        <item h="1" x="2"/>
        <item h="1" x="7"/>
        <item x="3"/>
        <item h="1" m="1" x="35"/>
        <item h="1" x="20"/>
        <item h="1" m="1" x="32"/>
        <item h="1" x="5"/>
        <item h="1" x="6"/>
        <item h="1" x="11"/>
        <item h="1" x="15"/>
        <item h="1" m="1" x="30"/>
        <item h="1" x="1"/>
        <item h="1" x="16"/>
        <item h="1" x="21"/>
        <item h="1" x="19"/>
        <item h="1" x="8"/>
        <item h="1" x="0"/>
        <item h="1" x="9"/>
        <item h="1" x="13"/>
        <item h="1" x="4"/>
        <item h="1" x="10"/>
        <item h="1" m="1" x="38"/>
        <item h="1" m="1" x="33"/>
        <item h="1" m="1" x="26"/>
        <item h="1" x="12"/>
        <item h="1" m="1" x="28"/>
        <item h="1" m="1" x="36"/>
        <item h="1" m="1" x="37"/>
        <item h="1" m="1" x="29"/>
        <item h="1" m="1" x="39"/>
        <item h="1" m="1" x="23"/>
        <item h="1" m="1" x="31"/>
        <item h="1" m="1" x="25"/>
        <item h="1" x="17"/>
        <item h="1" m="1" x="34"/>
        <item h="1" x="14"/>
        <item h="1" m="1" x="24"/>
        <item h="1" m="1" x="27"/>
        <item h="1" x="18"/>
        <item h="1" x="22"/>
        <item t="default"/>
      </items>
    </pivotField>
    <pivotField showAll="0"/>
    <pivotField numFmtId="4" showAll="0"/>
    <pivotField numFmtId="4" showAll="0"/>
    <pivotField dataField="1" numFmtId="4" showAll="0"/>
    <pivotField numFmtId="4" showAll="0"/>
    <pivotField numFmtId="4" showAll="0"/>
    <pivotField numFmtId="166" showAll="0"/>
    <pivotField showAll="0"/>
    <pivotField showAll="0"/>
    <pivotField showAll="0"/>
    <pivotField showAll="0"/>
  </pivotFields>
  <rowFields count="1">
    <field x="2"/>
  </rowFields>
  <rowItems count="16">
    <i>
      <x v="26"/>
    </i>
    <i>
      <x v="29"/>
    </i>
    <i>
      <x v="30"/>
    </i>
    <i>
      <x v="53"/>
    </i>
    <i>
      <x v="82"/>
    </i>
    <i>
      <x v="116"/>
    </i>
    <i>
      <x v="195"/>
    </i>
    <i>
      <x v="205"/>
    </i>
    <i>
      <x v="206"/>
    </i>
    <i>
      <x v="207"/>
    </i>
    <i>
      <x v="391"/>
    </i>
    <i>
      <x v="452"/>
    </i>
    <i>
      <x v="460"/>
    </i>
    <i>
      <x v="497"/>
    </i>
    <i>
      <x v="528"/>
    </i>
    <i t="grand">
      <x/>
    </i>
  </rowItems>
  <colItems count="1">
    <i/>
  </colItems>
  <pageFields count="1">
    <pageField fld="3" hier="-1"/>
  </pageFields>
  <dataFields count="1">
    <dataField name="Total" fld="7" baseField="0" baseItem="0" numFmtId="44"/>
  </dataFields>
  <formats count="2">
    <format dxfId="230">
      <pivotArea field="2" type="button" dataOnly="0" labelOnly="1" outline="0" axis="axisRow" fieldPosition="0"/>
    </format>
    <format dxfId="229">
      <pivotArea dataOnly="0" labelOnly="1" outline="0" axis="axisValues" fieldPosition="0"/>
    </format>
  </formats>
  <pivotTableStyleInfo name="PivotStyleLight16" showRowHeaders="1" showColHeaders="1" showRowStripes="1" showColStripes="0" showLastColumn="1"/>
  <filters count="1">
    <filter fld="2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5" cacheId="4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A4:B12" firstHeaderRow="1" firstDataRow="1" firstDataCol="1" rowPageCount="1" colPageCount="1"/>
  <pivotFields count="15">
    <pivotField axis="axisRow" showAll="0">
      <items count="71">
        <item x="56"/>
        <item x="64"/>
        <item x="57"/>
        <item x="65"/>
        <item x="25"/>
        <item x="34"/>
        <item x="36"/>
        <item x="30"/>
        <item x="21"/>
        <item x="52"/>
        <item x="13"/>
        <item x="44"/>
        <item x="14"/>
        <item x="22"/>
        <item x="16"/>
        <item x="29"/>
        <item x="2"/>
        <item x="8"/>
        <item x="51"/>
        <item x="20"/>
        <item x="26"/>
        <item x="35"/>
        <item x="19"/>
        <item x="6"/>
        <item x="61"/>
        <item x="4"/>
        <item x="43"/>
        <item x="11"/>
        <item x="54"/>
        <item x="33"/>
        <item x="38"/>
        <item x="39"/>
        <item x="63"/>
        <item x="17"/>
        <item x="55"/>
        <item x="0"/>
        <item x="1"/>
        <item m="1" x="67"/>
        <item x="46"/>
        <item x="45"/>
        <item x="24"/>
        <item x="18"/>
        <item x="50"/>
        <item x="58"/>
        <item x="59"/>
        <item x="7"/>
        <item x="47"/>
        <item x="31"/>
        <item x="53"/>
        <item x="48"/>
        <item x="23"/>
        <item x="27"/>
        <item x="32"/>
        <item x="37"/>
        <item x="49"/>
        <item m="1" x="68"/>
        <item m="1" x="69"/>
        <item x="3"/>
        <item x="9"/>
        <item x="60"/>
        <item x="28"/>
        <item x="10"/>
        <item x="66"/>
        <item x="62"/>
        <item x="40"/>
        <item x="41"/>
        <item x="42"/>
        <item x="12"/>
        <item x="15"/>
        <item x="5"/>
        <item t="default"/>
      </items>
    </pivotField>
    <pivotField showAll="0"/>
    <pivotField showAll="0"/>
    <pivotField axis="axisPage" multipleItemSelectionAllowed="1" showAll="0">
      <items count="49">
        <item x="10"/>
        <item h="1" x="15"/>
        <item h="1" x="17"/>
        <item h="1" x="5"/>
        <item h="1" x="7"/>
        <item h="1" m="1" x="18"/>
        <item h="1" x="6"/>
        <item h="1" x="12"/>
        <item h="1" x="14"/>
        <item h="1" m="1" x="36"/>
        <item h="1" x="3"/>
        <item h="1" x="8"/>
        <item h="1" x="9"/>
        <item h="1" m="1" x="41"/>
        <item h="1" m="1" x="42"/>
        <item h="1" x="13"/>
        <item h="1" x="0"/>
        <item h="1" m="1" x="23"/>
        <item h="1" m="1" x="45"/>
        <item h="1" m="1" x="47"/>
        <item h="1" x="1"/>
        <item h="1" m="1" x="39"/>
        <item h="1" x="4"/>
        <item h="1" m="1" x="44"/>
        <item h="1" m="1" x="46"/>
        <item h="1" x="2"/>
        <item h="1" m="1" x="40"/>
        <item h="1" x="11"/>
        <item h="1" m="1" x="34"/>
        <item h="1" m="1" x="21"/>
        <item h="1" m="1" x="31"/>
        <item h="1" m="1" x="33"/>
        <item h="1" m="1" x="22"/>
        <item h="1" m="1" x="20"/>
        <item h="1" m="1" x="26"/>
        <item h="1" m="1" x="27"/>
        <item h="1" m="1" x="19"/>
        <item h="1" x="16"/>
        <item h="1" m="1" x="43"/>
        <item h="1" m="1" x="24"/>
        <item h="1" m="1" x="25"/>
        <item h="1" m="1" x="28"/>
        <item h="1" m="1" x="29"/>
        <item h="1" m="1" x="30"/>
        <item h="1" m="1" x="32"/>
        <item h="1" m="1" x="35"/>
        <item h="1" m="1" x="37"/>
        <item h="1" m="1" x="38"/>
        <item t="default"/>
      </items>
    </pivotField>
    <pivotField axis="axisRow" showAll="0" sortType="ascending">
      <items count="2742">
        <item m="1" x="956"/>
        <item m="1" x="1464"/>
        <item m="1" x="2141"/>
        <item m="1" x="272"/>
        <item m="1" x="870"/>
        <item m="1" x="575"/>
        <item m="1" x="2057"/>
        <item m="1" x="1442"/>
        <item m="1" x="361"/>
        <item m="1" x="118"/>
        <item m="1" x="1346"/>
        <item m="1" x="725"/>
        <item m="1" x="1254"/>
        <item m="1" x="282"/>
        <item m="1" x="2036"/>
        <item m="1" x="2157"/>
        <item m="1" x="1796"/>
        <item m="1" x="951"/>
        <item m="1" x="1887"/>
        <item m="1" x="1870"/>
        <item m="1" x="2717"/>
        <item x="5"/>
        <item m="1" x="491"/>
        <item m="1" x="1549"/>
        <item m="1" x="1484"/>
        <item m="1" x="727"/>
        <item m="1" x="1288"/>
        <item m="1" x="1739"/>
        <item m="1" x="804"/>
        <item m="1" x="451"/>
        <item m="1" x="1888"/>
        <item x="12"/>
        <item m="1" x="2159"/>
        <item m="1" x="1623"/>
        <item m="1" x="2037"/>
        <item m="1" x="78"/>
        <item m="1" x="2611"/>
        <item m="1" x="1378"/>
        <item m="1" x="1556"/>
        <item m="1" x="959"/>
        <item m="1" x="177"/>
        <item m="1" x="2038"/>
        <item m="1" x="1737"/>
        <item m="1" x="2160"/>
        <item m="1" x="2161"/>
        <item m="1" x="357"/>
        <item m="1" x="1142"/>
        <item m="1" x="1003"/>
        <item m="1" x="2688"/>
        <item m="1" x="2162"/>
        <item m="1" x="1096"/>
        <item m="1" x="1016"/>
        <item m="1" x="2039"/>
        <item m="1" x="88"/>
        <item m="1" x="1738"/>
        <item m="1" x="2163"/>
        <item m="1" x="1459"/>
        <item m="1" x="2164"/>
        <item m="1" x="2153"/>
        <item m="1" x="89"/>
        <item m="1" x="2165"/>
        <item m="1" x="730"/>
        <item m="1" x="1630"/>
        <item m="1" x="1005"/>
        <item m="1" x="2166"/>
        <item m="1" x="1348"/>
        <item m="1" x="1006"/>
        <item m="1" x="731"/>
        <item m="1" x="1651"/>
        <item m="1" x="2167"/>
        <item m="1" x="1008"/>
        <item m="1" x="2168"/>
        <item m="1" x="1367"/>
        <item m="1" x="2146"/>
        <item m="1" x="90"/>
        <item m="1" x="2169"/>
        <item m="1" x="266"/>
        <item m="1" x="922"/>
        <item m="1" x="442"/>
        <item m="1" x="364"/>
        <item m="1" x="732"/>
        <item m="1" x="1555"/>
        <item m="1" x="2170"/>
        <item m="1" x="418"/>
        <item m="1" x="887"/>
        <item m="1" x="265"/>
        <item m="1" x="292"/>
        <item m="1" x="2171"/>
        <item m="1" x="68"/>
        <item m="1" x="521"/>
        <item m="1" x="616"/>
        <item m="1" x="2484"/>
        <item m="1" x="617"/>
        <item m="1" x="284"/>
        <item m="1" x="2172"/>
        <item m="1" x="2659"/>
        <item m="1" x="1617"/>
        <item m="1" x="1363"/>
        <item m="1" x="2173"/>
        <item m="1" x="232"/>
        <item m="1" x="2174"/>
        <item m="1" x="2175"/>
        <item m="1" x="2176"/>
        <item m="1" x="2040"/>
        <item m="1" x="562"/>
        <item m="1" x="1476"/>
        <item m="1" x="242"/>
        <item m="1" x="181"/>
        <item m="1" x="1465"/>
        <item m="1" x="2678"/>
        <item m="1" x="1482"/>
        <item m="1" x="815"/>
        <item m="1" x="1128"/>
        <item m="1" x="2489"/>
        <item m="1" x="2177"/>
        <item m="1" x="2385"/>
        <item m="1" x="1129"/>
        <item m="1" x="2178"/>
        <item m="1" x="2181"/>
        <item m="1" x="1012"/>
        <item m="1" x="890"/>
        <item m="1" x="2182"/>
        <item m="1" x="1874"/>
        <item m="1" x="2183"/>
        <item m="1" x="1727"/>
        <item m="1" x="2184"/>
        <item m="1" x="1408"/>
        <item m="1" x="238"/>
        <item m="1" x="2185"/>
        <item m="1" x="93"/>
        <item m="1" x="1041"/>
        <item m="1" x="734"/>
        <item m="1" x="1042"/>
        <item m="1" x="1309"/>
        <item m="1" x="1399"/>
        <item m="1" x="1547"/>
        <item m="1" x="2186"/>
        <item m="1" x="344"/>
        <item m="1" x="94"/>
        <item m="1" x="2187"/>
        <item m="1" x="2188"/>
        <item m="1" x="983"/>
        <item m="1" x="2041"/>
        <item m="1" x="547"/>
        <item m="1" x="1359"/>
        <item m="1" x="1303"/>
        <item m="1" x="1552"/>
        <item m="1" x="981"/>
        <item m="1" x="54"/>
        <item m="1" x="255"/>
        <item m="1" x="497"/>
        <item m="1" x="2190"/>
        <item m="1" x="2191"/>
        <item m="1" x="2192"/>
        <item m="1" x="2650"/>
        <item m="1" x="621"/>
        <item m="1" x="1045"/>
        <item m="1" x="880"/>
        <item m="1" x="1046"/>
        <item m="1" x="274"/>
        <item m="1" x="1047"/>
        <item m="1" x="2193"/>
        <item m="1" x="1049"/>
        <item m="1" x="1050"/>
        <item m="1" x="1962"/>
        <item m="1" x="735"/>
        <item m="1" x="2194"/>
        <item m="1" x="2083"/>
        <item m="1" x="2682"/>
        <item m="1" x="287"/>
        <item m="1" x="432"/>
        <item m="1" x="472"/>
        <item m="1" x="1868"/>
        <item m="1" x="419"/>
        <item m="1" x="2389"/>
        <item m="1" x="1052"/>
        <item m="1" x="1053"/>
        <item m="1" x="2618"/>
        <item m="1" x="2637"/>
        <item m="1" x="2641"/>
        <item m="1" x="366"/>
        <item m="1" x="296"/>
        <item m="1" x="1218"/>
        <item m="1" x="1151"/>
        <item m="1" x="620"/>
        <item m="1" x="1344"/>
        <item m="1" x="1203"/>
        <item m="1" x="2195"/>
        <item m="1" x="736"/>
        <item m="1" x="538"/>
        <item m="1" x="2196"/>
        <item m="1" x="1200"/>
        <item m="1" x="1873"/>
        <item m="1" x="1744"/>
        <item m="1" x="2197"/>
        <item m="1" x="1505"/>
        <item m="1" x="622"/>
        <item m="1" x="2261"/>
        <item m="1" x="2000"/>
        <item m="1" x="374"/>
        <item m="1" x="1741"/>
        <item m="1" x="1948"/>
        <item m="1" x="1056"/>
        <item m="1" x="304"/>
        <item m="1" x="498"/>
        <item m="1" x="737"/>
        <item m="1" x="2042"/>
        <item m="1" x="2198"/>
        <item m="1" x="1643"/>
        <item m="1" x="1475"/>
        <item m="1" x="738"/>
        <item m="1" x="1058"/>
        <item m="1" x="1863"/>
        <item m="1" x="2635"/>
        <item m="1" x="97"/>
        <item m="1" x="739"/>
        <item m="1" x="516"/>
        <item m="1" x="807"/>
        <item m="1" x="2651"/>
        <item m="1" x="2115"/>
        <item m="1" x="625"/>
        <item m="1" x="1978"/>
        <item m="1" x="2043"/>
        <item m="1" x="895"/>
        <item m="1" x="626"/>
        <item m="1" x="1063"/>
        <item m="1" x="1253"/>
        <item m="1" x="1393"/>
        <item m="1" x="1020"/>
        <item m="1" x="492"/>
        <item m="1" x="1804"/>
        <item m="1" x="2085"/>
        <item m="1" x="1900"/>
        <item m="1" x="1886"/>
        <item m="1" x="573"/>
        <item m="1" x="2638"/>
        <item m="1" x="628"/>
        <item m="1" x="2508"/>
        <item m="1" x="464"/>
        <item m="1" x="1224"/>
        <item m="1" x="2002"/>
        <item m="1" x="1500"/>
        <item m="1" x="2199"/>
        <item m="1" x="448"/>
        <item m="1" x="412"/>
        <item m="1" x="98"/>
        <item m="1" x="1575"/>
        <item m="1" x="2601"/>
        <item m="1" x="1508"/>
        <item m="1" x="741"/>
        <item m="1" x="2200"/>
        <item m="1" x="175"/>
        <item m="1" x="1349"/>
        <item m="1" x="1622"/>
        <item m="1" x="2080"/>
        <item m="1" x="806"/>
        <item m="1" x="1981"/>
        <item m="1" x="594"/>
        <item m="1" x="2201"/>
        <item m="1" x="1947"/>
        <item m="1" x="1069"/>
        <item sd="0" m="1" x="47"/>
        <item m="1" x="1382"/>
        <item m="1" x="1701"/>
        <item m="1" x="2681"/>
        <item m="1" x="1355"/>
        <item m="1" x="2202"/>
        <item m="1" x="1364"/>
        <item m="1" x="743"/>
        <item m="1" x="1072"/>
        <item m="1" x="1327"/>
        <item m="1" x="1240"/>
        <item m="1" x="250"/>
        <item m="1" x="2704"/>
        <item sd="0" m="1" x="301"/>
        <item sd="0" m="1" x="2726"/>
        <item m="1" x="2572"/>
        <item m="1" x="744"/>
        <item m="1" x="2018"/>
        <item m="1" x="1073"/>
        <item m="1" x="745"/>
        <item m="1" x="746"/>
        <item m="1" x="2204"/>
        <item m="1" x="1137"/>
        <item m="1" x="2205"/>
        <item m="1" x="529"/>
        <item m="1" x="577"/>
        <item m="1" x="215"/>
        <item m="1" x="499"/>
        <item m="1" x="1418"/>
        <item m="1" x="1940"/>
        <item m="1" x="474"/>
        <item m="1" x="986"/>
        <item m="1" x="72"/>
        <item m="1" x="1388"/>
        <item m="1" x="2206"/>
        <item m="1" x="99"/>
        <item m="1" x="1330"/>
        <item m="1" x="1237"/>
        <item m="1" x="1282"/>
        <item m="1" x="1294"/>
        <item m="1" x="2207"/>
        <item m="1" x="2208"/>
        <item m="1" x="811"/>
        <item m="1" x="747"/>
        <item m="1" x="1310"/>
        <item m="1" x="2081"/>
        <item m="1" x="1771"/>
        <item m="1" x="449"/>
        <item m="1" x="1341"/>
        <item m="1" x="1878"/>
        <item m="1" x="159"/>
        <item m="1" x="576"/>
        <item m="1" x="551"/>
        <item m="1" x="2209"/>
        <item m="1" x="2003"/>
        <item m="1" x="1078"/>
        <item m="1" x="2210"/>
        <item m="1" x="1453"/>
        <item m="1" x="1935"/>
        <item m="1" x="251"/>
        <item m="1" x="1574"/>
        <item m="1" x="1306"/>
        <item m="1" x="1905"/>
        <item m="1" x="1652"/>
        <item m="1" x="313"/>
        <item m="1" x="631"/>
        <item m="1" x="1079"/>
        <item m="1" x="526"/>
        <item m="1" x="1757"/>
        <item m="1" x="2211"/>
        <item m="1" x="1037"/>
        <item m="1" x="561"/>
        <item m="1" x="926"/>
        <item m="1" x="2577"/>
        <item m="1" x="2212"/>
        <item m="1" x="1360"/>
        <item m="1" x="2086"/>
        <item m="1" x="1377"/>
        <item m="1" x="2213"/>
        <item m="1" x="100"/>
        <item m="1" x="476"/>
        <item m="1" x="1336"/>
        <item m="1" x="1907"/>
        <item m="1" x="1956"/>
        <item m="1" x="1909"/>
        <item m="1" x="452"/>
        <item m="1" x="109"/>
        <item m="1" x="399"/>
        <item m="1" x="1083"/>
        <item m="1" x="2214"/>
        <item m="1" x="1085"/>
        <item m="1" x="748"/>
        <item m="1" x="2215"/>
        <item m="1" x="2589"/>
        <item m="1" x="1087"/>
        <item m="1" x="254"/>
        <item m="1" x="2563"/>
        <item m="1" x="749"/>
        <item m="1" x="1088"/>
        <item m="1" x="2581"/>
        <item m="1" x="81"/>
        <item m="1" x="1095"/>
        <item m="1" x="158"/>
        <item m="1" x="950"/>
        <item m="1" x="979"/>
        <item m="1" x="1098"/>
        <item sd="0" m="1" x="2571"/>
        <item m="1" x="1084"/>
        <item x="38"/>
        <item m="1" x="2630"/>
        <item m="1" x="103"/>
        <item m="1" x="2716"/>
        <item m="1" x="633"/>
        <item m="1" x="1438"/>
        <item m="1" x="1147"/>
        <item m="1" x="1520"/>
        <item m="1" x="1149"/>
        <item m="1" x="102"/>
        <item m="1" x="1091"/>
        <item m="1" x="115"/>
        <item sd="0" m="1" x="116"/>
        <item m="1" x="1152"/>
        <item m="1" x="618"/>
        <item m="1" x="1380"/>
        <item m="1" x="117"/>
        <item m="1" x="649"/>
        <item m="1" x="648"/>
        <item m="1" x="1089"/>
        <item m="1" x="2670"/>
        <item m="1" x="2216"/>
        <item m="1" x="1090"/>
        <item m="1" x="2004"/>
        <item m="1" x="1021"/>
        <item m="1" x="523"/>
        <item m="1" x="578"/>
        <item m="1" x="1764"/>
        <item m="1" x="908"/>
        <item m="1" x="2560"/>
        <item m="1" x="1803"/>
        <item m="1" x="2242"/>
        <item m="1" x="49"/>
        <item m="1" x="2044"/>
        <item m="1" x="1397"/>
        <item m="1" x="2649"/>
        <item m="1" x="2217"/>
        <item m="1" x="1163"/>
        <item m="1" x="148"/>
        <item m="1" x="2596"/>
        <item m="1" x="167"/>
        <item m="1" x="970"/>
        <item m="1" x="1094"/>
        <item m="1" x="2218"/>
        <item m="1" x="1898"/>
        <item m="1" x="2219"/>
        <item m="1" x="883"/>
        <item m="1" x="873"/>
        <item m="1" x="2600"/>
        <item m="1" x="2380"/>
        <item m="1" x="1932"/>
        <item m="1" x="1062"/>
        <item m="1" x="2220"/>
        <item m="1" x="1952"/>
        <item m="1" x="1082"/>
        <item m="1" x="1289"/>
        <item sd="0" m="1" x="2721"/>
        <item m="1" x="106"/>
        <item m="1" x="360"/>
        <item m="1" x="1998"/>
        <item m="1" x="2339"/>
        <item m="1" x="2667"/>
        <item m="1" x="545"/>
        <item m="1" x="2087"/>
        <item m="1" x="751"/>
        <item m="1" x="107"/>
        <item m="1" x="509"/>
        <item m="1" x="259"/>
        <item m="1" x="1097"/>
        <item m="1" x="1080"/>
        <item x="10"/>
        <item m="1" x="2559"/>
        <item m="1" x="1621"/>
        <item m="1" x="753"/>
        <item m="1" x="331"/>
        <item m="1" x="932"/>
        <item x="22"/>
        <item x="1"/>
        <item m="1" x="2221"/>
        <item m="1" x="2222"/>
        <item m="1" x="369"/>
        <item m="1" x="453"/>
        <item m="1" x="58"/>
        <item m="1" x="437"/>
        <item m="1" x="1687"/>
        <item m="1" x="1099"/>
        <item m="1" x="2224"/>
        <item m="1" x="2045"/>
        <item m="1" x="2608"/>
        <item m="1" x="1783"/>
        <item m="1" x="1885"/>
        <item m="1" x="636"/>
        <item m="1" x="108"/>
        <item m="1" x="52"/>
        <item m="1" x="1103"/>
        <item x="18"/>
        <item m="1" x="1993"/>
        <item m="1" x="2016"/>
        <item m="1" x="1911"/>
        <item m="1" x="593"/>
        <item m="1" x="754"/>
        <item m="1" x="755"/>
        <item m="1" x="407"/>
        <item m="1" x="356"/>
        <item m="1" x="1104"/>
        <item m="1" x="2225"/>
        <item m="1" x="1105"/>
        <item m="1" x="756"/>
        <item m="1" x="2158"/>
        <item m="1" x="752"/>
        <item m="1" x="2046"/>
        <item m="1" x="2226"/>
        <item m="1" x="1913"/>
        <item m="1" x="2150"/>
        <item m="1" x="919"/>
        <item m="1" x="2020"/>
        <item m="1" x="208"/>
        <item m="1" x="1708"/>
        <item m="1" x="1111"/>
        <item m="1" x="454"/>
        <item m="1" x="1112"/>
        <item m="1" x="309"/>
        <item m="1" x="1869"/>
        <item m="1" x="302"/>
        <item m="1" x="852"/>
        <item m="1" x="1205"/>
        <item m="1" x="1113"/>
        <item m="1" x="713"/>
        <item m="1" x="638"/>
        <item m="1" x="1210"/>
        <item m="1" x="1070"/>
        <item m="1" x="1805"/>
        <item m="1" x="1806"/>
        <item m="1" x="216"/>
        <item m="1" x="1809"/>
        <item m="1" x="875"/>
        <item m="1" x="2669"/>
        <item m="1" x="1126"/>
        <item m="1" x="110"/>
        <item m="1" x="1054"/>
        <item m="1" x="1830"/>
        <item m="1" x="1832"/>
        <item m="1" x="1818"/>
        <item m="1" x="1106"/>
        <item x="19"/>
        <item m="1" x="1043"/>
        <item m="1" x="1712"/>
        <item x="33"/>
        <item m="1" x="1615"/>
        <item m="1" x="1810"/>
        <item m="1" x="1114"/>
        <item m="1" x="1143"/>
        <item m="1" x="1535"/>
        <item m="1" x="1812"/>
        <item m="1" x="2088"/>
        <item m="1" x="1813"/>
        <item m="1" x="111"/>
        <item m="1" x="2228"/>
        <item m="1" x="1000"/>
        <item m="1" x="2229"/>
        <item m="1" x="2578"/>
        <item m="1" x="2230"/>
        <item m="1" x="1030"/>
        <item m="1" x="2564"/>
        <item m="1" x="946"/>
        <item m="1" x="2231"/>
        <item m="1" x="50"/>
        <item m="1" x="378"/>
        <item m="1" x="2232"/>
        <item m="1" x="2456"/>
        <item m="1" x="276"/>
        <item m="1" x="758"/>
        <item m="1" x="1010"/>
        <item m="1" x="1120"/>
        <item m="1" x="900"/>
        <item m="1" x="2663"/>
        <item m="1" x="2233"/>
        <item m="1" x="1015"/>
        <item m="1" x="1026"/>
        <item m="1" x="641"/>
        <item m="1" x="642"/>
        <item m="1" x="597"/>
        <item m="1" x="2606"/>
        <item m="1" x="643"/>
        <item m="1" x="1918"/>
        <item m="1" x="635"/>
        <item m="1" x="1123"/>
        <item m="1" x="2234"/>
        <item m="1" x="112"/>
        <item m="1" x="1742"/>
        <item m="1" x="878"/>
        <item m="1" x="2235"/>
        <item m="1" x="1984"/>
        <item m="1" x="2007"/>
        <item m="1" x="2236"/>
        <item m="1" x="759"/>
        <item m="1" x="933"/>
        <item m="1" x="436"/>
        <item m="1" x="2664"/>
        <item m="1" x="2078"/>
        <item m="1" x="1775"/>
        <item m="1" x="2586"/>
        <item m="1" x="475"/>
        <item m="1" x="1109"/>
        <item m="1" x="2674"/>
        <item m="1" x="2657"/>
        <item m="1" x="1700"/>
        <item m="1" x="539"/>
        <item m="1" x="455"/>
        <item m="1" x="952"/>
        <item m="1" x="315"/>
        <item m="1" x="408"/>
        <item m="1" x="867"/>
        <item m="1" x="2506"/>
        <item m="1" x="114"/>
        <item m="1" x="2237"/>
        <item m="1" x="1402"/>
        <item m="1" x="164"/>
        <item m="1" x="645"/>
        <item m="1" x="1638"/>
        <item m="1" x="1139"/>
        <item m="1" x="1146"/>
        <item m="1" x="554"/>
        <item m="1" x="2634"/>
        <item m="1" x="994"/>
        <item m="1" x="2465"/>
        <item m="1" x="1406"/>
        <item m="1" x="1236"/>
        <item m="1" x="1959"/>
        <item m="1" x="1247"/>
        <item m="1" x="1481"/>
        <item m="1" x="1876"/>
        <item m="1" x="1141"/>
        <item m="1" x="1065"/>
        <item m="1" x="646"/>
        <item sd="0" m="1" x="2731"/>
        <item m="1" x="1573"/>
        <item m="1" x="647"/>
        <item m="1" x="2239"/>
        <item m="1" x="126"/>
        <item m="1" x="96"/>
        <item m="1" x="1329"/>
        <item m="1" x="760"/>
        <item m="1" x="1270"/>
        <item m="1" x="2558"/>
        <item m="1" x="869"/>
        <item m="1" x="1145"/>
        <item m="1" x="1510"/>
        <item x="20"/>
        <item m="1" x="1175"/>
        <item m="1" x="1795"/>
        <item m="1" x="1124"/>
        <item m="1" x="1802"/>
        <item sd="0" x="7"/>
        <item x="37"/>
        <item m="1" x="1298"/>
        <item m="1" x="1339"/>
        <item m="1" x="1816"/>
        <item m="1" x="1762"/>
        <item m="1" x="1532"/>
        <item m="1" x="2240"/>
        <item m="1" x="871"/>
        <item m="1" x="2718"/>
        <item m="1" x="91"/>
        <item m="1" x="2241"/>
        <item m="1" x="2030"/>
        <item m="1" x="1672"/>
        <item m="1" x="761"/>
        <item m="1" x="2089"/>
        <item m="1" x="2227"/>
        <item m="1" x="762"/>
        <item m="1" x="1148"/>
        <item m="1" x="316"/>
        <item m="1" x="2633"/>
        <item m="1" x="1242"/>
        <item m="1" x="260"/>
        <item m="1" x="1412"/>
        <item m="1" x="1384"/>
        <item m="1" x="763"/>
        <item m="1" x="1682"/>
        <item m="1" x="385"/>
        <item m="1" x="591"/>
        <item m="1" x="1565"/>
        <item m="1" x="2243"/>
        <item m="1" x="1153"/>
        <item m="1" x="500"/>
        <item m="1" x="2552"/>
        <item m="1" x="217"/>
        <item m="1" x="1229"/>
        <item m="1" x="373"/>
        <item m="1" x="433"/>
        <item m="1" x="2632"/>
        <item m="1" x="1092"/>
        <item m="1" x="1241"/>
        <item m="1" x="1743"/>
        <item sd="0" m="1" x="244"/>
        <item m="1" x="444"/>
        <item m="1" x="2047"/>
        <item m="1" x="1403"/>
        <item m="1" x="1644"/>
        <item m="1" x="1158"/>
        <item m="1" x="1612"/>
        <item m="1" x="372"/>
        <item m="1" x="2588"/>
        <item m="1" x="1872"/>
        <item m="1" x="1478"/>
        <item m="1" x="2244"/>
        <item m="1" x="1865"/>
        <item m="1" x="319"/>
        <item m="1" x="303"/>
        <item m="1" x="1879"/>
        <item m="1" x="2351"/>
        <item m="1" x="1875"/>
        <item sd="0" m="1" x="2090"/>
        <item m="1" x="2245"/>
        <item m="1" x="2072"/>
        <item m="1" x="2374"/>
        <item m="1" x="2091"/>
        <item m="1" x="311"/>
        <item m="1" x="2246"/>
        <item m="1" x="2247"/>
        <item m="1" x="333"/>
        <item m="1" x="765"/>
        <item m="1" x="1318"/>
        <item m="1" x="2248"/>
        <item m="1" x="1276"/>
        <item m="1" x="650"/>
        <item m="1" x="2557"/>
        <item m="1" x="997"/>
        <item m="1" x="1130"/>
        <item m="1" x="2249"/>
        <item m="1" x="1362"/>
        <item m="1" x="1836"/>
        <item m="1" x="131"/>
        <item m="1" x="202"/>
        <item m="1" x="2250"/>
        <item m="1" x="321"/>
        <item m="1" x="146"/>
        <item m="1" x="2697"/>
        <item m="1" x="652"/>
        <item m="1" x="740"/>
        <item m="1" x="920"/>
        <item m="1" x="291"/>
        <item m="1" x="1170"/>
        <item m="1" x="513"/>
        <item m="1" x="2251"/>
        <item m="1" x="1899"/>
        <item m="1" x="766"/>
        <item sd="0" m="1" x="456"/>
        <item m="1" x="1171"/>
        <item m="1" x="2687"/>
        <item m="1" x="1172"/>
        <item m="1" x="1439"/>
        <item m="1" x="2252"/>
        <item m="1" x="1544"/>
        <item m="1" x="2143"/>
        <item m="1" x="653"/>
        <item m="1" x="615"/>
        <item m="1" x="2615"/>
        <item m="1" x="550"/>
        <item m="1" x="1174"/>
        <item m="1" x="2253"/>
        <item m="1" x="2254"/>
        <item sd="0" m="1" x="445"/>
        <item m="1" x="290"/>
        <item m="1" x="1305"/>
        <item m="1" x="1930"/>
        <item m="1" x="767"/>
        <item m="1" x="992"/>
        <item m="1" x="2565"/>
        <item m="1" x="2658"/>
        <item m="1" x="1915"/>
        <item m="1" x="1221"/>
        <item m="1" x="411"/>
        <item m="1" x="2257"/>
        <item m="1" x="1211"/>
        <item m="1" x="2258"/>
        <item m="1" x="1931"/>
        <item m="1" x="84"/>
        <item m="1" x="1745"/>
        <item m="1" x="1135"/>
        <item m="1" x="2092"/>
        <item m="1" x="654"/>
        <item m="1" x="1413"/>
        <item m="1" x="1131"/>
        <item m="1" x="1215"/>
        <item m="1" x="947"/>
        <item m="1" x="1668"/>
        <item m="1" x="1179"/>
        <item m="1" x="85"/>
        <item m="1" x="553"/>
        <item m="1" x="768"/>
        <item m="1" x="1194"/>
        <item sd="0" x="31"/>
        <item m="1" x="1140"/>
        <item m="1" x="655"/>
        <item m="1" x="233"/>
        <item m="1" x="769"/>
        <item x="27"/>
        <item m="1" x="1627"/>
        <item m="1" x="945"/>
        <item m="1" x="1746"/>
        <item m="1" x="322"/>
        <item m="1" x="1747"/>
        <item m="1" x="1664"/>
        <item m="1" x="1515"/>
        <item m="1" x="1600"/>
        <item m="1" x="1181"/>
        <item m="1" x="1877"/>
        <item m="1" x="2073"/>
        <item m="1" x="891"/>
        <item m="1" x="574"/>
        <item m="1" x="2262"/>
        <item m="1" x="1748"/>
        <item m="1" x="570"/>
        <item m="1" x="2093"/>
        <item m="1" x="2263"/>
        <item m="1" x="1183"/>
        <item m="1" x="2642"/>
        <item m="1" x="171"/>
        <item sd="0" m="1" x="256"/>
        <item m="1" x="1405"/>
        <item m="1" x="1531"/>
        <item m="1" x="488"/>
        <item m="1" x="443"/>
        <item m="1" x="122"/>
        <item m="1" x="1186"/>
        <item m="1" x="2264"/>
        <item m="1" x="326"/>
        <item m="1" x="2265"/>
        <item m="1" x="327"/>
        <item m="1" x="978"/>
        <item m="1" x="2266"/>
        <item m="1" x="248"/>
        <item m="1" x="534"/>
        <item m="1" x="1506"/>
        <item m="1" x="2077"/>
        <item m="1" x="1498"/>
        <item m="1" x="1287"/>
        <item m="1" x="156"/>
        <item m="1" x="394"/>
        <item m="1" x="1361"/>
        <item m="1" x="1592"/>
        <item m="1" x="1492"/>
        <item m="1" x="1468"/>
        <item m="1" x="2580"/>
        <item m="1" x="1568"/>
        <item m="1" x="2026"/>
        <item m="1" x="664"/>
        <item m="1" x="1955"/>
        <item m="1" x="2267"/>
        <item m="1" x="295"/>
        <item m="1" x="1191"/>
        <item m="1" x="1729"/>
        <item m="1" x="771"/>
        <item m="1" x="1195"/>
        <item m="1" x="1571"/>
        <item m="1" x="2094"/>
        <item m="1" x="2015"/>
        <item m="1" x="2524"/>
        <item m="1" x="2271"/>
        <item m="1" x="1789"/>
        <item m="1" x="306"/>
        <item m="1" x="1954"/>
        <item m="1" x="865"/>
        <item m="1" x="1835"/>
        <item m="1" x="801"/>
        <item m="1" x="1790"/>
        <item m="1" x="2272"/>
        <item m="1" x="1774"/>
        <item m="1" x="1653"/>
        <item m="1" x="1441"/>
        <item m="1" x="2095"/>
        <item m="1" x="2274"/>
        <item m="1" x="1793"/>
        <item m="1" x="990"/>
        <item m="1" x="2273"/>
        <item m="1" x="1819"/>
        <item m="1" x="2275"/>
        <item m="1" x="2076"/>
        <item m="1" x="2276"/>
        <item m="1" x="1204"/>
        <item m="1" x="1526"/>
        <item m="1" x="2145"/>
        <item m="1" x="1503"/>
        <item m="1" x="560"/>
        <item m="1" x="1550"/>
        <item m="1" x="872"/>
        <item m="1" x="2277"/>
        <item m="1" x="1425"/>
        <item m="1" x="1340"/>
        <item m="1" x="1167"/>
        <item m="1" x="2278"/>
        <item m="1" x="2279"/>
        <item m="1" x="772"/>
        <item m="1" x="728"/>
        <item m="1" x="658"/>
        <item m="1" x="1176"/>
        <item m="1" x="1315"/>
        <item m="1" x="2096"/>
        <item m="1" x="123"/>
        <item m="1" x="1337"/>
        <item m="1" x="270"/>
        <item m="1" x="2280"/>
        <item m="1" x="125"/>
        <item m="1" x="2074"/>
        <item m="1" x="2281"/>
        <item m="1" x="2282"/>
        <item m="1" x="659"/>
        <item m="1" x="1450"/>
        <item m="1" x="2283"/>
        <item m="1" x="925"/>
        <item m="1" x="1470"/>
        <item m="1" x="1209"/>
        <item m="1" x="660"/>
        <item m="1" x="2550"/>
        <item m="1" x="2648"/>
        <item m="1" x="2345"/>
        <item m="1" x="2097"/>
        <item m="1" x="2048"/>
        <item x="0"/>
        <item m="1" x="1497"/>
        <item m="1" x="2627"/>
        <item m="1" x="1763"/>
        <item m="1" x="1212"/>
        <item m="1" x="410"/>
        <item m="1" x="1961"/>
        <item m="1" x="917"/>
        <item m="1" x="988"/>
        <item m="1" x="1197"/>
        <item m="1" x="2284"/>
        <item m="1" x="1213"/>
        <item m="1" x="773"/>
        <item m="1" x="1214"/>
        <item m="1" x="1686"/>
        <item m="1" x="218"/>
        <item m="1" x="1509"/>
        <item m="1" x="724"/>
        <item m="1" x="1557"/>
        <item m="1" x="330"/>
        <item m="1" x="1216"/>
        <item m="1" x="457"/>
        <item m="1" x="1162"/>
        <item m="1" x="2285"/>
        <item m="1" x="2155"/>
        <item m="1" x="2286"/>
        <item m="1" x="2579"/>
        <item m="1" x="1219"/>
        <item m="1" x="2287"/>
        <item m="1" x="2098"/>
        <item m="1" x="2288"/>
        <item m="1" x="1466"/>
        <item m="1" x="2612"/>
        <item m="1" x="2049"/>
        <item m="1" x="176"/>
        <item m="1" x="1749"/>
        <item m="1" x="1455"/>
        <item m="1" x="458"/>
        <item m="1" x="1933"/>
        <item m="1" x="1658"/>
        <item m="1" x="775"/>
        <item m="1" x="459"/>
        <item m="1" x="129"/>
        <item m="1" x="219"/>
        <item m="1" x="2180"/>
        <item m="1" x="750"/>
        <item m="1" x="1044"/>
        <item m="1" x="661"/>
        <item m="1" x="663"/>
        <item m="1" x="809"/>
        <item m="1" x="130"/>
        <item m="1" x="585"/>
        <item m="1" x="1624"/>
        <item m="1" x="943"/>
        <item m="1" x="80"/>
        <item m="1" x="1817"/>
        <item m="1" x="2289"/>
        <item m="1" x="1997"/>
        <item m="1" x="960"/>
        <item m="1" x="665"/>
        <item m="1" x="505"/>
        <item m="1" x="2100"/>
        <item m="1" x="332"/>
        <item m="1" x="776"/>
        <item m="1" x="2290"/>
        <item m="1" x="2291"/>
        <item m="1" x="1169"/>
        <item m="1" x="1022"/>
        <item m="1" x="2101"/>
        <item m="1" x="2710"/>
        <item m="1" x="2292"/>
        <item m="1" x="182"/>
        <item m="1" x="48"/>
        <item m="1" x="2269"/>
        <item m="1" x="607"/>
        <item m="1" x="2388"/>
        <item m="1" x="252"/>
        <item m="1" x="2692"/>
        <item m="1" x="320"/>
        <item m="1" x="863"/>
        <item m="1" x="2293"/>
        <item m="1" x="1436"/>
        <item m="1" x="2102"/>
        <item m="1" x="376"/>
        <item m="1" x="2513"/>
        <item m="1" x="359"/>
        <item m="1" x="2147"/>
        <item m="1" x="2154"/>
        <item m="1" x="662"/>
        <item m="1" x="334"/>
        <item m="1" x="235"/>
        <item m="1" x="2103"/>
        <item m="1" x="76"/>
        <item m="1" x="1919"/>
        <item m="1" x="405"/>
        <item m="1" x="2534"/>
        <item m="1" x="2104"/>
        <item m="1" x="2294"/>
        <item m="1" x="1972"/>
        <item m="1" x="1228"/>
        <item m="1" x="1788"/>
        <item x="46"/>
        <item m="1" x="1189"/>
        <item m="1" x="462"/>
        <item m="1" x="1901"/>
        <item m="1" x="777"/>
        <item m="1" x="2592"/>
        <item m="1" x="335"/>
        <item m="1" x="2295"/>
        <item m="1" x="2296"/>
        <item m="1" x="612"/>
        <item m="1" x="1027"/>
        <item m="1" x="363"/>
        <item m="1" x="1750"/>
        <item m="1" x="1230"/>
        <item m="1" x="1799"/>
        <item m="1" x="1231"/>
        <item m="1" x="2297"/>
        <item m="1" x="1936"/>
        <item m="1" x="579"/>
        <item m="1" x="220"/>
        <item m="1" x="666"/>
        <item m="1" x="391"/>
        <item m="1" x="2724"/>
        <item m="1" x="2701"/>
        <item m="1" x="2656"/>
        <item m="1" x="778"/>
        <item m="1" x="1675"/>
        <item m="1" x="2298"/>
        <item m="1" x="53"/>
        <item m="1" x="1820"/>
        <item m="1" x="1232"/>
        <item m="1" x="1853"/>
        <item m="1" x="1469"/>
        <item m="1" x="61"/>
        <item m="1" x="1884"/>
        <item m="1" x="1941"/>
        <item m="1" x="623"/>
        <item m="1" x="2386"/>
        <item m="1" x="1263"/>
        <item m="1" x="1971"/>
        <item m="1" x="1039"/>
        <item m="1" x="1233"/>
        <item m="1" x="530"/>
        <item m="1" x="1892"/>
        <item m="1" x="2300"/>
        <item m="1" x="1165"/>
        <item m="1" x="1507"/>
        <item m="1" x="779"/>
        <item m="1" x="2645"/>
        <item m="1" x="2106"/>
        <item m="1" x="358"/>
        <item m="1" x="2301"/>
        <item m="1" x="1386"/>
        <item m="1" x="1822"/>
        <item m="1" x="1235"/>
        <item m="1" x="318"/>
        <item m="1" x="2302"/>
        <item m="1" x="1009"/>
        <item m="1" x="1108"/>
        <item m="1" x="2303"/>
        <item m="1" x="2304"/>
        <item m="1" x="1437"/>
        <item m="1" x="581"/>
        <item m="1" x="1100"/>
        <item m="1" x="1071"/>
        <item m="1" x="2305"/>
        <item m="1" x="370"/>
        <item m="1" x="1259"/>
        <item m="1" x="59"/>
        <item m="1" x="1683"/>
        <item m="1" x="336"/>
        <item m="1" x="60"/>
        <item m="1" x="337"/>
        <item m="1" x="2306"/>
        <item m="1" x="1245"/>
        <item m="1" x="2307"/>
        <item m="1" x="268"/>
        <item m="1" x="512"/>
        <item m="1" x="1177"/>
        <item m="1" x="868"/>
        <item m="1" x="667"/>
        <item m="1" x="1516"/>
        <item m="1" x="494"/>
        <item m="1" x="1238"/>
        <item m="1" x="388"/>
        <item m="1" x="283"/>
        <item m="1" x="104"/>
        <item m="1" x="1513"/>
        <item m="1" x="2107"/>
        <item m="1" x="1539"/>
        <item m="1" x="537"/>
        <item m="1" x="1752"/>
        <item m="1" x="101"/>
        <item m="1" x="195"/>
        <item m="1" x="338"/>
        <item m="1" x="668"/>
        <item m="1" x="1193"/>
        <item m="1" x="438"/>
        <item m="1" x="221"/>
        <item x="32"/>
        <item m="1" x="2309"/>
        <item m="1" x="2310"/>
        <item m="1" x="1679"/>
        <item m="1" x="2311"/>
        <item m="1" x="948"/>
        <item m="1" x="1928"/>
        <item m="1" x="1551"/>
        <item m="1" x="288"/>
        <item m="1" x="273"/>
        <item m="1" x="1711"/>
        <item m="1" x="185"/>
        <item m="1" x="1461"/>
        <item m="1" x="1239"/>
        <item m="1" x="1937"/>
        <item m="1" x="903"/>
        <item m="1" x="692"/>
        <item m="1" x="506"/>
        <item m="1" x="2312"/>
        <item m="1" x="2313"/>
        <item m="1" x="669"/>
        <item m="1" x="876"/>
        <item m="1" x="2314"/>
        <item m="1" x="1244"/>
        <item m="1" x="2108"/>
        <item m="1" x="1420"/>
        <item m="1" x="2315"/>
        <item m="1" x="1992"/>
        <item m="1" x="826"/>
        <item m="1" x="2567"/>
        <item m="1" x="774"/>
        <item m="1" x="75"/>
        <item m="1" x="1246"/>
        <item m="1" x="2317"/>
        <item m="1" x="2318"/>
        <item m="1" x="672"/>
        <item m="1" x="2319"/>
        <item m="1" x="1645"/>
        <item m="1" x="2017"/>
        <item m="1" x="1248"/>
        <item m="1" x="1249"/>
        <item m="1" x="781"/>
        <item m="1" x="1250"/>
        <item m="1" x="1060"/>
        <item m="1" x="671"/>
        <item m="1" x="1252"/>
        <item m="1" x="1880"/>
        <item m="1" x="1286"/>
        <item x="6"/>
        <item m="1" x="348"/>
        <item m="1" x="2320"/>
        <item m="1" x="1243"/>
        <item m="1" x="354"/>
        <item m="1" x="2179"/>
        <item m="1" x="2321"/>
        <item m="1" x="1440"/>
        <item m="1" x="884"/>
        <item m="1" x="629"/>
        <item m="1" x="2152"/>
        <item m="1" x="764"/>
        <item m="1" x="782"/>
        <item m="1" x="2322"/>
        <item m="1" x="783"/>
        <item m="1" x="1371"/>
        <item m="1" x="2323"/>
        <item m="1" x="971"/>
        <item m="1" x="1304"/>
        <item m="1" x="2324"/>
        <item m="1" x="1921"/>
        <item m="1" x="368"/>
        <item m="1" x="279"/>
        <item m="1" x="57"/>
        <item m="1" x="2325"/>
        <item m="1" x="240"/>
        <item m="1" x="286"/>
        <item m="1" x="1589"/>
        <item m="1" x="1271"/>
        <item m="1" x="294"/>
        <item m="1" x="549"/>
        <item m="1" x="784"/>
        <item m="1" x="1602"/>
        <item m="1" x="2326"/>
        <item m="1" x="1546"/>
        <item m="1" x="1487"/>
        <item m="1" x="1419"/>
        <item m="1" x="281"/>
        <item m="1" x="566"/>
        <item m="1" x="341"/>
        <item m="1" x="2554"/>
        <item m="1" x="1740"/>
        <item m="1" x="460"/>
        <item m="1" x="1897"/>
        <item m="1" x="1255"/>
        <item m="1" x="785"/>
        <item m="1" x="786"/>
        <item m="1" x="2598"/>
        <item m="1" x="477"/>
        <item m="1" x="1753"/>
        <item m="1" x="2056"/>
        <item m="1" x="417"/>
        <item x="4"/>
        <item m="1" x="2075"/>
        <item m="1" x="1093"/>
        <item sd="0" m="1" x="2737"/>
        <item m="1" x="590"/>
        <item m="1" x="2707"/>
        <item m="1" x="1057"/>
        <item m="1" x="599"/>
        <item m="1" x="1654"/>
        <item m="1" x="1257"/>
        <item m="1" x="788"/>
        <item m="1" x="1754"/>
        <item m="1" x="536"/>
        <item m="1" x="1258"/>
        <item m="1" x="2327"/>
        <item m="1" x="789"/>
        <item m="1" x="567"/>
        <item m="1" x="2328"/>
        <item m="1" x="2329"/>
        <item m="1" x="439"/>
        <item m="1" x="406"/>
        <item m="1" x="269"/>
        <item m="1" x="1208"/>
        <item m="1" x="1261"/>
        <item m="1" x="1262"/>
        <item m="1" x="592"/>
        <item m="1" x="1522"/>
        <item m="1" x="791"/>
        <item m="1" x="1614"/>
        <item m="1" x="1871"/>
        <item m="1" x="2109"/>
        <item m="1" x="1825"/>
        <item m="1" x="559"/>
        <item m="1" x="1591"/>
        <item m="1" x="580"/>
        <item m="1" x="1369"/>
        <item m="1" x="548"/>
        <item m="1" x="1192"/>
        <item sd="0" m="1" x="2105"/>
        <item m="1" x="1256"/>
        <item m="1" x="673"/>
        <item m="1" x="899"/>
        <item m="1" x="1264"/>
        <item m="1" x="1265"/>
        <item m="1" x="1824"/>
        <item m="1" x="2110"/>
        <item x="8"/>
        <item m="1" x="511"/>
        <item m="1" x="546"/>
        <item m="1" x="64"/>
        <item m="1" x="1201"/>
        <item m="1" x="1266"/>
        <item m="1" x="792"/>
        <item m="1" x="1982"/>
        <item x="44"/>
        <item m="1" x="1577"/>
        <item m="1" x="1613"/>
        <item m="1" x="2330"/>
        <item m="1" x="793"/>
        <item m="1" x="2464"/>
        <item m="1" x="2084"/>
        <item m="1" x="794"/>
        <item m="1" x="583"/>
        <item m="1" x="1433"/>
        <item m="1" x="1640"/>
        <item m="1" x="2614"/>
        <item m="1" x="503"/>
        <item m="1" x="1267"/>
        <item m="1" x="1036"/>
        <item m="1" x="1302"/>
        <item m="1" x="1225"/>
        <item m="1" x="404"/>
        <item m="1" x="1251"/>
        <item m="1" x="2013"/>
        <item m="1" x="510"/>
        <item m="1" x="555"/>
        <item m="1" x="1671"/>
        <item m="1" x="1906"/>
        <item m="1" x="2111"/>
        <item m="1" x="1125"/>
        <item m="1" x="461"/>
        <item m="1" x="1351"/>
        <item m="1" x="518"/>
        <item m="1" x="2331"/>
        <item m="1" x="1368"/>
        <item m="1" x="222"/>
        <item m="1" x="2332"/>
        <item m="1" x="795"/>
        <item m="1" x="674"/>
        <item m="1" x="1132"/>
        <item m="1" x="584"/>
        <item m="1" x="1826"/>
        <item m="1" x="2605"/>
        <item m="1" x="1317"/>
        <item m="1" x="1980"/>
        <item m="1" x="1939"/>
        <item m="1" x="1272"/>
        <item m="1" x="675"/>
        <item m="1" x="676"/>
        <item m="1" x="1951"/>
        <item m="1" x="2625"/>
        <item x="13"/>
        <item m="1" x="1474"/>
        <item m="1" x="2333"/>
        <item m="1" x="1277"/>
        <item m="1" x="1572"/>
        <item m="1" x="1278"/>
        <item m="1" x="2334"/>
        <item m="1" x="2335"/>
        <item m="1" x="1784"/>
        <item m="1" x="300"/>
        <item m="1" x="1723"/>
        <item m="1" x="1279"/>
        <item m="1" x="1410"/>
        <item m="1" x="152"/>
        <item m="1" x="1594"/>
        <item m="1" x="277"/>
        <item m="1" x="1074"/>
        <item m="1" x="132"/>
        <item m="1" x="1934"/>
        <item m="1" x="236"/>
        <item m="1" x="1283"/>
        <item m="1" x="2337"/>
        <item m="1" x="426"/>
        <item m="1" x="1606"/>
        <item m="1" x="1966"/>
        <item m="1" x="2391"/>
        <item m="1" x="2338"/>
        <item m="1" x="1354"/>
        <item m="1" x="1463"/>
        <item m="1" x="2340"/>
        <item m="1" x="657"/>
        <item m="1" x="2668"/>
        <item m="1" x="906"/>
        <item m="1" x="2341"/>
        <item sd="0" m="1" x="2739"/>
        <item x="45"/>
        <item m="1" x="463"/>
        <item m="1" x="924"/>
        <item m="1" x="1925"/>
        <item m="1" x="2342"/>
        <item m="1" x="2343"/>
        <item m="1" x="2344"/>
        <item m="1" x="963"/>
        <item m="1" x="2033"/>
        <item m="1" x="2346"/>
        <item sd="0" m="1" x="2223"/>
        <item m="1" x="2715"/>
        <item m="1" x="2613"/>
        <item m="1" x="677"/>
        <item m="1" x="1598"/>
        <item m="1" x="2021"/>
        <item m="1" x="2347"/>
        <item m="1" x="2348"/>
        <item m="1" x="1297"/>
        <item m="1" x="343"/>
        <item m="1" x="2551"/>
        <item m="1" x="353"/>
        <item m="1" x="1964"/>
        <item m="1" x="441"/>
        <item m="1" x="2050"/>
        <item m="1" x="901"/>
        <item m="1" x="1499"/>
        <item m="1" x="450"/>
        <item m="1" x="2654"/>
        <item m="1" x="1646"/>
        <item m="1" x="2466"/>
        <item m="1" x="1860"/>
        <item m="1" x="1299"/>
        <item m="1" x="2028"/>
        <item m="1" x="904"/>
        <item m="1" x="2350"/>
        <item m="1" x="135"/>
        <item m="1" x="2336"/>
        <item m="1" x="2349"/>
        <item m="1" x="2582"/>
        <item m="1" x="234"/>
        <item m="1" x="1524"/>
        <item m="1" x="1414"/>
        <item m="1" x="1301"/>
        <item m="1" x="133"/>
        <item m="1" x="507"/>
        <item m="1" x="527"/>
        <item m="1" x="2112"/>
        <item m="1" x="214"/>
        <item sd="0" m="1" x="213"/>
        <item m="1" x="1999"/>
        <item m="1" x="2352"/>
        <item m="1" x="1185"/>
        <item m="1" x="74"/>
        <item m="1" x="1311"/>
        <item m="1" x="2607"/>
        <item m="1" x="2151"/>
        <item m="1" x="1755"/>
        <item m="1" x="184"/>
        <item m="1" x="525"/>
        <item m="1" x="1312"/>
        <item m="1" x="1313"/>
        <item m="1" x="543"/>
        <item m="1" x="495"/>
        <item m="1" x="2008"/>
        <item m="1" x="1855"/>
        <item m="1" x="944"/>
        <item m="1" x="1081"/>
        <item m="1" x="223"/>
        <item m="1" x="2353"/>
        <item m="1" x="138"/>
        <item m="1" x="139"/>
        <item m="1" x="73"/>
        <item m="1" x="1007"/>
        <item m="1" x="2354"/>
        <item m="1" x="898"/>
        <item m="1" x="1756"/>
        <item m="1" x="2355"/>
        <item m="1" x="2356"/>
        <item m="1" x="1970"/>
        <item m="1" x="1985"/>
        <item m="1" x="1381"/>
        <item m="1" x="345"/>
        <item m="1" x="797"/>
        <item m="1" x="678"/>
        <item m="1" x="2358"/>
        <item m="1" x="2496"/>
        <item m="1" x="346"/>
        <item m="1" x="2661"/>
        <item m="1" x="237"/>
        <item m="1" x="1628"/>
        <item m="1" x="2359"/>
        <item m="1" x="140"/>
        <item m="1" x="1647"/>
        <item m="1" x="1316"/>
        <item m="1" x="1655"/>
        <item m="1" x="1632"/>
        <item m="1" x="1553"/>
        <item m="1" x="1942"/>
        <item m="1" x="1917"/>
        <item m="1" x="2683"/>
        <item m="1" x="836"/>
        <item m="1" x="2360"/>
        <item m="1" x="1949"/>
        <item m="1" x="712"/>
        <item m="1" x="2113"/>
        <item m="1" x="1285"/>
        <item m="1" x="271"/>
        <item m="1" x="1319"/>
        <item m="1" x="1011"/>
        <item m="1" x="2361"/>
        <item m="1" x="1357"/>
        <item m="1" x="349"/>
        <item m="1" x="2051"/>
        <item x="3"/>
        <item m="1" x="1963"/>
        <item m="1" x="619"/>
        <item m="1" x="2362"/>
        <item m="1" x="877"/>
        <item m="1" x="1893"/>
        <item m="1" x="1827"/>
        <item sd="0" m="1" x="245"/>
        <item m="1" x="996"/>
        <item m="1" x="384"/>
        <item m="1" x="2363"/>
        <item m="1" x="980"/>
        <item m="1" x="1548"/>
        <item m="1" x="2720"/>
        <item m="1" x="949"/>
        <item m="1" x="1102"/>
        <item m="1" x="689"/>
        <item m="1" x="639"/>
        <item m="1" x="1639"/>
        <item m="1" x="1321"/>
        <item m="1" x="1322"/>
        <item m="1" x="2366"/>
        <item m="1" x="528"/>
        <item m="1" x="1973"/>
        <item m="1" x="2553"/>
        <item m="1" x="2590"/>
        <item m="1" x="2583"/>
        <item m="1" x="342"/>
        <item m="1" x="1323"/>
        <item m="1" x="2052"/>
        <item m="1" x="1523"/>
        <item m="1" x="1786"/>
        <item m="1" x="1641"/>
        <item m="1" x="1829"/>
        <item m="1" x="681"/>
        <item m="1" x="350"/>
        <item m="1" x="2711"/>
        <item m="1" x="1324"/>
        <item m="1" x="390"/>
        <item m="1" x="1725"/>
        <item m="1" x="780"/>
        <item m="1" x="2621"/>
        <item m="1" x="955"/>
        <item m="1" x="1924"/>
        <item m="1" x="1950"/>
        <item m="1" x="787"/>
        <item sd="0" x="15"/>
        <item m="1" x="798"/>
        <item m="1" x="323"/>
        <item m="1" x="2364"/>
        <item m="1" x="973"/>
        <item m="1" x="142"/>
        <item m="1" x="2365"/>
        <item m="1" x="82"/>
        <item m="1" x="1372"/>
        <item m="1" x="1987"/>
        <item m="1" x="1831"/>
        <item m="1" x="1198"/>
        <item m="1" x="916"/>
        <item m="1" x="2685"/>
        <item m="1" x="1953"/>
        <item m="1" x="2703"/>
        <item m="1" x="682"/>
        <item m="1" x="264"/>
        <item m="1" x="2367"/>
        <item m="1" x="524"/>
        <item m="1" x="1328"/>
        <item m="1" x="1389"/>
        <item m="1" x="2369"/>
        <item m="1" x="1758"/>
        <item m="1" x="1821"/>
        <item m="1" x="965"/>
        <item m="1" x="1334"/>
        <item m="1" x="544"/>
        <item m="1" x="2053"/>
        <item m="1" x="2655"/>
        <item m="1" x="1807"/>
        <item m="1" x="2114"/>
        <item m="1" x="1345"/>
        <item m="1" x="2467"/>
        <item m="1" x="2370"/>
        <item m="1" x="964"/>
        <item m="1" x="209"/>
        <item m="1" x="2628"/>
        <item m="1" x="1588"/>
        <item m="1" x="1908"/>
        <item m="1" x="1385"/>
        <item m="1" x="1759"/>
        <item m="1" x="51"/>
        <item m="1" x="2371"/>
        <item m="1" x="1275"/>
        <item sd="0" m="1" x="2677"/>
        <item m="1" x="987"/>
        <item m="1" x="2010"/>
        <item m="1" x="683"/>
        <item m="1" x="1760"/>
        <item m="1" x="2373"/>
        <item m="1" x="864"/>
        <item m="1" x="2054"/>
        <item m="1" x="1945"/>
        <item m="1" x="684"/>
        <item m="1" x="572"/>
        <item m="1" x="145"/>
        <item m="1" x="479"/>
        <item m="1" x="1188"/>
        <item m="1" x="799"/>
        <item m="1" x="1833"/>
        <item m="1" x="2375"/>
        <item m="1" x="1761"/>
        <item m="1" x="1883"/>
        <item m="1" x="1048"/>
        <item m="1" x="2568"/>
        <item m="1" x="1891"/>
        <item m="1" x="2376"/>
        <item m="1" x="1716"/>
        <item m="1" x="1642"/>
        <item m="1" x="2377"/>
        <item m="1" x="2432"/>
        <item m="1" x="1542"/>
        <item m="1" x="2691"/>
        <item m="1" x="1370"/>
        <item m="1" x="1133"/>
        <item m="1" x="1636"/>
        <item m="1" x="1815"/>
        <item m="1" x="2665"/>
        <item m="1" x="1320"/>
        <item m="1" x="1447"/>
        <item m="1" x="466"/>
        <item m="1" x="1431"/>
        <item m="1" x="481"/>
        <item m="1" x="1307"/>
        <item m="1" x="1527"/>
        <item m="1" x="1077"/>
        <item m="1" x="297"/>
        <item m="1" x="2006"/>
        <item m="1" x="147"/>
        <item m="1" x="2378"/>
        <item m="1" x="1199"/>
        <item m="1" x="1452"/>
        <item m="1" x="999"/>
        <item m="1" x="2379"/>
        <item m="1" x="113"/>
        <item m="1" x="355"/>
        <item m="1" x="1196"/>
        <item m="1" x="1075"/>
        <item m="1" x="831"/>
        <item m="1" x="802"/>
        <item m="1" x="1202"/>
        <item m="1" x="2055"/>
        <item m="1" x="1536"/>
        <item m="1" x="568"/>
        <item m="1" x="1038"/>
        <item m="1" x="2025"/>
        <item m="1" x="317"/>
        <item m="1" x="1157"/>
        <item m="1" x="154"/>
        <item m="1" x="1300"/>
        <item m="1" x="1485"/>
        <item m="1" x="975"/>
        <item m="1" x="2555"/>
        <item m="1" x="2393"/>
        <item m="1" x="687"/>
        <item m="1" x="293"/>
        <item m="1" x="262"/>
        <item m="1" x="2673"/>
        <item m="1" x="1068"/>
        <item m="1" x="2394"/>
        <item m="1" x="2604"/>
        <item m="1" x="1059"/>
        <item m="1" x="2626"/>
        <item m="1" x="976"/>
        <item m="1" x="2620"/>
        <item m="1" x="1926"/>
        <item m="1" x="2395"/>
        <item m="1" x="2396"/>
        <item m="1" x="224"/>
        <item m="1" x="263"/>
        <item m="1" x="1530"/>
        <item m="1" x="1692"/>
        <item m="1" x="1227"/>
        <item m="1" x="83"/>
        <item m="1" x="2629"/>
        <item m="1" x="2397"/>
        <item m="1" x="2595"/>
        <item m="1" x="1427"/>
        <item m="1" x="1920"/>
        <item m="1" x="808"/>
        <item m="1" x="1428"/>
        <item m="1" x="810"/>
        <item m="1" x="2116"/>
        <item m="1" x="225"/>
        <item m="1" x="2398"/>
        <item m="1" x="1429"/>
        <item m="1" x="2399"/>
        <item m="1" x="688"/>
        <item m="1" x="377"/>
        <item m="1" x="2400"/>
        <item m="1" x="1430"/>
        <item m="1" x="1637"/>
        <item m="1" x="1488"/>
        <item m="1" x="1432"/>
        <item m="1" x="2401"/>
        <item m="1" x="2402"/>
        <item m="1" x="247"/>
        <item m="1" x="480"/>
        <item m="1" x="2623"/>
        <item m="1" x="1765"/>
        <item m="1" x="1518"/>
        <item m="1" x="957"/>
        <item m="1" x="2403"/>
        <item m="1" x="885"/>
        <item m="1" x="2405"/>
        <item m="1" x="2082"/>
        <item m="1" x="2060"/>
        <item m="1" x="467"/>
        <item m="1" x="1373"/>
        <item m="1" x="2406"/>
        <item m="1" x="1837"/>
        <item m="1" x="912"/>
        <item m="1" x="1576"/>
        <item m="1" x="1394"/>
        <item m="1" x="1448"/>
        <item m="1" x="1422"/>
        <item m="1" x="889"/>
        <item m="1" x="1449"/>
        <item m="1" x="1159"/>
        <item m="1" x="66"/>
        <item m="1" x="1894"/>
        <item m="1" x="314"/>
        <item m="1" x="163"/>
        <item m="1" x="1451"/>
        <item m="1" x="2491"/>
        <item m="1" x="381"/>
        <item m="1" x="2407"/>
        <item m="1" x="2408"/>
        <item m="1" x="2410"/>
        <item m="1" x="2675"/>
        <item m="1" x="1751"/>
        <item m="1" x="2409"/>
        <item m="1" x="382"/>
        <item m="1" x="1483"/>
        <item m="1" x="246"/>
        <item m="1" x="1454"/>
        <item m="1" x="1766"/>
        <item m="1" x="55"/>
        <item m="1" x="468"/>
        <item m="1" x="1220"/>
        <item m="1" x="395"/>
        <item m="1" x="1206"/>
        <item sd="0" m="1" x="2727"/>
        <item sd="0" m="1" x="308"/>
        <item m="1" x="1910"/>
        <item m="1" x="1457"/>
        <item m="1" x="1456"/>
        <item m="1" x="1458"/>
        <item m="1" x="624"/>
        <item m="1" x="1444"/>
        <item m="1" x="1787"/>
        <item m="1" x="2566"/>
        <item m="1" x="2411"/>
        <item m="1" x="367"/>
        <item m="1" x="2412"/>
        <item m="1" x="289"/>
        <item m="1" x="2413"/>
        <item m="1" x="1543"/>
        <item m="1" x="2414"/>
        <item m="1" x="1722"/>
        <item m="1" x="170"/>
        <item m="1" x="2404"/>
        <item m="1" x="160"/>
        <item m="1" x="1392"/>
        <item m="1" x="2693"/>
        <item m="1" x="2556"/>
        <item m="1" x="2415"/>
        <item m="1" x="733"/>
        <item m="1" x="1656"/>
        <item x="14"/>
        <item m="1" x="1912"/>
        <item m="1" x="1528"/>
        <item m="1" x="1284"/>
        <item m="1" x="165"/>
        <item m="1" x="2270"/>
        <item m="1" x="1914"/>
        <item m="1" x="2653"/>
        <item m="1" x="2118"/>
        <item m="1" x="1390"/>
        <item m="1" x="2034"/>
        <item m="1" x="816"/>
        <item m="1" x="166"/>
        <item m="1" x="1281"/>
        <item m="1" x="1395"/>
        <item m="1" x="1471"/>
        <item m="1" x="144"/>
        <item m="1" x="2019"/>
        <item m="1" x="586"/>
        <item m="1" x="2602"/>
        <item m="1" x="2417"/>
        <item m="1" x="2418"/>
        <item m="1" x="817"/>
        <item m="1" x="2636"/>
        <item m="1" x="1409"/>
        <item m="1" x="1472"/>
        <item m="1" x="690"/>
        <item m="1" x="1473"/>
        <item m="1" x="2419"/>
        <item m="1" x="2420"/>
        <item m="1" x="915"/>
        <item m="1" x="2421"/>
        <item m="1" x="2709"/>
        <item m="1" x="2422"/>
        <item m="1" x="2423"/>
        <item m="1" x="2260"/>
        <item m="1" x="862"/>
        <item m="1" x="2684"/>
        <item m="1" x="882"/>
        <item m="1" x="2424"/>
        <item m="1" x="1882"/>
        <item m="1" x="1347"/>
        <item m="1" x="691"/>
        <item m="1" x="2690"/>
        <item m="1" x="351"/>
        <item m="1" x="2139"/>
        <item m="1" x="2469"/>
        <item m="1" x="1034"/>
        <item m="1" x="501"/>
        <item m="1" x="818"/>
        <item m="1" x="819"/>
        <item m="1" x="914"/>
        <item m="1" x="63"/>
        <item m="1" x="2119"/>
        <item m="1" x="656"/>
        <item m="1" x="2425"/>
        <item m="1" x="149"/>
        <item m="1" x="387"/>
        <item m="1" x="557"/>
        <item m="1" x="1785"/>
        <item m="1" x="2061"/>
        <item m="1" x="440"/>
        <item m="1" x="2099"/>
        <item m="1" x="2426"/>
        <item m="1" x="995"/>
        <item m="1" x="1767"/>
        <item m="1" x="991"/>
        <item m="1" x="386"/>
        <item m="1" x="434"/>
        <item m="1" x="2428"/>
        <item m="1" x="2120"/>
        <item m="1" x="820"/>
        <item m="1" x="1994"/>
        <item m="1" x="487"/>
        <item m="1" x="95"/>
        <item m="1" x="482"/>
        <item m="1" x="87"/>
        <item m="1" x="1938"/>
        <item m="1" x="2062"/>
        <item m="1" x="371"/>
        <item m="1" x="210"/>
        <item m="1" x="2671"/>
        <item m="1" x="312"/>
        <item m="1" x="1923"/>
        <item m="1" x="120"/>
        <item m="1" x="2429"/>
        <item m="1" x="966"/>
        <item m="1" x="821"/>
        <item m="1" x="2068"/>
        <item m="1" x="1489"/>
        <item m="1" x="1490"/>
        <item m="1" x="1491"/>
        <item m="1" x="2430"/>
        <item m="1" x="1684"/>
        <item m="1" x="1379"/>
        <item m="1" x="1730"/>
        <item m="1" x="1800"/>
        <item m="1" x="162"/>
        <item m="1" x="1314"/>
        <item m="1" x="694"/>
        <item m="1" x="1493"/>
        <item m="1" x="1435"/>
        <item m="1" x="611"/>
        <item m="1" x="1018"/>
        <item m="1" x="2384"/>
        <item m="1" x="2616"/>
        <item m="1" x="2561"/>
        <item m="1" x="1290"/>
        <item m="1" x="1156"/>
        <item m="1" x="401"/>
        <item m="1" x="2142"/>
        <item m="1" x="383"/>
        <item m="1" x="2433"/>
        <item m="1" x="380"/>
        <item m="1" x="2434"/>
        <item m="1" x="1986"/>
        <item m="1" x="695"/>
        <item m="1" x="1688"/>
        <item m="1" x="907"/>
        <item m="1" x="2387"/>
        <item m="1" x="310"/>
        <item m="1" x="168"/>
        <item m="1" x="954"/>
        <item m="1" x="1342"/>
        <item m="1" x="328"/>
        <item m="1" x="822"/>
        <item m="1" x="403"/>
        <item m="1" x="1486"/>
        <item m="1" x="339"/>
        <item m="1" x="823"/>
        <item m="1" x="2435"/>
        <item m="1" x="502"/>
        <item m="1" x="565"/>
        <item m="1" x="1501"/>
        <item m="1" x="1023"/>
        <item m="1" x="2436"/>
        <item sd="0" m="1" x="2733"/>
        <item m="1" x="1217"/>
        <item m="1" x="800"/>
        <item m="1" x="1467"/>
        <item m="1" x="389"/>
        <item m="1" x="2063"/>
        <item m="1" x="2437"/>
        <item m="1" x="1064"/>
        <item m="1" x="853"/>
        <item m="1" x="936"/>
        <item m="1" x="1596"/>
        <item m="1" x="1502"/>
        <item m="1" x="2438"/>
        <item m="1" x="2129"/>
        <item m="1" x="174"/>
        <item m="1" x="2064"/>
        <item m="1" x="161"/>
        <item m="1" x="931"/>
        <item m="1" x="2584"/>
        <item m="1" x="923"/>
        <item m="1" x="2439"/>
        <item m="1" x="227"/>
        <item m="1" x="1517"/>
        <item m="1" x="2440"/>
        <item x="25"/>
        <item m="1" x="392"/>
        <item m="1" x="824"/>
        <item m="1" x="886"/>
        <item m="1" x="1396"/>
        <item m="1" x="1480"/>
        <item m="1" x="2065"/>
        <item m="1" x="1680"/>
        <item m="1" x="1511"/>
        <item m="1" x="393"/>
        <item m="1" x="2441"/>
        <item m="1" x="1792"/>
        <item m="1" x="172"/>
        <item m="1" x="1967"/>
        <item m="1" x="1512"/>
        <item m="1" x="825"/>
        <item m="1" x="71"/>
        <item m="1" x="1944"/>
        <item m="1" x="2594"/>
        <item m="1" x="2382"/>
        <item m="1" x="1665"/>
        <item m="1" x="2442"/>
        <item m="1" x="375"/>
        <item m="1" x="985"/>
        <item m="1" x="257"/>
        <item m="1" x="1119"/>
        <item m="1" x="2443"/>
        <item m="1" x="721"/>
        <item m="1" x="2444"/>
        <item m="1" x="1376"/>
        <item m="1" x="670"/>
        <item m="1" x="1768"/>
        <item m="1" x="2445"/>
        <item m="1" x="1943"/>
        <item m="1" x="67"/>
        <item m="1" x="1222"/>
        <item m="1" x="2070"/>
        <item m="1" x="180"/>
        <item m="1" x="124"/>
        <item m="1" x="1968"/>
        <item m="1" x="396"/>
        <item m="1" x="1525"/>
        <item m="1" x="1295"/>
        <item m="1" x="340"/>
        <item m="1" x="2447"/>
        <item m="1" x="422"/>
        <item m="1" x="2448"/>
        <item m="1" x="563"/>
        <item m="1" x="893"/>
        <item m="1" x="894"/>
        <item m="1" x="696"/>
        <item m="1" x="2450"/>
        <item m="1" x="1066"/>
        <item m="1" x="2066"/>
        <item m="1" x="2646"/>
        <item m="1" x="2570"/>
        <item m="1" x="1443"/>
        <item m="1" x="226"/>
        <item m="1" x="157"/>
        <item m="1" x="1383"/>
        <item m="1" x="940"/>
        <item m="1" x="2014"/>
        <item m="1" x="697"/>
        <item m="1" x="698"/>
        <item m="1" x="587"/>
        <item m="1" x="2451"/>
        <item m="1" x="1580"/>
        <item m="1" x="2532"/>
        <item m="1" x="253"/>
        <item m="1" x="1814"/>
        <item m="1" x="1118"/>
        <item m="1" x="1180"/>
        <item m="1" x="827"/>
        <item m="1" x="2121"/>
        <item m="1" x="1619"/>
        <item m="1" x="1035"/>
        <item m="1" x="2723"/>
        <item m="1" x="2639"/>
        <item m="1" x="2009"/>
        <item m="1" x="119"/>
        <item m="1" x="1534"/>
        <item m="1" x="2452"/>
        <item m="1" x="1291"/>
        <item m="1" x="398"/>
        <item m="1" x="1728"/>
        <item m="1" x="2316"/>
        <item m="1" x="1560"/>
        <item m="1" x="2619"/>
        <item m="1" x="469"/>
        <item m="1" x="1769"/>
        <item m="1" x="1889"/>
        <item m="1" x="699"/>
        <item sd="0" m="1" x="2732"/>
        <item m="1" x="569"/>
        <item m="1" x="803"/>
        <item x="17"/>
        <item m="1" x="2453"/>
        <item m="1" x="1995"/>
        <item m="1" x="2454"/>
        <item m="1" x="1296"/>
        <item m="1" x="1866"/>
        <item m="1" x="1731"/>
        <item m="1" x="1537"/>
        <item m="1" x="1609"/>
        <item m="1" x="2574"/>
        <item m="1" x="1538"/>
        <item m="1" x="483"/>
        <item m="1" x="1603"/>
        <item m="1" x="178"/>
        <item m="1" x="1791"/>
        <item m="1" x="1840"/>
        <item m="1" x="958"/>
        <item m="1" x="402"/>
        <item sd="0" m="1" x="258"/>
        <item sd="0" m="1" x="2725"/>
        <item m="1" x="1033"/>
        <item m="1" x="1798"/>
        <item m="1" x="1013"/>
        <item m="1" x="186"/>
        <item m="1" x="1916"/>
        <item m="1" x="968"/>
        <item m="1" x="2599"/>
        <item m="1" x="2140"/>
        <item m="1" x="796"/>
        <item m="1" x="1540"/>
        <item m="1" x="1541"/>
        <item m="1" x="701"/>
        <item m="1" x="1856"/>
        <item m="1" x="897"/>
        <item m="1" x="1857"/>
        <item m="1" x="2455"/>
        <item m="1" x="2660"/>
        <item m="1" x="1115"/>
        <item m="1" x="2471"/>
        <item m="1" x="1896"/>
        <item m="1" x="680"/>
        <item m="1" x="705"/>
        <item m="1" x="446"/>
        <item m="1" x="1350"/>
        <item m="1" x="600"/>
        <item m="1" x="1001"/>
        <item m="1" x="702"/>
        <item m="1" x="1545"/>
        <item x="2"/>
        <item m="1" x="531"/>
        <item m="1" x="634"/>
        <item m="1" x="814"/>
        <item m="1" x="556"/>
        <item x="21"/>
        <item m="1" x="2679"/>
        <item sd="0" m="1" x="1190"/>
        <item m="1" x="1823"/>
        <item m="1" x="790"/>
        <item m="1" x="2696"/>
        <item m="1" x="1127"/>
        <item m="1" x="845"/>
        <item m="1" x="347"/>
        <item m="1" x="1559"/>
        <item m="1" x="1116"/>
        <item m="1" x="1839"/>
        <item m="1" x="1721"/>
        <item m="1" x="1144"/>
        <item m="1" x="1107"/>
        <item m="1" x="888"/>
        <item m="1" x="1332"/>
        <item m="1" x="1845"/>
        <item sd="0" m="1" x="522"/>
        <item m="1" x="1714"/>
        <item m="1" x="1841"/>
        <item m="1" x="627"/>
        <item m="1" x="409"/>
        <item m="1" x="1040"/>
        <item m="1" x="1862"/>
        <item m="1" x="1969"/>
        <item m="1" x="379"/>
        <item m="1" x="1988"/>
        <item m="1" x="703"/>
        <item m="1" x="187"/>
        <item m="1" x="470"/>
        <item m="1" x="2122"/>
        <item m="1" x="1838"/>
        <item m="1" x="1564"/>
        <item m="1" x="198"/>
        <item x="39"/>
        <item m="1" x="913"/>
        <item m="1" x="1867"/>
        <item m="1" x="2458"/>
        <item m="1" x="1529"/>
        <item m="1" x="2459"/>
        <item m="1" x="2460"/>
        <item m="1" x="2462"/>
        <item m="1" x="830"/>
        <item m="1" x="704"/>
        <item m="1" x="2609"/>
        <item m="1" x="305"/>
        <item m="1" x="953"/>
        <item m="1" x="977"/>
        <item m="1" x="2463"/>
        <item m="1" x="2591"/>
        <item m="1" x="2299"/>
        <item m="1" x="189"/>
        <item m="1" x="2381"/>
        <item m="1" x="2662"/>
        <item m="1" x="228"/>
        <item m="1" x="2457"/>
        <item m="1" x="2032"/>
        <item m="1" x="961"/>
        <item m="1" x="1610"/>
        <item m="1" x="229"/>
        <item m="1" x="1772"/>
        <item m="1" x="1567"/>
        <item m="1" x="362"/>
        <item m="1" x="1029"/>
        <item m="1" x="829"/>
        <item m="1" x="1582"/>
        <item m="1" x="447"/>
        <item m="1" x="1150"/>
        <item sd="0" m="1" x="2736"/>
        <item m="1" x="1178"/>
        <item m="1" x="1514"/>
        <item m="1" x="1583"/>
        <item m="1" x="1584"/>
        <item m="1" x="1134"/>
        <item m="1" x="707"/>
        <item m="1" x="1561"/>
        <item m="1" x="2472"/>
        <item m="1" x="2011"/>
        <item m="1" x="1585"/>
        <item m="1" x="1338"/>
        <item m="1" x="909"/>
        <item m="1" x="700"/>
        <item m="1" x="77"/>
        <item m="1" x="2562"/>
        <item m="1" x="1586"/>
        <item m="1" x="2473"/>
        <item m="1" x="1685"/>
        <item m="1" x="564"/>
        <item m="1" x="1110"/>
        <item x="30"/>
        <item m="1" x="2474"/>
        <item m="1" x="2576"/>
        <item m="1" x="2610"/>
        <item m="1" x="1696"/>
        <item m="1" x="1051"/>
        <item m="1" x="2475"/>
        <item m="1" x="2476"/>
        <item m="1" x="1629"/>
        <item m="1" x="2477"/>
        <item m="1" x="1922"/>
        <item m="1" x="2479"/>
        <item m="1" x="2478"/>
        <item m="1" x="1676"/>
        <item m="1" x="1965"/>
        <item m="1" x="2695"/>
        <item m="1" x="496"/>
        <item m="1" x="1990"/>
        <item m="1" x="2689"/>
        <item m="1" x="1590"/>
        <item m="1" x="1155"/>
        <item m="1" x="881"/>
        <item m="1" x="2480"/>
        <item x="11"/>
        <item m="1" x="1960"/>
        <item m="1" x="2481"/>
        <item m="1" x="520"/>
        <item m="1" x="1028"/>
        <item m="1" x="352"/>
        <item m="1" x="2482"/>
        <item m="1" x="504"/>
        <item m="1" x="1496"/>
        <item m="1" x="928"/>
        <item m="1" x="2468"/>
        <item m="1" x="1024"/>
        <item m="1" x="1854"/>
        <item m="1" x="2483"/>
        <item m="1" x="1593"/>
        <item m="1" x="2680"/>
        <item m="1" x="1061"/>
        <item m="1" x="243"/>
        <item m="1" x="191"/>
        <item m="1" x="1579"/>
        <item m="1" x="1595"/>
        <item m="1" x="192"/>
        <item m="1" x="298"/>
        <item m="1" x="1601"/>
        <item m="1" x="962"/>
        <item m="1" x="2485"/>
        <item m="1" x="2124"/>
        <item m="1" x="1421"/>
        <item m="1" x="2005"/>
        <item m="1" x="1648"/>
        <item m="1" x="2125"/>
        <item m="1" x="1184"/>
        <item m="1" x="2676"/>
        <item m="1" x="1604"/>
        <item m="1" x="1558"/>
        <item m="1" x="194"/>
        <item m="1" x="2126"/>
        <item m="1" x="307"/>
        <item m="1" x="588"/>
        <item m="1" x="1168"/>
        <item m="1" x="193"/>
        <item m="1" x="972"/>
        <item m="1" x="413"/>
        <item m="1" x="414"/>
        <item m="1" x="415"/>
        <item m="1" x="169"/>
        <item m="1" x="416"/>
        <item m="1" x="1445"/>
        <item m="1" x="833"/>
        <item m="1" x="2486"/>
        <item m="1" x="1570"/>
        <item m="1" x="855"/>
        <item m="1" x="1533"/>
        <item m="1" x="2487"/>
        <item m="1" x="1842"/>
        <item m="1" x="1773"/>
        <item m="1" x="2488"/>
        <item m="1" x="1563"/>
        <item m="1" x="902"/>
        <item m="1" x="435"/>
        <item m="1" x="860"/>
        <item m="1" x="1121"/>
        <item m="1" x="708"/>
        <item m="1" x="2490"/>
        <item m="1" x="542"/>
        <item m="1" x="1607"/>
        <item m="1" x="1608"/>
        <item m="1" x="1335"/>
        <item sd="0" m="1" x="2719"/>
        <item m="1" x="1864"/>
        <item m="1" x="742"/>
        <item m="1" x="2368"/>
        <item m="1" x="832"/>
        <item m="1" x="1117"/>
        <item m="1" x="239"/>
        <item m="1" x="1426"/>
        <item m="1" x="2492"/>
        <item m="1" x="2493"/>
        <item m="1" x="196"/>
        <item m="1" x="2494"/>
        <item m="1" x="278"/>
        <item sd="0" m="1" x="2740"/>
        <item m="1" x="2069"/>
        <item m="1" x="1797"/>
        <item m="1" x="143"/>
        <item m="1" x="1611"/>
        <item x="42"/>
        <item m="1" x="608"/>
        <item m="1" x="1848"/>
        <item m="1" x="602"/>
        <item m="1" x="1858"/>
        <item m="1" x="1849"/>
        <item m="1" x="1976"/>
        <item m="1" x="1929"/>
        <item m="1" x="603"/>
        <item m="1" x="770"/>
        <item m="1" x="1850"/>
        <item m="1" x="601"/>
        <item m="1" x="606"/>
        <item m="1" x="610"/>
        <item m="1" x="1852"/>
        <item m="1" x="515"/>
        <item sd="0" x="29"/>
        <item m="1" x="1661"/>
        <item x="41"/>
        <item m="1" x="596"/>
        <item m="1" x="1662"/>
        <item m="1" x="514"/>
        <item m="1" x="595"/>
        <item m="1" x="1977"/>
        <item m="1" x="1358"/>
        <item m="1" x="1847"/>
        <item m="1" x="605"/>
        <item m="1" x="1846"/>
        <item m="1" x="609"/>
        <item sd="0" m="1" x="604"/>
        <item x="28"/>
        <item sd="0" m="1" x="2730"/>
        <item sd="0" m="1" x="2735"/>
        <item sd="0" x="26"/>
        <item m="1" x="857"/>
        <item m="1" x="1861"/>
        <item m="1" x="2027"/>
        <item m="1" x="2035"/>
        <item m="1" x="1881"/>
        <item m="1" x="92"/>
        <item m="1" x="1666"/>
        <item m="1" x="1974"/>
        <item m="1" x="1017"/>
        <item m="1" x="805"/>
        <item m="1" x="2699"/>
        <item m="1" x="2427"/>
        <item m="1" x="2446"/>
        <item m="1" x="151"/>
        <item m="1" x="709"/>
        <item m="1" x="1659"/>
        <item m="1" x="421"/>
        <item m="1" x="2067"/>
        <item m="1" x="2495"/>
        <item m="1" x="921"/>
        <item m="1" x="2238"/>
        <item sd="0" m="1" x="2738"/>
        <item m="1" x="1423"/>
        <item m="1" x="582"/>
        <item m="1" x="2123"/>
        <item m="1" x="70"/>
        <item m="1" x="2497"/>
        <item m="1" x="325"/>
        <item m="1" x="2156"/>
        <item m="1" x="2498"/>
        <item m="1" x="2461"/>
        <item m="1" x="1234"/>
        <item m="1" x="934"/>
        <item m="1" x="2672"/>
        <item m="1" x="1067"/>
        <item m="1" x="2256"/>
        <item m="1" x="1308"/>
        <item m="1" x="1669"/>
        <item m="1" x="1446"/>
        <item m="1" x="1154"/>
        <item m="1" x="2127"/>
        <item m="1" x="423"/>
        <item m="1" x="1400"/>
        <item m="1" x="424"/>
        <item m="1" x="1958"/>
        <item m="1" x="197"/>
        <item m="1" x="2499"/>
        <item m="1" x="1673"/>
        <item m="1" x="517"/>
        <item m="1" x="1477"/>
        <item m="1" x="2500"/>
        <item m="1" x="1808"/>
        <item m="1" x="892"/>
        <item m="1" x="1138"/>
        <item m="1" x="275"/>
        <item m="1" x="834"/>
        <item m="1" x="79"/>
        <item m="1" x="910"/>
        <item m="1" x="136"/>
        <item m="1" x="203"/>
        <item m="1" x="2575"/>
        <item m="1" x="2585"/>
        <item m="1" x="939"/>
        <item m="1" x="1366"/>
        <item m="1" x="1136"/>
        <item m="1" x="1605"/>
        <item m="1" x="1226"/>
        <item m="1" x="484"/>
        <item m="1" x="1677"/>
        <item m="1" x="2714"/>
        <item m="1" x="993"/>
        <item m="1" x="1387"/>
        <item m="1" x="1678"/>
        <item m="1" x="1895"/>
        <item m="1" x="1365"/>
        <item m="1" x="1649"/>
        <item m="1" x="1620"/>
        <item m="1" x="1599"/>
        <item m="1" x="1122"/>
        <item m="1" x="489"/>
        <item m="1" x="1352"/>
        <item m="1" x="1616"/>
        <item m="1" x="835"/>
        <item m="1" x="2515"/>
        <item m="1" x="230"/>
        <item m="1" x="533"/>
        <item m="1" x="2501"/>
        <item m="1" x="261"/>
        <item m="1" x="201"/>
        <item m="1" x="285"/>
        <item m="1" x="2502"/>
        <item m="1" x="1187"/>
        <item m="1" x="552"/>
        <item m="1" x="2503"/>
        <item m="1" x="630"/>
        <item m="1" x="859"/>
        <item m="1" x="1975"/>
        <item m="1" x="2504"/>
        <item m="1" x="2713"/>
        <item m="1" x="2694"/>
        <item m="1" x="1076"/>
        <item m="1" x="905"/>
        <item m="1" x="2514"/>
        <item m="1" x="1828"/>
        <item m="1" x="1164"/>
        <item m="1" x="1415"/>
        <item m="1" x="2587"/>
        <item m="1" x="2698"/>
        <item m="1" x="1697"/>
        <item m="1" x="1401"/>
        <item m="1" x="1292"/>
        <item m="1" x="2505"/>
        <item m="1" x="2702"/>
        <item m="1" x="280"/>
        <item m="1" x="879"/>
        <item m="1" x="937"/>
        <item x="34"/>
        <item m="1" x="365"/>
        <item m="1" x="1566"/>
        <item m="1" x="710"/>
        <item m="1" x="490"/>
        <item sd="0" m="1" x="493"/>
        <item m="1" x="711"/>
        <item m="1" x="400"/>
        <item m="1" x="2507"/>
        <item m="1" x="2624"/>
        <item m="1" x="632"/>
        <item m="1" x="2189"/>
        <item m="1" x="1631"/>
        <item m="1" x="2706"/>
        <item m="1" x="729"/>
        <item m="1" x="2617"/>
        <item x="24"/>
        <item m="1" x="1331"/>
        <item m="1" x="838"/>
        <item m="1" x="2022"/>
        <item m="1" x="1689"/>
        <item m="1" x="1690"/>
        <item m="1" x="2308"/>
        <item m="1" x="1794"/>
        <item m="1" x="1173"/>
        <item m="1" x="651"/>
        <item m="1" x="2652"/>
        <item m="1" x="1101"/>
        <item m="1" x="2128"/>
        <item m="1" x="613"/>
        <item m="1" x="137"/>
        <item m="1" x="813"/>
        <item m="1" x="2603"/>
        <item m="1" x="1343"/>
        <item m="1" x="2509"/>
        <item m="1" x="839"/>
        <item m="1" x="1691"/>
        <item m="1" x="121"/>
        <item m="1" x="425"/>
        <item m="1" x="2431"/>
        <item m="1" x="1890"/>
        <item m="1" x="1776"/>
        <item m="1" x="1904"/>
        <item m="1" x="2144"/>
        <item m="1" x="62"/>
        <item m="1" x="1055"/>
        <item m="1" x="840"/>
        <item m="1" x="2383"/>
        <item m="1" x="1578"/>
        <item m="1" x="2510"/>
        <item m="1" x="1660"/>
        <item m="1" x="485"/>
        <item m="1" x="1207"/>
        <item m="1" x="1693"/>
        <item m="1" x="1663"/>
        <item m="1" x="1657"/>
        <item m="1" x="858"/>
        <item m="1" x="2511"/>
        <item m="1" x="2001"/>
        <item m="1" x="841"/>
        <item m="1" x="1411"/>
        <item m="1" x="837"/>
        <item m="1" x="2597"/>
        <item m="1" x="1694"/>
        <item m="1" x="1801"/>
        <item m="1" x="1695"/>
        <item m="1" x="1681"/>
        <item m="1" x="1587"/>
        <item m="1" x="1160"/>
        <item m="1" x="1569"/>
        <item m="1" x="998"/>
        <item m="1" x="856"/>
        <item m="1" x="1166"/>
        <item m="1" x="2512"/>
        <item m="1" x="150"/>
        <item m="1" x="2149"/>
        <item m="1" x="1223"/>
        <item m="1" x="212"/>
        <item m="1" x="918"/>
        <item m="1" x="1989"/>
        <item m="1" x="1979"/>
        <item m="1" x="2268"/>
        <item m="1" x="56"/>
        <item m="1" x="1562"/>
        <item m="1" x="1581"/>
        <item m="1" x="2390"/>
        <item m="1" x="969"/>
        <item m="1" x="473"/>
        <item m="1" x="843"/>
        <item m="1" x="1625"/>
        <item m="1" x="935"/>
        <item m="1" x="2023"/>
        <item m="1" x="1462"/>
        <item m="1" x="2666"/>
        <item m="1" x="2024"/>
        <item x="9"/>
        <item m="1" x="1698"/>
        <item m="1" x="1375"/>
        <item m="1" x="1699"/>
        <item m="1" x="179"/>
        <item m="1" x="2148"/>
        <item m="1" x="589"/>
        <item m="1" x="558"/>
        <item m="1" x="1019"/>
        <item m="1" x="69"/>
        <item m="1" x="199"/>
        <item m="1" x="844"/>
        <item m="1" x="714"/>
        <item m="1" x="2449"/>
        <item m="1" x="715"/>
        <item m="1" x="1670"/>
        <item m="1" x="1407"/>
        <item m="1" x="2130"/>
        <item m="1" x="1702"/>
        <item m="1" x="427"/>
        <item m="1" x="190"/>
        <item m="1" x="1479"/>
        <item m="1" x="679"/>
        <item m="1" x="716"/>
        <item m="1" x="65"/>
        <item m="1" x="1703"/>
        <item m="1" x="1851"/>
        <item m="1" x="717"/>
        <item m="1" x="486"/>
        <item m="1" x="231"/>
        <item m="1" x="2079"/>
        <item m="1" x="2131"/>
        <item m="1" x="1626"/>
        <item m="1" x="2516"/>
        <item m="1" x="1374"/>
        <item m="1" x="1280"/>
        <item m="1" x="927"/>
        <item m="1" x="299"/>
        <item sd="0" m="1" x="2734"/>
        <item m="1" x="1843"/>
        <item m="1" x="1991"/>
        <item m="1" x="200"/>
        <item m="1" x="1859"/>
        <item m="1" x="86"/>
        <item m="1" x="1268"/>
        <item m="1" x="1417"/>
        <item m="1" x="1706"/>
        <item m="1" x="1269"/>
        <item m="1" x="2132"/>
        <item m="1" x="989"/>
        <item m="1" x="1704"/>
        <item m="1" x="637"/>
        <item m="1" x="706"/>
        <item sd="0" m="1" x="640"/>
        <item m="1" x="842"/>
        <item m="1" x="105"/>
        <item m="1" x="173"/>
        <item m="1" x="1495"/>
        <item m="1" x="896"/>
        <item m="1" x="2517"/>
        <item m="1" x="2518"/>
        <item m="1" x="982"/>
        <item m="1" x="2519"/>
        <item m="1" x="718"/>
        <item m="1" x="1705"/>
        <item m="1" x="1519"/>
        <item m="1" x="2644"/>
        <item m="1" x="2640"/>
        <item m="1" x="2520"/>
        <item m="1" x="1025"/>
        <item m="1" x="1182"/>
        <item m="1" x="1946"/>
        <item m="1" x="1635"/>
        <item m="1" x="984"/>
        <item m="1" x="1274"/>
        <item m="1" x="2521"/>
        <item m="1" x="1633"/>
        <item m="1" x="2522"/>
        <item m="1" x="861"/>
        <item m="1" x="1707"/>
        <item m="1" x="1834"/>
        <item m="1" x="1634"/>
        <item m="1" x="2700"/>
        <item m="1" x="127"/>
        <item m="1" x="1032"/>
        <item m="1" x="2203"/>
        <item m="1" x="1404"/>
        <item m="1" x="1494"/>
        <item m="1" x="1770"/>
        <item m="1" x="1983"/>
        <item m="1" x="2523"/>
        <item m="1" x="1709"/>
        <item m="1" x="1777"/>
        <item m="1" x="2525"/>
        <item m="1" x="719"/>
        <item m="1" x="1927"/>
        <item m="1" x="1996"/>
        <item m="1" x="846"/>
        <item m="1" x="2526"/>
        <item m="1" x="2392"/>
        <item m="1" x="519"/>
        <item m="1" x="1086"/>
        <item m="1" x="2059"/>
        <item m="1" x="598"/>
        <item m="1" x="757"/>
        <item m="1" x="535"/>
        <item m="1" x="2133"/>
        <item m="1" x="2527"/>
        <item m="1" x="204"/>
        <item m="1" x="720"/>
        <item x="35"/>
        <item m="1" x="1713"/>
        <item m="1" x="1014"/>
        <item m="1" x="1424"/>
        <item m="1" x="941"/>
        <item m="1" x="2712"/>
        <item m="1" x="420"/>
        <item m="1" x="2528"/>
        <item m="1" x="1391"/>
        <item m="1" x="2012"/>
        <item m="1" x="2573"/>
        <item m="1" x="938"/>
        <item m="1" x="2134"/>
        <item m="1" x="267"/>
        <item m="1" x="2529"/>
        <item m="1" x="1293"/>
        <item m="1" x="614"/>
        <item sd="0" m="1" x="2722"/>
        <item m="1" x="2593"/>
        <item m="1" x="1416"/>
        <item m="1" x="324"/>
        <item m="1" x="428"/>
        <item m="1" x="2530"/>
        <item m="1" x="2029"/>
        <item m="1" x="723"/>
        <item m="1" x="2259"/>
        <item m="1" x="541"/>
        <item m="1" x="1618"/>
        <item m="1" x="1674"/>
        <item m="1" x="1778"/>
        <item m="1" x="911"/>
        <item m="1" x="2531"/>
        <item m="1" x="847"/>
        <item x="23"/>
        <item m="1" x="478"/>
        <item m="1" x="848"/>
        <item m="1" x="929"/>
        <item m="1" x="1844"/>
        <item m="1" x="1715"/>
        <item m="1" x="1710"/>
        <item m="1" x="1004"/>
        <item m="1" x="726"/>
        <item m="1" x="2135"/>
        <item m="1" x="1353"/>
        <item m="1" x="1717"/>
        <item m="1" x="1779"/>
        <item sd="0" m="1" x="465"/>
        <item m="1" x="1260"/>
        <item m="1" x="974"/>
        <item m="1" x="2533"/>
        <item m="1" x="188"/>
        <item m="1" x="2647"/>
        <item m="1" x="2686"/>
        <item m="1" x="866"/>
        <item m="1" x="1811"/>
        <item m="1" x="812"/>
        <item x="43"/>
        <item m="1" x="1718"/>
        <item m="1" x="1719"/>
        <item m="1" x="1398"/>
        <item m="1" x="1720"/>
        <item sd="0" m="1" x="2728"/>
        <item m="1" x="128"/>
        <item m="1" x="205"/>
        <item m="1" x="686"/>
        <item m="1" x="2622"/>
        <item m="1" x="1780"/>
        <item m="1" x="685"/>
        <item m="1" x="2416"/>
        <item m="1" x="2705"/>
        <item m="1" x="1333"/>
        <item m="1" x="1667"/>
        <item m="1" x="2136"/>
        <item m="1" x="1781"/>
        <item m="1" x="329"/>
        <item m="1" x="1724"/>
        <item m="1" x="206"/>
        <item m="1" x="153"/>
        <item m="1" x="2643"/>
        <item m="1" x="849"/>
        <item m="1" x="854"/>
        <item m="1" x="2631"/>
        <item m="1" x="471"/>
        <item m="1" x="2535"/>
        <item m="1" x="1902"/>
        <item m="1" x="722"/>
        <item m="1" x="540"/>
        <item m="1" x="2255"/>
        <item m="1" x="850"/>
        <item m="1" x="183"/>
        <item m="1" x="693"/>
        <item m="1" x="644"/>
        <item m="1" x="1726"/>
        <item m="1" x="967"/>
        <item sd="0" m="1" x="2117"/>
        <item m="1" x="397"/>
        <item m="1" x="1504"/>
        <item x="40"/>
        <item sd="0" m="1" x="2729"/>
        <item m="1" x="1273"/>
        <item m="1" x="2536"/>
        <item m="1" x="2470"/>
        <item m="1" x="429"/>
        <item m="1" x="2537"/>
        <item m="1" x="2538"/>
        <item m="1" x="2569"/>
        <item m="1" x="2539"/>
        <item m="1" x="1460"/>
        <item m="1" x="2058"/>
        <item m="1" x="2540"/>
        <item m="1" x="942"/>
        <item m="1" x="2031"/>
        <item m="1" x="1597"/>
        <item m="1" x="2541"/>
        <item m="1" x="1325"/>
        <item m="1" x="2071"/>
        <item m="1" x="828"/>
        <item m="1" x="430"/>
        <item m="1" x="1356"/>
        <item m="1" x="1031"/>
        <item x="16"/>
        <item m="1" x="1957"/>
        <item m="1" x="1434"/>
        <item m="1" x="874"/>
        <item m="1" x="2542"/>
        <item m="1" x="2543"/>
        <item m="1" x="249"/>
        <item m="1" x="207"/>
        <item m="1" x="2544"/>
        <item m="1" x="2545"/>
        <item m="1" x="2137"/>
        <item m="1" x="2138"/>
        <item m="1" x="1002"/>
        <item m="1" x="134"/>
        <item m="1" x="1732"/>
        <item m="1" x="1326"/>
        <item m="1" x="155"/>
        <item m="1" x="211"/>
        <item m="1" x="1161"/>
        <item x="36"/>
        <item m="1" x="141"/>
        <item m="1" x="2548"/>
        <item m="1" x="508"/>
        <item m="1" x="930"/>
        <item m="1" x="571"/>
        <item m="1" x="2372"/>
        <item m="1" x="2357"/>
        <item m="1" x="241"/>
        <item m="1" x="1733"/>
        <item m="1" x="1734"/>
        <item m="1" x="431"/>
        <item m="1" x="851"/>
        <item m="1" x="2546"/>
        <item m="1" x="532"/>
        <item m="1" x="1521"/>
        <item m="1" x="1554"/>
        <item m="1" x="2547"/>
        <item m="1" x="1782"/>
        <item m="1" x="1903"/>
        <item m="1" x="2549"/>
        <item m="1" x="1735"/>
        <item m="1" x="1650"/>
        <item m="1" x="1736"/>
        <item m="1" x="2708"/>
        <item t="default" sd="0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4"/>
    <field x="0"/>
  </rowFields>
  <rowItems count="8">
    <i>
      <x v="445"/>
    </i>
    <i r="1">
      <x v="40"/>
    </i>
    <i>
      <x v="1089"/>
    </i>
    <i r="1">
      <x v="38"/>
    </i>
    <i r="1">
      <x v="39"/>
    </i>
    <i>
      <x v="2697"/>
    </i>
    <i r="1">
      <x v="33"/>
    </i>
    <i t="grand">
      <x/>
    </i>
  </rowItems>
  <colItems count="1">
    <i/>
  </colItems>
  <pageFields count="1">
    <pageField fld="3" hier="-1"/>
  </pageFields>
  <dataFields count="1">
    <dataField name="Total" fld="9" baseField="0" baseItem="0" numFmtId="44"/>
  </dataFields>
  <formats count="9">
    <format dxfId="239">
      <pivotArea collapsedLevelsAreSubtotals="1" fieldPosition="0">
        <references count="1">
          <reference field="4" count="1">
            <x v="275"/>
          </reference>
        </references>
      </pivotArea>
    </format>
    <format dxfId="238">
      <pivotArea collapsedLevelsAreSubtotals="1" fieldPosition="0">
        <references count="1">
          <reference field="4" count="1">
            <x v="664"/>
          </reference>
        </references>
      </pivotArea>
    </format>
    <format dxfId="237">
      <pivotArea collapsedLevelsAreSubtotals="1" fieldPosition="0">
        <references count="1">
          <reference field="4" count="1">
            <x v="789"/>
          </reference>
        </references>
      </pivotArea>
    </format>
    <format dxfId="236">
      <pivotArea collapsedLevelsAreSubtotals="1" fieldPosition="0">
        <references count="1">
          <reference field="4" count="1">
            <x v="1446"/>
          </reference>
        </references>
      </pivotArea>
    </format>
    <format dxfId="235">
      <pivotArea collapsedLevelsAreSubtotals="1" fieldPosition="0">
        <references count="1">
          <reference field="4" count="1">
            <x v="1688"/>
          </reference>
        </references>
      </pivotArea>
    </format>
    <format dxfId="234">
      <pivotArea collapsedLevelsAreSubtotals="1" fieldPosition="0">
        <references count="1">
          <reference field="4" count="1">
            <x v="1989"/>
          </reference>
        </references>
      </pivotArea>
    </format>
    <format dxfId="233">
      <pivotArea dataOnly="0" labelOnly="1" fieldPosition="0">
        <references count="1">
          <reference field="4" count="6">
            <x v="275"/>
            <x v="664"/>
            <x v="789"/>
            <x v="1446"/>
            <x v="1688"/>
            <x v="1989"/>
          </reference>
        </references>
      </pivotArea>
    </format>
    <format dxfId="232">
      <pivotArea field="4" type="button" dataOnly="0" labelOnly="1" outline="0" axis="axisRow" fieldPosition="0"/>
    </format>
    <format dxfId="231">
      <pivotArea dataOnly="0" labelOnly="1" outline="0" axis="axisValues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6E35C-AAEB-7C44-97B9-E1B0878AFBDF}" name="PivotTable5" cacheId="4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A4:B7" firstHeaderRow="1" firstDataRow="1" firstDataCol="1" rowPageCount="1" colPageCount="1"/>
  <pivotFields count="15">
    <pivotField axis="axisRow" showAll="0">
      <items count="71">
        <item x="56"/>
        <item x="64"/>
        <item x="57"/>
        <item x="65"/>
        <item x="25"/>
        <item x="34"/>
        <item x="36"/>
        <item x="30"/>
        <item x="21"/>
        <item x="52"/>
        <item x="13"/>
        <item x="44"/>
        <item x="14"/>
        <item x="22"/>
        <item x="16"/>
        <item x="29"/>
        <item x="2"/>
        <item x="8"/>
        <item x="51"/>
        <item x="20"/>
        <item x="26"/>
        <item x="35"/>
        <item x="19"/>
        <item x="6"/>
        <item x="61"/>
        <item x="4"/>
        <item x="43"/>
        <item x="11"/>
        <item x="54"/>
        <item x="33"/>
        <item x="38"/>
        <item x="39"/>
        <item x="63"/>
        <item x="17"/>
        <item x="55"/>
        <item x="0"/>
        <item x="1"/>
        <item m="1" x="67"/>
        <item x="46"/>
        <item x="45"/>
        <item x="24"/>
        <item x="18"/>
        <item x="50"/>
        <item x="58"/>
        <item x="59"/>
        <item x="7"/>
        <item x="47"/>
        <item x="31"/>
        <item x="53"/>
        <item x="48"/>
        <item x="23"/>
        <item x="27"/>
        <item x="32"/>
        <item x="37"/>
        <item x="49"/>
        <item m="1" x="68"/>
        <item m="1" x="69"/>
        <item x="3"/>
        <item x="9"/>
        <item x="60"/>
        <item x="28"/>
        <item x="10"/>
        <item x="66"/>
        <item x="62"/>
        <item x="40"/>
        <item x="41"/>
        <item x="42"/>
        <item x="12"/>
        <item x="15"/>
        <item x="5"/>
        <item t="default"/>
      </items>
    </pivotField>
    <pivotField showAll="0"/>
    <pivotField showAll="0"/>
    <pivotField axis="axisPage" multipleItemSelectionAllowed="1" showAll="0">
      <items count="49">
        <item h="1" x="10"/>
        <item x="15"/>
        <item h="1" x="17"/>
        <item h="1" x="5"/>
        <item h="1" x="7"/>
        <item h="1" m="1" x="18"/>
        <item h="1" x="6"/>
        <item h="1" x="12"/>
        <item h="1" x="14"/>
        <item h="1" m="1" x="36"/>
        <item h="1" x="3"/>
        <item h="1" x="8"/>
        <item h="1" x="9"/>
        <item h="1" m="1" x="41"/>
        <item h="1" m="1" x="42"/>
        <item h="1" x="13"/>
        <item h="1" x="0"/>
        <item h="1" m="1" x="23"/>
        <item h="1" m="1" x="45"/>
        <item h="1" m="1" x="47"/>
        <item h="1" x="1"/>
        <item h="1" m="1" x="39"/>
        <item h="1" x="4"/>
        <item h="1" m="1" x="44"/>
        <item h="1" m="1" x="46"/>
        <item h="1" x="2"/>
        <item h="1" m="1" x="40"/>
        <item h="1" x="11"/>
        <item h="1" m="1" x="34"/>
        <item h="1" m="1" x="21"/>
        <item h="1" m="1" x="31"/>
        <item h="1" m="1" x="33"/>
        <item h="1" m="1" x="22"/>
        <item h="1" m="1" x="20"/>
        <item h="1" m="1" x="26"/>
        <item h="1" m="1" x="27"/>
        <item h="1" m="1" x="19"/>
        <item h="1" x="16"/>
        <item h="1" m="1" x="43"/>
        <item h="1" m="1" x="24"/>
        <item h="1" m="1" x="25"/>
        <item h="1" m="1" x="28"/>
        <item h="1" m="1" x="29"/>
        <item h="1" m="1" x="30"/>
        <item h="1" m="1" x="32"/>
        <item h="1" m="1" x="35"/>
        <item h="1" m="1" x="37"/>
        <item h="1" m="1" x="38"/>
        <item t="default"/>
      </items>
    </pivotField>
    <pivotField axis="axisRow" showAll="0" sortType="ascending">
      <items count="2742">
        <item m="1" x="956"/>
        <item m="1" x="1464"/>
        <item m="1" x="2141"/>
        <item m="1" x="272"/>
        <item m="1" x="870"/>
        <item m="1" x="575"/>
        <item m="1" x="2057"/>
        <item m="1" x="1442"/>
        <item m="1" x="361"/>
        <item m="1" x="118"/>
        <item m="1" x="1346"/>
        <item m="1" x="725"/>
        <item m="1" x="1254"/>
        <item m="1" x="282"/>
        <item m="1" x="2036"/>
        <item m="1" x="2157"/>
        <item m="1" x="1796"/>
        <item m="1" x="951"/>
        <item m="1" x="1887"/>
        <item m="1" x="1870"/>
        <item m="1" x="2717"/>
        <item x="5"/>
        <item m="1" x="491"/>
        <item m="1" x="1549"/>
        <item m="1" x="1484"/>
        <item m="1" x="727"/>
        <item m="1" x="1288"/>
        <item m="1" x="1739"/>
        <item m="1" x="804"/>
        <item m="1" x="451"/>
        <item m="1" x="1888"/>
        <item x="12"/>
        <item m="1" x="2159"/>
        <item m="1" x="1623"/>
        <item m="1" x="2037"/>
        <item m="1" x="78"/>
        <item m="1" x="2611"/>
        <item m="1" x="1378"/>
        <item m="1" x="1556"/>
        <item m="1" x="959"/>
        <item m="1" x="177"/>
        <item m="1" x="2038"/>
        <item m="1" x="1737"/>
        <item m="1" x="2160"/>
        <item m="1" x="2161"/>
        <item m="1" x="357"/>
        <item m="1" x="1142"/>
        <item m="1" x="1003"/>
        <item m="1" x="2688"/>
        <item m="1" x="2162"/>
        <item m="1" x="1096"/>
        <item m="1" x="1016"/>
        <item m="1" x="2039"/>
        <item m="1" x="88"/>
        <item m="1" x="1738"/>
        <item m="1" x="2163"/>
        <item m="1" x="1459"/>
        <item m="1" x="2164"/>
        <item m="1" x="2153"/>
        <item m="1" x="89"/>
        <item m="1" x="2165"/>
        <item m="1" x="730"/>
        <item m="1" x="1630"/>
        <item m="1" x="1005"/>
        <item m="1" x="2166"/>
        <item m="1" x="1348"/>
        <item m="1" x="1006"/>
        <item m="1" x="731"/>
        <item m="1" x="1651"/>
        <item m="1" x="2167"/>
        <item m="1" x="1008"/>
        <item m="1" x="2168"/>
        <item m="1" x="1367"/>
        <item m="1" x="2146"/>
        <item m="1" x="90"/>
        <item m="1" x="2169"/>
        <item m="1" x="266"/>
        <item m="1" x="922"/>
        <item m="1" x="442"/>
        <item m="1" x="364"/>
        <item m="1" x="732"/>
        <item m="1" x="1555"/>
        <item m="1" x="2170"/>
        <item m="1" x="418"/>
        <item m="1" x="887"/>
        <item m="1" x="265"/>
        <item m="1" x="292"/>
        <item m="1" x="2171"/>
        <item m="1" x="68"/>
        <item m="1" x="521"/>
        <item m="1" x="616"/>
        <item m="1" x="2484"/>
        <item m="1" x="617"/>
        <item m="1" x="284"/>
        <item m="1" x="2172"/>
        <item m="1" x="2659"/>
        <item m="1" x="1617"/>
        <item m="1" x="1363"/>
        <item m="1" x="2173"/>
        <item m="1" x="232"/>
        <item m="1" x="2174"/>
        <item m="1" x="2175"/>
        <item m="1" x="2176"/>
        <item m="1" x="2040"/>
        <item m="1" x="562"/>
        <item m="1" x="1476"/>
        <item m="1" x="242"/>
        <item m="1" x="181"/>
        <item m="1" x="1465"/>
        <item m="1" x="2678"/>
        <item m="1" x="1482"/>
        <item m="1" x="815"/>
        <item m="1" x="1128"/>
        <item m="1" x="2489"/>
        <item m="1" x="2177"/>
        <item m="1" x="2385"/>
        <item m="1" x="1129"/>
        <item m="1" x="2178"/>
        <item m="1" x="2181"/>
        <item m="1" x="1012"/>
        <item m="1" x="890"/>
        <item m="1" x="2182"/>
        <item m="1" x="1874"/>
        <item m="1" x="2183"/>
        <item m="1" x="1727"/>
        <item m="1" x="2184"/>
        <item m="1" x="1408"/>
        <item m="1" x="238"/>
        <item m="1" x="2185"/>
        <item m="1" x="93"/>
        <item m="1" x="1041"/>
        <item m="1" x="734"/>
        <item m="1" x="1042"/>
        <item m="1" x="1309"/>
        <item m="1" x="1399"/>
        <item m="1" x="1547"/>
        <item m="1" x="2186"/>
        <item m="1" x="344"/>
        <item m="1" x="94"/>
        <item m="1" x="2187"/>
        <item m="1" x="2188"/>
        <item m="1" x="983"/>
        <item m="1" x="2041"/>
        <item m="1" x="547"/>
        <item m="1" x="1359"/>
        <item m="1" x="1303"/>
        <item m="1" x="1552"/>
        <item m="1" x="981"/>
        <item m="1" x="54"/>
        <item m="1" x="255"/>
        <item m="1" x="497"/>
        <item m="1" x="2190"/>
        <item m="1" x="2191"/>
        <item m="1" x="2192"/>
        <item m="1" x="2650"/>
        <item m="1" x="621"/>
        <item m="1" x="1045"/>
        <item m="1" x="880"/>
        <item m="1" x="1046"/>
        <item m="1" x="274"/>
        <item m="1" x="1047"/>
        <item m="1" x="2193"/>
        <item m="1" x="1049"/>
        <item m="1" x="1050"/>
        <item m="1" x="1962"/>
        <item m="1" x="735"/>
        <item m="1" x="2194"/>
        <item m="1" x="2083"/>
        <item m="1" x="2682"/>
        <item m="1" x="287"/>
        <item m="1" x="432"/>
        <item m="1" x="472"/>
        <item m="1" x="1868"/>
        <item m="1" x="419"/>
        <item m="1" x="2389"/>
        <item m="1" x="1052"/>
        <item m="1" x="1053"/>
        <item m="1" x="2618"/>
        <item m="1" x="2637"/>
        <item m="1" x="2641"/>
        <item m="1" x="366"/>
        <item m="1" x="296"/>
        <item m="1" x="1218"/>
        <item m="1" x="1151"/>
        <item m="1" x="620"/>
        <item m="1" x="1344"/>
        <item m="1" x="1203"/>
        <item m="1" x="2195"/>
        <item m="1" x="736"/>
        <item m="1" x="538"/>
        <item m="1" x="2196"/>
        <item m="1" x="1200"/>
        <item m="1" x="1873"/>
        <item m="1" x="1744"/>
        <item m="1" x="2197"/>
        <item m="1" x="1505"/>
        <item m="1" x="622"/>
        <item m="1" x="2261"/>
        <item m="1" x="2000"/>
        <item m="1" x="374"/>
        <item m="1" x="1741"/>
        <item m="1" x="1948"/>
        <item m="1" x="1056"/>
        <item m="1" x="304"/>
        <item m="1" x="498"/>
        <item m="1" x="737"/>
        <item m="1" x="2042"/>
        <item m="1" x="2198"/>
        <item m="1" x="1643"/>
        <item m="1" x="1475"/>
        <item m="1" x="738"/>
        <item m="1" x="1058"/>
        <item m="1" x="1863"/>
        <item m="1" x="2635"/>
        <item m="1" x="97"/>
        <item m="1" x="739"/>
        <item m="1" x="516"/>
        <item m="1" x="807"/>
        <item m="1" x="2651"/>
        <item m="1" x="2115"/>
        <item m="1" x="625"/>
        <item m="1" x="1978"/>
        <item m="1" x="2043"/>
        <item m="1" x="895"/>
        <item m="1" x="626"/>
        <item m="1" x="1063"/>
        <item m="1" x="1253"/>
        <item m="1" x="1393"/>
        <item m="1" x="1020"/>
        <item m="1" x="492"/>
        <item m="1" x="1804"/>
        <item m="1" x="2085"/>
        <item m="1" x="1900"/>
        <item m="1" x="1886"/>
        <item m="1" x="573"/>
        <item m="1" x="2638"/>
        <item m="1" x="628"/>
        <item m="1" x="2508"/>
        <item m="1" x="464"/>
        <item m="1" x="1224"/>
        <item m="1" x="2002"/>
        <item m="1" x="1500"/>
        <item m="1" x="2199"/>
        <item m="1" x="448"/>
        <item m="1" x="412"/>
        <item m="1" x="98"/>
        <item m="1" x="1575"/>
        <item m="1" x="2601"/>
        <item m="1" x="1508"/>
        <item m="1" x="741"/>
        <item m="1" x="2200"/>
        <item m="1" x="175"/>
        <item m="1" x="1349"/>
        <item m="1" x="1622"/>
        <item m="1" x="2080"/>
        <item m="1" x="806"/>
        <item m="1" x="1981"/>
        <item m="1" x="594"/>
        <item m="1" x="2201"/>
        <item m="1" x="1947"/>
        <item m="1" x="1069"/>
        <item sd="0" m="1" x="47"/>
        <item m="1" x="1382"/>
        <item m="1" x="1701"/>
        <item m="1" x="2681"/>
        <item m="1" x="1355"/>
        <item m="1" x="2202"/>
        <item m="1" x="1364"/>
        <item m="1" x="743"/>
        <item m="1" x="1072"/>
        <item m="1" x="1327"/>
        <item m="1" x="1240"/>
        <item m="1" x="250"/>
        <item m="1" x="2704"/>
        <item sd="0" m="1" x="301"/>
        <item sd="0" m="1" x="2726"/>
        <item m="1" x="2572"/>
        <item m="1" x="744"/>
        <item m="1" x="2018"/>
        <item m="1" x="1073"/>
        <item m="1" x="745"/>
        <item m="1" x="746"/>
        <item m="1" x="2204"/>
        <item m="1" x="1137"/>
        <item m="1" x="2205"/>
        <item m="1" x="529"/>
        <item m="1" x="577"/>
        <item m="1" x="215"/>
        <item m="1" x="499"/>
        <item m="1" x="1418"/>
        <item m="1" x="1940"/>
        <item m="1" x="474"/>
        <item m="1" x="986"/>
        <item m="1" x="72"/>
        <item m="1" x="1388"/>
        <item m="1" x="2206"/>
        <item m="1" x="99"/>
        <item m="1" x="1330"/>
        <item m="1" x="1237"/>
        <item m="1" x="1282"/>
        <item m="1" x="1294"/>
        <item m="1" x="2207"/>
        <item m="1" x="2208"/>
        <item m="1" x="811"/>
        <item m="1" x="747"/>
        <item m="1" x="1310"/>
        <item m="1" x="2081"/>
        <item m="1" x="1771"/>
        <item m="1" x="449"/>
        <item m="1" x="1341"/>
        <item m="1" x="1878"/>
        <item m="1" x="159"/>
        <item m="1" x="576"/>
        <item m="1" x="551"/>
        <item m="1" x="2209"/>
        <item m="1" x="2003"/>
        <item m="1" x="1078"/>
        <item m="1" x="2210"/>
        <item m="1" x="1453"/>
        <item m="1" x="1935"/>
        <item m="1" x="251"/>
        <item m="1" x="1574"/>
        <item m="1" x="1306"/>
        <item m="1" x="1905"/>
        <item m="1" x="1652"/>
        <item m="1" x="313"/>
        <item sd="0" m="1" x="631"/>
        <item m="1" x="1079"/>
        <item m="1" x="526"/>
        <item m="1" x="1757"/>
        <item m="1" x="2211"/>
        <item m="1" x="1037"/>
        <item m="1" x="561"/>
        <item m="1" x="926"/>
        <item m="1" x="2577"/>
        <item m="1" x="2212"/>
        <item m="1" x="1360"/>
        <item m="1" x="2086"/>
        <item m="1" x="1377"/>
        <item m="1" x="2213"/>
        <item m="1" x="100"/>
        <item m="1" x="476"/>
        <item m="1" x="1336"/>
        <item m="1" x="1907"/>
        <item m="1" x="1956"/>
        <item m="1" x="1909"/>
        <item m="1" x="452"/>
        <item m="1" x="109"/>
        <item m="1" x="399"/>
        <item m="1" x="1083"/>
        <item m="1" x="2214"/>
        <item m="1" x="1085"/>
        <item m="1" x="748"/>
        <item m="1" x="2215"/>
        <item m="1" x="2589"/>
        <item m="1" x="1087"/>
        <item m="1" x="254"/>
        <item m="1" x="2563"/>
        <item m="1" x="749"/>
        <item m="1" x="1088"/>
        <item m="1" x="2581"/>
        <item m="1" x="81"/>
        <item m="1" x="1095"/>
        <item m="1" x="158"/>
        <item m="1" x="950"/>
        <item m="1" x="979"/>
        <item m="1" x="1098"/>
        <item sd="0" m="1" x="2571"/>
        <item m="1" x="1084"/>
        <item x="38"/>
        <item m="1" x="2630"/>
        <item m="1" x="103"/>
        <item m="1" x="2716"/>
        <item m="1" x="633"/>
        <item m="1" x="1438"/>
        <item m="1" x="1147"/>
        <item m="1" x="1520"/>
        <item m="1" x="1149"/>
        <item m="1" x="102"/>
        <item m="1" x="1091"/>
        <item m="1" x="115"/>
        <item sd="0" m="1" x="116"/>
        <item m="1" x="1152"/>
        <item m="1" x="618"/>
        <item m="1" x="1380"/>
        <item m="1" x="117"/>
        <item m="1" x="649"/>
        <item m="1" x="648"/>
        <item m="1" x="1089"/>
        <item m="1" x="2670"/>
        <item m="1" x="2216"/>
        <item m="1" x="1090"/>
        <item m="1" x="2004"/>
        <item m="1" x="1021"/>
        <item m="1" x="523"/>
        <item m="1" x="578"/>
        <item m="1" x="1764"/>
        <item m="1" x="908"/>
        <item m="1" x="2560"/>
        <item m="1" x="1803"/>
        <item m="1" x="2242"/>
        <item m="1" x="49"/>
        <item m="1" x="2044"/>
        <item m="1" x="1397"/>
        <item m="1" x="2649"/>
        <item m="1" x="2217"/>
        <item m="1" x="1163"/>
        <item m="1" x="148"/>
        <item m="1" x="2596"/>
        <item m="1" x="167"/>
        <item m="1" x="970"/>
        <item m="1" x="1094"/>
        <item m="1" x="2218"/>
        <item m="1" x="1898"/>
        <item m="1" x="2219"/>
        <item m="1" x="883"/>
        <item m="1" x="873"/>
        <item m="1" x="2600"/>
        <item m="1" x="2380"/>
        <item m="1" x="1932"/>
        <item m="1" x="1062"/>
        <item m="1" x="2220"/>
        <item m="1" x="1952"/>
        <item m="1" x="1082"/>
        <item m="1" x="1289"/>
        <item sd="0" m="1" x="2721"/>
        <item m="1" x="106"/>
        <item m="1" x="360"/>
        <item m="1" x="1998"/>
        <item m="1" x="2339"/>
        <item m="1" x="2667"/>
        <item m="1" x="545"/>
        <item m="1" x="2087"/>
        <item m="1" x="751"/>
        <item m="1" x="107"/>
        <item m="1" x="509"/>
        <item m="1" x="259"/>
        <item m="1" x="1097"/>
        <item m="1" x="1080"/>
        <item x="10"/>
        <item m="1" x="2559"/>
        <item m="1" x="1621"/>
        <item m="1" x="753"/>
        <item m="1" x="331"/>
        <item m="1" x="932"/>
        <item x="22"/>
        <item x="1"/>
        <item m="1" x="2221"/>
        <item m="1" x="2222"/>
        <item m="1" x="369"/>
        <item m="1" x="453"/>
        <item m="1" x="58"/>
        <item m="1" x="437"/>
        <item m="1" x="1687"/>
        <item m="1" x="1099"/>
        <item m="1" x="2224"/>
        <item m="1" x="2045"/>
        <item m="1" x="2608"/>
        <item m="1" x="1783"/>
        <item m="1" x="1885"/>
        <item m="1" x="636"/>
        <item m="1" x="108"/>
        <item m="1" x="52"/>
        <item m="1" x="1103"/>
        <item x="18"/>
        <item m="1" x="1993"/>
        <item m="1" x="2016"/>
        <item m="1" x="1911"/>
        <item m="1" x="593"/>
        <item m="1" x="754"/>
        <item m="1" x="755"/>
        <item m="1" x="407"/>
        <item m="1" x="356"/>
        <item m="1" x="1104"/>
        <item m="1" x="2225"/>
        <item m="1" x="1105"/>
        <item m="1" x="756"/>
        <item m="1" x="2158"/>
        <item m="1" x="752"/>
        <item m="1" x="2046"/>
        <item m="1" x="2226"/>
        <item m="1" x="1913"/>
        <item m="1" x="2150"/>
        <item m="1" x="919"/>
        <item m="1" x="2020"/>
        <item m="1" x="208"/>
        <item m="1" x="1708"/>
        <item m="1" x="1111"/>
        <item m="1" x="454"/>
        <item m="1" x="1112"/>
        <item m="1" x="309"/>
        <item m="1" x="1869"/>
        <item m="1" x="302"/>
        <item m="1" x="852"/>
        <item m="1" x="1205"/>
        <item m="1" x="1113"/>
        <item m="1" x="713"/>
        <item m="1" x="638"/>
        <item m="1" x="1210"/>
        <item m="1" x="1070"/>
        <item m="1" x="1805"/>
        <item m="1" x="1806"/>
        <item m="1" x="216"/>
        <item m="1" x="1809"/>
        <item m="1" x="875"/>
        <item m="1" x="2669"/>
        <item m="1" x="1126"/>
        <item m="1" x="110"/>
        <item m="1" x="1054"/>
        <item m="1" x="1830"/>
        <item m="1" x="1832"/>
        <item m="1" x="1818"/>
        <item m="1" x="1106"/>
        <item x="19"/>
        <item m="1" x="1043"/>
        <item m="1" x="1712"/>
        <item x="33"/>
        <item m="1" x="1615"/>
        <item m="1" x="1810"/>
        <item m="1" x="1114"/>
        <item m="1" x="1143"/>
        <item m="1" x="1535"/>
        <item m="1" x="1812"/>
        <item m="1" x="2088"/>
        <item m="1" x="1813"/>
        <item m="1" x="111"/>
        <item m="1" x="2228"/>
        <item m="1" x="1000"/>
        <item m="1" x="2229"/>
        <item m="1" x="2578"/>
        <item m="1" x="2230"/>
        <item m="1" x="1030"/>
        <item m="1" x="2564"/>
        <item m="1" x="946"/>
        <item m="1" x="2231"/>
        <item m="1" x="50"/>
        <item m="1" x="378"/>
        <item m="1" x="2232"/>
        <item m="1" x="2456"/>
        <item m="1" x="276"/>
        <item m="1" x="758"/>
        <item m="1" x="1010"/>
        <item m="1" x="1120"/>
        <item m="1" x="900"/>
        <item m="1" x="2663"/>
        <item m="1" x="2233"/>
        <item m="1" x="1015"/>
        <item m="1" x="1026"/>
        <item m="1" x="641"/>
        <item m="1" x="642"/>
        <item m="1" x="597"/>
        <item m="1" x="2606"/>
        <item m="1" x="643"/>
        <item m="1" x="1918"/>
        <item m="1" x="635"/>
        <item m="1" x="1123"/>
        <item m="1" x="2234"/>
        <item m="1" x="112"/>
        <item m="1" x="1742"/>
        <item m="1" x="878"/>
        <item m="1" x="2235"/>
        <item m="1" x="1984"/>
        <item m="1" x="2007"/>
        <item m="1" x="2236"/>
        <item m="1" x="759"/>
        <item m="1" x="933"/>
        <item m="1" x="436"/>
        <item m="1" x="2664"/>
        <item m="1" x="2078"/>
        <item m="1" x="1775"/>
        <item m="1" x="2586"/>
        <item m="1" x="475"/>
        <item m="1" x="1109"/>
        <item m="1" x="2674"/>
        <item m="1" x="2657"/>
        <item m="1" x="1700"/>
        <item m="1" x="539"/>
        <item m="1" x="455"/>
        <item m="1" x="952"/>
        <item m="1" x="315"/>
        <item m="1" x="408"/>
        <item m="1" x="867"/>
        <item m="1" x="2506"/>
        <item m="1" x="114"/>
        <item m="1" x="2237"/>
        <item m="1" x="1402"/>
        <item m="1" x="164"/>
        <item m="1" x="645"/>
        <item m="1" x="1638"/>
        <item m="1" x="1139"/>
        <item m="1" x="1146"/>
        <item m="1" x="554"/>
        <item m="1" x="2634"/>
        <item m="1" x="994"/>
        <item m="1" x="2465"/>
        <item m="1" x="1406"/>
        <item m="1" x="1236"/>
        <item m="1" x="1959"/>
        <item m="1" x="1247"/>
        <item m="1" x="1481"/>
        <item m="1" x="1876"/>
        <item m="1" x="1141"/>
        <item m="1" x="1065"/>
        <item m="1" x="646"/>
        <item sd="0" m="1" x="2731"/>
        <item m="1" x="1573"/>
        <item m="1" x="647"/>
        <item m="1" x="2239"/>
        <item m="1" x="126"/>
        <item m="1" x="96"/>
        <item m="1" x="1329"/>
        <item m="1" x="760"/>
        <item m="1" x="1270"/>
        <item m="1" x="2558"/>
        <item m="1" x="869"/>
        <item m="1" x="1145"/>
        <item m="1" x="1510"/>
        <item x="20"/>
        <item m="1" x="1175"/>
        <item m="1" x="1795"/>
        <item m="1" x="1124"/>
        <item m="1" x="1802"/>
        <item sd="0" x="7"/>
        <item x="37"/>
        <item m="1" x="1298"/>
        <item m="1" x="1339"/>
        <item m="1" x="1816"/>
        <item m="1" x="1762"/>
        <item m="1" x="1532"/>
        <item m="1" x="2240"/>
        <item m="1" x="871"/>
        <item m="1" x="2718"/>
        <item m="1" x="91"/>
        <item m="1" x="2241"/>
        <item m="1" x="2030"/>
        <item m="1" x="1672"/>
        <item m="1" x="761"/>
        <item m="1" x="2089"/>
        <item m="1" x="2227"/>
        <item m="1" x="762"/>
        <item m="1" x="1148"/>
        <item m="1" x="316"/>
        <item m="1" x="2633"/>
        <item m="1" x="1242"/>
        <item m="1" x="260"/>
        <item m="1" x="1412"/>
        <item m="1" x="1384"/>
        <item m="1" x="763"/>
        <item m="1" x="1682"/>
        <item m="1" x="385"/>
        <item m="1" x="591"/>
        <item m="1" x="1565"/>
        <item m="1" x="2243"/>
        <item m="1" x="1153"/>
        <item m="1" x="500"/>
        <item m="1" x="2552"/>
        <item m="1" x="217"/>
        <item m="1" x="1229"/>
        <item m="1" x="373"/>
        <item m="1" x="433"/>
        <item m="1" x="2632"/>
        <item m="1" x="1092"/>
        <item m="1" x="1241"/>
        <item m="1" x="1743"/>
        <item sd="0" m="1" x="244"/>
        <item m="1" x="444"/>
        <item m="1" x="2047"/>
        <item m="1" x="1403"/>
        <item m="1" x="1644"/>
        <item m="1" x="1158"/>
        <item m="1" x="1612"/>
        <item m="1" x="372"/>
        <item m="1" x="2588"/>
        <item m="1" x="1872"/>
        <item m="1" x="1478"/>
        <item m="1" x="2244"/>
        <item m="1" x="1865"/>
        <item m="1" x="319"/>
        <item m="1" x="303"/>
        <item m="1" x="1879"/>
        <item m="1" x="2351"/>
        <item m="1" x="1875"/>
        <item sd="0" m="1" x="2090"/>
        <item m="1" x="2245"/>
        <item m="1" x="2072"/>
        <item m="1" x="2374"/>
        <item m="1" x="2091"/>
        <item m="1" x="311"/>
        <item m="1" x="2246"/>
        <item m="1" x="2247"/>
        <item m="1" x="333"/>
        <item m="1" x="765"/>
        <item m="1" x="1318"/>
        <item m="1" x="2248"/>
        <item m="1" x="1276"/>
        <item m="1" x="650"/>
        <item m="1" x="2557"/>
        <item m="1" x="997"/>
        <item m="1" x="1130"/>
        <item m="1" x="2249"/>
        <item m="1" x="1362"/>
        <item m="1" x="1836"/>
        <item m="1" x="131"/>
        <item m="1" x="202"/>
        <item m="1" x="2250"/>
        <item m="1" x="321"/>
        <item m="1" x="146"/>
        <item m="1" x="2697"/>
        <item m="1" x="652"/>
        <item m="1" x="740"/>
        <item m="1" x="920"/>
        <item m="1" x="291"/>
        <item m="1" x="1170"/>
        <item m="1" x="513"/>
        <item m="1" x="2251"/>
        <item m="1" x="1899"/>
        <item m="1" x="766"/>
        <item sd="0" m="1" x="456"/>
        <item m="1" x="1171"/>
        <item m="1" x="2687"/>
        <item m="1" x="1172"/>
        <item m="1" x="1439"/>
        <item m="1" x="2252"/>
        <item m="1" x="1544"/>
        <item m="1" x="2143"/>
        <item m="1" x="653"/>
        <item m="1" x="615"/>
        <item m="1" x="2615"/>
        <item m="1" x="550"/>
        <item m="1" x="1174"/>
        <item m="1" x="2253"/>
        <item m="1" x="2254"/>
        <item sd="0" m="1" x="445"/>
        <item m="1" x="290"/>
        <item m="1" x="1305"/>
        <item m="1" x="1930"/>
        <item m="1" x="767"/>
        <item m="1" x="992"/>
        <item m="1" x="2565"/>
        <item m="1" x="2658"/>
        <item m="1" x="1915"/>
        <item m="1" x="1221"/>
        <item m="1" x="411"/>
        <item m="1" x="2257"/>
        <item m="1" x="1211"/>
        <item m="1" x="2258"/>
        <item m="1" x="1931"/>
        <item m="1" x="84"/>
        <item m="1" x="1745"/>
        <item m="1" x="1135"/>
        <item m="1" x="2092"/>
        <item m="1" x="654"/>
        <item m="1" x="1413"/>
        <item m="1" x="1131"/>
        <item m="1" x="1215"/>
        <item m="1" x="947"/>
        <item m="1" x="1668"/>
        <item m="1" x="1179"/>
        <item m="1" x="85"/>
        <item m="1" x="553"/>
        <item m="1" x="768"/>
        <item m="1" x="1194"/>
        <item sd="0" x="31"/>
        <item m="1" x="1140"/>
        <item m="1" x="655"/>
        <item m="1" x="233"/>
        <item m="1" x="769"/>
        <item x="27"/>
        <item m="1" x="1627"/>
        <item m="1" x="945"/>
        <item m="1" x="1746"/>
        <item m="1" x="322"/>
        <item m="1" x="1747"/>
        <item m="1" x="1664"/>
        <item m="1" x="1515"/>
        <item m="1" x="1600"/>
        <item m="1" x="1181"/>
        <item m="1" x="1877"/>
        <item m="1" x="2073"/>
        <item m="1" x="891"/>
        <item m="1" x="574"/>
        <item m="1" x="2262"/>
        <item m="1" x="1748"/>
        <item m="1" x="570"/>
        <item m="1" x="2093"/>
        <item m="1" x="2263"/>
        <item m="1" x="1183"/>
        <item m="1" x="2642"/>
        <item m="1" x="171"/>
        <item sd="0" m="1" x="256"/>
        <item m="1" x="1405"/>
        <item m="1" x="1531"/>
        <item m="1" x="488"/>
        <item m="1" x="443"/>
        <item m="1" x="122"/>
        <item m="1" x="1186"/>
        <item m="1" x="2264"/>
        <item m="1" x="326"/>
        <item m="1" x="2265"/>
        <item m="1" x="327"/>
        <item m="1" x="978"/>
        <item m="1" x="2266"/>
        <item m="1" x="248"/>
        <item m="1" x="534"/>
        <item m="1" x="1506"/>
        <item m="1" x="2077"/>
        <item m="1" x="1498"/>
        <item m="1" x="1287"/>
        <item m="1" x="156"/>
        <item m="1" x="394"/>
        <item m="1" x="1361"/>
        <item m="1" x="1592"/>
        <item m="1" x="1492"/>
        <item m="1" x="1468"/>
        <item m="1" x="2580"/>
        <item m="1" x="1568"/>
        <item m="1" x="2026"/>
        <item m="1" x="664"/>
        <item m="1" x="1955"/>
        <item m="1" x="2267"/>
        <item m="1" x="295"/>
        <item m="1" x="1191"/>
        <item m="1" x="1729"/>
        <item m="1" x="771"/>
        <item m="1" x="1195"/>
        <item m="1" x="1571"/>
        <item m="1" x="2094"/>
        <item m="1" x="2015"/>
        <item m="1" x="2524"/>
        <item m="1" x="2271"/>
        <item m="1" x="1789"/>
        <item m="1" x="306"/>
        <item m="1" x="1954"/>
        <item m="1" x="865"/>
        <item m="1" x="1835"/>
        <item m="1" x="801"/>
        <item m="1" x="1790"/>
        <item m="1" x="2272"/>
        <item m="1" x="1774"/>
        <item m="1" x="1653"/>
        <item m="1" x="1441"/>
        <item m="1" x="2095"/>
        <item m="1" x="2274"/>
        <item m="1" x="1793"/>
        <item m="1" x="990"/>
        <item m="1" x="2273"/>
        <item m="1" x="1819"/>
        <item m="1" x="2275"/>
        <item m="1" x="2076"/>
        <item m="1" x="2276"/>
        <item m="1" x="1204"/>
        <item m="1" x="1526"/>
        <item m="1" x="2145"/>
        <item m="1" x="1503"/>
        <item m="1" x="560"/>
        <item m="1" x="1550"/>
        <item m="1" x="872"/>
        <item m="1" x="2277"/>
        <item m="1" x="1425"/>
        <item m="1" x="1340"/>
        <item m="1" x="1167"/>
        <item m="1" x="2278"/>
        <item m="1" x="2279"/>
        <item m="1" x="772"/>
        <item m="1" x="728"/>
        <item m="1" x="658"/>
        <item m="1" x="1176"/>
        <item m="1" x="1315"/>
        <item m="1" x="2096"/>
        <item m="1" x="123"/>
        <item m="1" x="1337"/>
        <item m="1" x="270"/>
        <item m="1" x="2280"/>
        <item m="1" x="125"/>
        <item m="1" x="2074"/>
        <item m="1" x="2281"/>
        <item m="1" x="2282"/>
        <item m="1" x="659"/>
        <item m="1" x="1450"/>
        <item m="1" x="2283"/>
        <item m="1" x="925"/>
        <item m="1" x="1470"/>
        <item m="1" x="1209"/>
        <item m="1" x="660"/>
        <item m="1" x="2550"/>
        <item m="1" x="2648"/>
        <item m="1" x="2345"/>
        <item m="1" x="2097"/>
        <item m="1" x="2048"/>
        <item x="0"/>
        <item m="1" x="1497"/>
        <item m="1" x="2627"/>
        <item m="1" x="1763"/>
        <item m="1" x="1212"/>
        <item m="1" x="410"/>
        <item m="1" x="1961"/>
        <item m="1" x="917"/>
        <item m="1" x="988"/>
        <item m="1" x="1197"/>
        <item m="1" x="2284"/>
        <item m="1" x="1213"/>
        <item m="1" x="773"/>
        <item m="1" x="1214"/>
        <item m="1" x="1686"/>
        <item m="1" x="218"/>
        <item m="1" x="1509"/>
        <item m="1" x="724"/>
        <item m="1" x="1557"/>
        <item m="1" x="330"/>
        <item m="1" x="1216"/>
        <item m="1" x="457"/>
        <item m="1" x="1162"/>
        <item m="1" x="2285"/>
        <item m="1" x="2155"/>
        <item m="1" x="2286"/>
        <item m="1" x="2579"/>
        <item m="1" x="1219"/>
        <item m="1" x="2287"/>
        <item m="1" x="2098"/>
        <item m="1" x="2288"/>
        <item m="1" x="1466"/>
        <item m="1" x="2612"/>
        <item m="1" x="2049"/>
        <item m="1" x="176"/>
        <item m="1" x="1749"/>
        <item m="1" x="1455"/>
        <item m="1" x="458"/>
        <item m="1" x="1933"/>
        <item m="1" x="1658"/>
        <item m="1" x="775"/>
        <item m="1" x="459"/>
        <item m="1" x="129"/>
        <item m="1" x="219"/>
        <item m="1" x="2180"/>
        <item m="1" x="750"/>
        <item m="1" x="1044"/>
        <item m="1" x="661"/>
        <item m="1" x="663"/>
        <item m="1" x="809"/>
        <item m="1" x="130"/>
        <item m="1" x="585"/>
        <item m="1" x="1624"/>
        <item m="1" x="943"/>
        <item m="1" x="80"/>
        <item m="1" x="1817"/>
        <item m="1" x="2289"/>
        <item m="1" x="1997"/>
        <item m="1" x="960"/>
        <item m="1" x="665"/>
        <item m="1" x="505"/>
        <item m="1" x="2100"/>
        <item m="1" x="332"/>
        <item m="1" x="776"/>
        <item m="1" x="2290"/>
        <item m="1" x="2291"/>
        <item m="1" x="1169"/>
        <item m="1" x="1022"/>
        <item m="1" x="2101"/>
        <item m="1" x="2710"/>
        <item m="1" x="2292"/>
        <item m="1" x="182"/>
        <item m="1" x="48"/>
        <item m="1" x="2269"/>
        <item m="1" x="607"/>
        <item m="1" x="2388"/>
        <item m="1" x="252"/>
        <item m="1" x="2692"/>
        <item m="1" x="320"/>
        <item m="1" x="863"/>
        <item m="1" x="2293"/>
        <item m="1" x="1436"/>
        <item m="1" x="2102"/>
        <item m="1" x="376"/>
        <item m="1" x="2513"/>
        <item m="1" x="359"/>
        <item m="1" x="2147"/>
        <item m="1" x="2154"/>
        <item m="1" x="662"/>
        <item m="1" x="334"/>
        <item m="1" x="235"/>
        <item m="1" x="2103"/>
        <item m="1" x="76"/>
        <item m="1" x="1919"/>
        <item m="1" x="405"/>
        <item m="1" x="2534"/>
        <item m="1" x="2104"/>
        <item m="1" x="2294"/>
        <item m="1" x="1972"/>
        <item m="1" x="1228"/>
        <item m="1" x="1788"/>
        <item x="46"/>
        <item m="1" x="1189"/>
        <item m="1" x="462"/>
        <item m="1" x="1901"/>
        <item m="1" x="777"/>
        <item m="1" x="2592"/>
        <item m="1" x="335"/>
        <item m="1" x="2295"/>
        <item m="1" x="2296"/>
        <item m="1" x="612"/>
        <item m="1" x="1027"/>
        <item m="1" x="363"/>
        <item m="1" x="1750"/>
        <item m="1" x="1230"/>
        <item m="1" x="1799"/>
        <item m="1" x="1231"/>
        <item m="1" x="2297"/>
        <item m="1" x="1936"/>
        <item m="1" x="579"/>
        <item m="1" x="220"/>
        <item m="1" x="666"/>
        <item m="1" x="391"/>
        <item m="1" x="2724"/>
        <item m="1" x="2701"/>
        <item m="1" x="2656"/>
        <item m="1" x="778"/>
        <item m="1" x="1675"/>
        <item m="1" x="2298"/>
        <item m="1" x="53"/>
        <item m="1" x="1820"/>
        <item m="1" x="1232"/>
        <item m="1" x="1853"/>
        <item m="1" x="1469"/>
        <item m="1" x="61"/>
        <item m="1" x="1884"/>
        <item m="1" x="1941"/>
        <item m="1" x="623"/>
        <item m="1" x="2386"/>
        <item m="1" x="1263"/>
        <item m="1" x="1971"/>
        <item m="1" x="1039"/>
        <item m="1" x="1233"/>
        <item m="1" x="530"/>
        <item m="1" x="1892"/>
        <item m="1" x="2300"/>
        <item m="1" x="1165"/>
        <item m="1" x="1507"/>
        <item m="1" x="779"/>
        <item m="1" x="2645"/>
        <item m="1" x="2106"/>
        <item m="1" x="358"/>
        <item m="1" x="2301"/>
        <item m="1" x="1386"/>
        <item m="1" x="1822"/>
        <item m="1" x="1235"/>
        <item m="1" x="318"/>
        <item m="1" x="2302"/>
        <item m="1" x="1009"/>
        <item m="1" x="1108"/>
        <item m="1" x="2303"/>
        <item m="1" x="2304"/>
        <item m="1" x="1437"/>
        <item m="1" x="581"/>
        <item m="1" x="1100"/>
        <item m="1" x="1071"/>
        <item m="1" x="2305"/>
        <item m="1" x="370"/>
        <item m="1" x="1259"/>
        <item m="1" x="59"/>
        <item m="1" x="1683"/>
        <item m="1" x="336"/>
        <item m="1" x="60"/>
        <item m="1" x="337"/>
        <item m="1" x="2306"/>
        <item m="1" x="1245"/>
        <item m="1" x="2307"/>
        <item m="1" x="268"/>
        <item m="1" x="512"/>
        <item m="1" x="1177"/>
        <item m="1" x="868"/>
        <item m="1" x="667"/>
        <item m="1" x="1516"/>
        <item m="1" x="494"/>
        <item m="1" x="1238"/>
        <item m="1" x="388"/>
        <item m="1" x="283"/>
        <item m="1" x="104"/>
        <item m="1" x="1513"/>
        <item m="1" x="2107"/>
        <item m="1" x="1539"/>
        <item m="1" x="537"/>
        <item m="1" x="1752"/>
        <item m="1" x="101"/>
        <item m="1" x="195"/>
        <item m="1" x="338"/>
        <item m="1" x="668"/>
        <item m="1" x="1193"/>
        <item m="1" x="438"/>
        <item m="1" x="221"/>
        <item x="32"/>
        <item m="1" x="2309"/>
        <item m="1" x="2310"/>
        <item m="1" x="1679"/>
        <item m="1" x="2311"/>
        <item m="1" x="948"/>
        <item m="1" x="1928"/>
        <item m="1" x="1551"/>
        <item m="1" x="288"/>
        <item m="1" x="273"/>
        <item m="1" x="1711"/>
        <item m="1" x="185"/>
        <item m="1" x="1461"/>
        <item m="1" x="1239"/>
        <item m="1" x="1937"/>
        <item m="1" x="903"/>
        <item m="1" x="692"/>
        <item m="1" x="506"/>
        <item m="1" x="2312"/>
        <item m="1" x="2313"/>
        <item m="1" x="669"/>
        <item m="1" x="876"/>
        <item m="1" x="2314"/>
        <item m="1" x="1244"/>
        <item m="1" x="2108"/>
        <item m="1" x="1420"/>
        <item m="1" x="2315"/>
        <item m="1" x="1992"/>
        <item m="1" x="826"/>
        <item m="1" x="2567"/>
        <item m="1" x="774"/>
        <item m="1" x="75"/>
        <item m="1" x="1246"/>
        <item m="1" x="2317"/>
        <item m="1" x="2318"/>
        <item m="1" x="672"/>
        <item m="1" x="2319"/>
        <item m="1" x="1645"/>
        <item m="1" x="2017"/>
        <item m="1" x="1248"/>
        <item m="1" x="1249"/>
        <item m="1" x="781"/>
        <item m="1" x="1250"/>
        <item m="1" x="1060"/>
        <item m="1" x="671"/>
        <item m="1" x="1252"/>
        <item m="1" x="1880"/>
        <item m="1" x="1286"/>
        <item x="6"/>
        <item m="1" x="348"/>
        <item m="1" x="2320"/>
        <item m="1" x="1243"/>
        <item m="1" x="354"/>
        <item m="1" x="2179"/>
        <item m="1" x="2321"/>
        <item m="1" x="1440"/>
        <item m="1" x="884"/>
        <item m="1" x="629"/>
        <item m="1" x="2152"/>
        <item m="1" x="764"/>
        <item m="1" x="782"/>
        <item m="1" x="2322"/>
        <item m="1" x="783"/>
        <item m="1" x="1371"/>
        <item m="1" x="2323"/>
        <item m="1" x="971"/>
        <item m="1" x="1304"/>
        <item m="1" x="2324"/>
        <item m="1" x="1921"/>
        <item m="1" x="368"/>
        <item m="1" x="279"/>
        <item m="1" x="57"/>
        <item m="1" x="2325"/>
        <item m="1" x="240"/>
        <item m="1" x="286"/>
        <item m="1" x="1589"/>
        <item m="1" x="1271"/>
        <item m="1" x="294"/>
        <item m="1" x="549"/>
        <item m="1" x="784"/>
        <item m="1" x="1602"/>
        <item m="1" x="2326"/>
        <item m="1" x="1546"/>
        <item m="1" x="1487"/>
        <item m="1" x="1419"/>
        <item m="1" x="281"/>
        <item m="1" x="566"/>
        <item m="1" x="341"/>
        <item m="1" x="2554"/>
        <item m="1" x="1740"/>
        <item m="1" x="460"/>
        <item m="1" x="1897"/>
        <item m="1" x="1255"/>
        <item m="1" x="785"/>
        <item m="1" x="786"/>
        <item m="1" x="2598"/>
        <item m="1" x="477"/>
        <item m="1" x="1753"/>
        <item m="1" x="2056"/>
        <item m="1" x="417"/>
        <item x="4"/>
        <item m="1" x="2075"/>
        <item m="1" x="1093"/>
        <item sd="0" m="1" x="2737"/>
        <item m="1" x="590"/>
        <item m="1" x="2707"/>
        <item m="1" x="1057"/>
        <item m="1" x="599"/>
        <item m="1" x="1654"/>
        <item m="1" x="1257"/>
        <item m="1" x="788"/>
        <item m="1" x="1754"/>
        <item m="1" x="536"/>
        <item m="1" x="1258"/>
        <item m="1" x="2327"/>
        <item m="1" x="789"/>
        <item m="1" x="567"/>
        <item m="1" x="2328"/>
        <item m="1" x="2329"/>
        <item m="1" x="439"/>
        <item m="1" x="406"/>
        <item m="1" x="269"/>
        <item m="1" x="1208"/>
        <item m="1" x="1261"/>
        <item m="1" x="1262"/>
        <item m="1" x="592"/>
        <item m="1" x="1522"/>
        <item m="1" x="791"/>
        <item m="1" x="1614"/>
        <item m="1" x="1871"/>
        <item m="1" x="2109"/>
        <item m="1" x="1825"/>
        <item m="1" x="559"/>
        <item m="1" x="1591"/>
        <item m="1" x="580"/>
        <item m="1" x="1369"/>
        <item m="1" x="548"/>
        <item m="1" x="1192"/>
        <item sd="0" m="1" x="2105"/>
        <item m="1" x="1256"/>
        <item m="1" x="673"/>
        <item m="1" x="899"/>
        <item m="1" x="1264"/>
        <item m="1" x="1265"/>
        <item m="1" x="1824"/>
        <item m="1" x="2110"/>
        <item x="8"/>
        <item m="1" x="511"/>
        <item m="1" x="546"/>
        <item m="1" x="64"/>
        <item m="1" x="1201"/>
        <item m="1" x="1266"/>
        <item m="1" x="792"/>
        <item m="1" x="1982"/>
        <item x="44"/>
        <item m="1" x="1577"/>
        <item m="1" x="1613"/>
        <item m="1" x="2330"/>
        <item m="1" x="793"/>
        <item m="1" x="2464"/>
        <item m="1" x="2084"/>
        <item m="1" x="794"/>
        <item m="1" x="583"/>
        <item m="1" x="1433"/>
        <item m="1" x="1640"/>
        <item m="1" x="2614"/>
        <item m="1" x="503"/>
        <item m="1" x="1267"/>
        <item m="1" x="1036"/>
        <item m="1" x="1302"/>
        <item m="1" x="1225"/>
        <item m="1" x="404"/>
        <item m="1" x="1251"/>
        <item m="1" x="2013"/>
        <item m="1" x="510"/>
        <item m="1" x="555"/>
        <item m="1" x="1671"/>
        <item m="1" x="1906"/>
        <item m="1" x="2111"/>
        <item m="1" x="1125"/>
        <item m="1" x="461"/>
        <item m="1" x="1351"/>
        <item m="1" x="518"/>
        <item m="1" x="2331"/>
        <item m="1" x="1368"/>
        <item m="1" x="222"/>
        <item m="1" x="2332"/>
        <item m="1" x="795"/>
        <item m="1" x="674"/>
        <item m="1" x="1132"/>
        <item m="1" x="584"/>
        <item m="1" x="1826"/>
        <item m="1" x="2605"/>
        <item m="1" x="1317"/>
        <item m="1" x="1980"/>
        <item m="1" x="1939"/>
        <item m="1" x="1272"/>
        <item m="1" x="675"/>
        <item m="1" x="676"/>
        <item m="1" x="1951"/>
        <item m="1" x="2625"/>
        <item x="13"/>
        <item m="1" x="1474"/>
        <item m="1" x="2333"/>
        <item m="1" x="1277"/>
        <item m="1" x="1572"/>
        <item m="1" x="1278"/>
        <item m="1" x="2334"/>
        <item m="1" x="2335"/>
        <item m="1" x="1784"/>
        <item m="1" x="300"/>
        <item m="1" x="1723"/>
        <item m="1" x="1279"/>
        <item m="1" x="1410"/>
        <item m="1" x="152"/>
        <item m="1" x="1594"/>
        <item m="1" x="277"/>
        <item m="1" x="1074"/>
        <item m="1" x="132"/>
        <item m="1" x="1934"/>
        <item m="1" x="236"/>
        <item m="1" x="1283"/>
        <item m="1" x="2337"/>
        <item m="1" x="426"/>
        <item m="1" x="1606"/>
        <item m="1" x="1966"/>
        <item m="1" x="2391"/>
        <item m="1" x="2338"/>
        <item m="1" x="1354"/>
        <item m="1" x="1463"/>
        <item m="1" x="2340"/>
        <item m="1" x="657"/>
        <item m="1" x="2668"/>
        <item m="1" x="906"/>
        <item m="1" x="2341"/>
        <item sd="0" m="1" x="2739"/>
        <item x="45"/>
        <item m="1" x="463"/>
        <item m="1" x="924"/>
        <item m="1" x="1925"/>
        <item m="1" x="2342"/>
        <item m="1" x="2343"/>
        <item m="1" x="2344"/>
        <item m="1" x="963"/>
        <item m="1" x="2033"/>
        <item m="1" x="2346"/>
        <item sd="0" m="1" x="2223"/>
        <item m="1" x="2715"/>
        <item m="1" x="2613"/>
        <item m="1" x="677"/>
        <item m="1" x="1598"/>
        <item m="1" x="2021"/>
        <item m="1" x="2347"/>
        <item m="1" x="2348"/>
        <item m="1" x="1297"/>
        <item m="1" x="343"/>
        <item m="1" x="2551"/>
        <item m="1" x="353"/>
        <item m="1" x="1964"/>
        <item m="1" x="441"/>
        <item m="1" x="2050"/>
        <item m="1" x="901"/>
        <item m="1" x="1499"/>
        <item m="1" x="450"/>
        <item m="1" x="2654"/>
        <item m="1" x="1646"/>
        <item m="1" x="2466"/>
        <item m="1" x="1860"/>
        <item m="1" x="1299"/>
        <item m="1" x="2028"/>
        <item m="1" x="904"/>
        <item m="1" x="2350"/>
        <item m="1" x="135"/>
        <item m="1" x="2336"/>
        <item m="1" x="2349"/>
        <item m="1" x="2582"/>
        <item m="1" x="234"/>
        <item m="1" x="1524"/>
        <item m="1" x="1414"/>
        <item m="1" x="1301"/>
        <item m="1" x="133"/>
        <item m="1" x="507"/>
        <item m="1" x="527"/>
        <item m="1" x="2112"/>
        <item m="1" x="214"/>
        <item sd="0" m="1" x="213"/>
        <item m="1" x="1999"/>
        <item m="1" x="2352"/>
        <item m="1" x="1185"/>
        <item m="1" x="74"/>
        <item m="1" x="1311"/>
        <item m="1" x="2607"/>
        <item m="1" x="2151"/>
        <item m="1" x="1755"/>
        <item m="1" x="184"/>
        <item m="1" x="525"/>
        <item m="1" x="1312"/>
        <item m="1" x="1313"/>
        <item m="1" x="543"/>
        <item m="1" x="495"/>
        <item m="1" x="2008"/>
        <item m="1" x="1855"/>
        <item m="1" x="944"/>
        <item m="1" x="1081"/>
        <item m="1" x="223"/>
        <item m="1" x="2353"/>
        <item m="1" x="138"/>
        <item m="1" x="139"/>
        <item m="1" x="73"/>
        <item m="1" x="1007"/>
        <item m="1" x="2354"/>
        <item m="1" x="898"/>
        <item m="1" x="1756"/>
        <item m="1" x="2355"/>
        <item m="1" x="2356"/>
        <item m="1" x="1970"/>
        <item m="1" x="1985"/>
        <item m="1" x="1381"/>
        <item m="1" x="345"/>
        <item m="1" x="797"/>
        <item m="1" x="678"/>
        <item m="1" x="2358"/>
        <item m="1" x="2496"/>
        <item m="1" x="346"/>
        <item m="1" x="2661"/>
        <item m="1" x="237"/>
        <item m="1" x="1628"/>
        <item m="1" x="2359"/>
        <item m="1" x="140"/>
        <item m="1" x="1647"/>
        <item m="1" x="1316"/>
        <item m="1" x="1655"/>
        <item m="1" x="1632"/>
        <item m="1" x="1553"/>
        <item m="1" x="1942"/>
        <item m="1" x="1917"/>
        <item m="1" x="2683"/>
        <item m="1" x="836"/>
        <item m="1" x="2360"/>
        <item m="1" x="1949"/>
        <item m="1" x="712"/>
        <item m="1" x="2113"/>
        <item m="1" x="1285"/>
        <item m="1" x="271"/>
        <item m="1" x="1319"/>
        <item m="1" x="1011"/>
        <item m="1" x="2361"/>
        <item m="1" x="1357"/>
        <item m="1" x="349"/>
        <item m="1" x="2051"/>
        <item x="3"/>
        <item m="1" x="1963"/>
        <item m="1" x="619"/>
        <item m="1" x="2362"/>
        <item m="1" x="877"/>
        <item m="1" x="1893"/>
        <item m="1" x="1827"/>
        <item sd="0" m="1" x="245"/>
        <item m="1" x="996"/>
        <item m="1" x="384"/>
        <item m="1" x="2363"/>
        <item m="1" x="980"/>
        <item m="1" x="1548"/>
        <item m="1" x="2720"/>
        <item m="1" x="949"/>
        <item m="1" x="1102"/>
        <item m="1" x="689"/>
        <item m="1" x="639"/>
        <item m="1" x="1639"/>
        <item m="1" x="1321"/>
        <item m="1" x="1322"/>
        <item m="1" x="2366"/>
        <item m="1" x="528"/>
        <item m="1" x="1973"/>
        <item m="1" x="2553"/>
        <item m="1" x="2590"/>
        <item m="1" x="2583"/>
        <item m="1" x="342"/>
        <item m="1" x="1323"/>
        <item m="1" x="2052"/>
        <item m="1" x="1523"/>
        <item m="1" x="1786"/>
        <item m="1" x="1641"/>
        <item m="1" x="1829"/>
        <item m="1" x="681"/>
        <item m="1" x="350"/>
        <item m="1" x="2711"/>
        <item m="1" x="1324"/>
        <item m="1" x="390"/>
        <item m="1" x="1725"/>
        <item m="1" x="780"/>
        <item m="1" x="2621"/>
        <item m="1" x="955"/>
        <item m="1" x="1924"/>
        <item m="1" x="1950"/>
        <item m="1" x="787"/>
        <item sd="0" x="15"/>
        <item m="1" x="798"/>
        <item m="1" x="323"/>
        <item m="1" x="2364"/>
        <item m="1" x="973"/>
        <item m="1" x="142"/>
        <item m="1" x="2365"/>
        <item m="1" x="82"/>
        <item m="1" x="1372"/>
        <item m="1" x="1987"/>
        <item m="1" x="1831"/>
        <item m="1" x="1198"/>
        <item m="1" x="916"/>
        <item m="1" x="2685"/>
        <item m="1" x="1953"/>
        <item m="1" x="2703"/>
        <item m="1" x="682"/>
        <item m="1" x="264"/>
        <item m="1" x="2367"/>
        <item m="1" x="524"/>
        <item m="1" x="1328"/>
        <item m="1" x="1389"/>
        <item m="1" x="2369"/>
        <item m="1" x="1758"/>
        <item m="1" x="1821"/>
        <item m="1" x="965"/>
        <item m="1" x="1334"/>
        <item m="1" x="544"/>
        <item m="1" x="2053"/>
        <item m="1" x="2655"/>
        <item m="1" x="1807"/>
        <item m="1" x="2114"/>
        <item m="1" x="1345"/>
        <item m="1" x="2467"/>
        <item m="1" x="2370"/>
        <item m="1" x="964"/>
        <item m="1" x="209"/>
        <item m="1" x="2628"/>
        <item m="1" x="1588"/>
        <item m="1" x="1908"/>
        <item m="1" x="1385"/>
        <item m="1" x="1759"/>
        <item m="1" x="51"/>
        <item m="1" x="2371"/>
        <item m="1" x="1275"/>
        <item sd="0" m="1" x="2677"/>
        <item m="1" x="987"/>
        <item m="1" x="2010"/>
        <item m="1" x="683"/>
        <item m="1" x="1760"/>
        <item m="1" x="2373"/>
        <item m="1" x="864"/>
        <item m="1" x="2054"/>
        <item m="1" x="1945"/>
        <item m="1" x="684"/>
        <item m="1" x="572"/>
        <item m="1" x="145"/>
        <item m="1" x="479"/>
        <item m="1" x="1188"/>
        <item m="1" x="799"/>
        <item m="1" x="1833"/>
        <item m="1" x="2375"/>
        <item m="1" x="1761"/>
        <item m="1" x="1883"/>
        <item m="1" x="1048"/>
        <item m="1" x="2568"/>
        <item m="1" x="1891"/>
        <item m="1" x="2376"/>
        <item m="1" x="1716"/>
        <item m="1" x="1642"/>
        <item m="1" x="2377"/>
        <item m="1" x="2432"/>
        <item m="1" x="1542"/>
        <item m="1" x="2691"/>
        <item m="1" x="1370"/>
        <item m="1" x="1133"/>
        <item m="1" x="1636"/>
        <item m="1" x="1815"/>
        <item m="1" x="2665"/>
        <item m="1" x="1320"/>
        <item m="1" x="1447"/>
        <item m="1" x="466"/>
        <item m="1" x="1431"/>
        <item m="1" x="481"/>
        <item m="1" x="1307"/>
        <item m="1" x="1527"/>
        <item m="1" x="1077"/>
        <item m="1" x="297"/>
        <item m="1" x="2006"/>
        <item m="1" x="147"/>
        <item m="1" x="2378"/>
        <item m="1" x="1199"/>
        <item m="1" x="1452"/>
        <item m="1" x="999"/>
        <item m="1" x="2379"/>
        <item m="1" x="113"/>
        <item m="1" x="355"/>
        <item m="1" x="1196"/>
        <item m="1" x="1075"/>
        <item m="1" x="831"/>
        <item m="1" x="802"/>
        <item m="1" x="1202"/>
        <item m="1" x="2055"/>
        <item m="1" x="1536"/>
        <item m="1" x="568"/>
        <item m="1" x="1038"/>
        <item m="1" x="2025"/>
        <item m="1" x="317"/>
        <item m="1" x="1157"/>
        <item m="1" x="154"/>
        <item m="1" x="1300"/>
        <item m="1" x="1485"/>
        <item m="1" x="975"/>
        <item m="1" x="2555"/>
        <item m="1" x="2393"/>
        <item m="1" x="687"/>
        <item m="1" x="293"/>
        <item m="1" x="262"/>
        <item m="1" x="2673"/>
        <item m="1" x="1068"/>
        <item m="1" x="2394"/>
        <item m="1" x="2604"/>
        <item m="1" x="1059"/>
        <item m="1" x="2626"/>
        <item m="1" x="976"/>
        <item m="1" x="2620"/>
        <item m="1" x="1926"/>
        <item m="1" x="2395"/>
        <item m="1" x="2396"/>
        <item m="1" x="224"/>
        <item m="1" x="263"/>
        <item m="1" x="1530"/>
        <item m="1" x="1692"/>
        <item m="1" x="1227"/>
        <item m="1" x="83"/>
        <item m="1" x="2629"/>
        <item m="1" x="2397"/>
        <item m="1" x="2595"/>
        <item m="1" x="1427"/>
        <item m="1" x="1920"/>
        <item m="1" x="808"/>
        <item m="1" x="1428"/>
        <item m="1" x="810"/>
        <item m="1" x="2116"/>
        <item m="1" x="225"/>
        <item m="1" x="2398"/>
        <item m="1" x="1429"/>
        <item m="1" x="2399"/>
        <item m="1" x="688"/>
        <item m="1" x="377"/>
        <item m="1" x="2400"/>
        <item m="1" x="1430"/>
        <item m="1" x="1637"/>
        <item m="1" x="1488"/>
        <item m="1" x="1432"/>
        <item m="1" x="2401"/>
        <item m="1" x="2402"/>
        <item m="1" x="247"/>
        <item m="1" x="480"/>
        <item m="1" x="2623"/>
        <item m="1" x="1765"/>
        <item m="1" x="1518"/>
        <item m="1" x="957"/>
        <item m="1" x="2403"/>
        <item m="1" x="885"/>
        <item m="1" x="2405"/>
        <item m="1" x="2082"/>
        <item m="1" x="2060"/>
        <item m="1" x="467"/>
        <item m="1" x="1373"/>
        <item m="1" x="2406"/>
        <item m="1" x="1837"/>
        <item m="1" x="912"/>
        <item m="1" x="1576"/>
        <item m="1" x="1394"/>
        <item m="1" x="1448"/>
        <item m="1" x="1422"/>
        <item m="1" x="889"/>
        <item m="1" x="1449"/>
        <item m="1" x="1159"/>
        <item m="1" x="66"/>
        <item m="1" x="1894"/>
        <item m="1" x="314"/>
        <item m="1" x="163"/>
        <item m="1" x="1451"/>
        <item m="1" x="2491"/>
        <item m="1" x="381"/>
        <item m="1" x="2407"/>
        <item m="1" x="2408"/>
        <item m="1" x="2410"/>
        <item m="1" x="2675"/>
        <item m="1" x="1751"/>
        <item m="1" x="2409"/>
        <item m="1" x="382"/>
        <item m="1" x="1483"/>
        <item m="1" x="246"/>
        <item m="1" x="1454"/>
        <item m="1" x="1766"/>
        <item m="1" x="55"/>
        <item m="1" x="468"/>
        <item m="1" x="1220"/>
        <item m="1" x="395"/>
        <item m="1" x="1206"/>
        <item sd="0" m="1" x="2727"/>
        <item sd="0" m="1" x="308"/>
        <item m="1" x="1910"/>
        <item m="1" x="1457"/>
        <item m="1" x="1456"/>
        <item m="1" x="1458"/>
        <item m="1" x="624"/>
        <item m="1" x="1444"/>
        <item m="1" x="1787"/>
        <item m="1" x="2566"/>
        <item m="1" x="2411"/>
        <item m="1" x="367"/>
        <item m="1" x="2412"/>
        <item m="1" x="289"/>
        <item m="1" x="2413"/>
        <item m="1" x="1543"/>
        <item m="1" x="2414"/>
        <item m="1" x="1722"/>
        <item m="1" x="170"/>
        <item m="1" x="2404"/>
        <item m="1" x="160"/>
        <item m="1" x="1392"/>
        <item m="1" x="2693"/>
        <item m="1" x="2556"/>
        <item m="1" x="2415"/>
        <item m="1" x="733"/>
        <item m="1" x="1656"/>
        <item x="14"/>
        <item m="1" x="1912"/>
        <item m="1" x="1528"/>
        <item m="1" x="1284"/>
        <item m="1" x="165"/>
        <item m="1" x="2270"/>
        <item m="1" x="1914"/>
        <item m="1" x="2653"/>
        <item m="1" x="2118"/>
        <item m="1" x="1390"/>
        <item m="1" x="2034"/>
        <item m="1" x="816"/>
        <item m="1" x="166"/>
        <item m="1" x="1281"/>
        <item m="1" x="1395"/>
        <item m="1" x="1471"/>
        <item m="1" x="144"/>
        <item m="1" x="2019"/>
        <item m="1" x="586"/>
        <item m="1" x="2602"/>
        <item m="1" x="2417"/>
        <item m="1" x="2418"/>
        <item m="1" x="817"/>
        <item m="1" x="2636"/>
        <item m="1" x="1409"/>
        <item m="1" x="1472"/>
        <item m="1" x="690"/>
        <item m="1" x="1473"/>
        <item m="1" x="2419"/>
        <item m="1" x="2420"/>
        <item m="1" x="915"/>
        <item m="1" x="2421"/>
        <item m="1" x="2709"/>
        <item m="1" x="2422"/>
        <item m="1" x="2423"/>
        <item m="1" x="2260"/>
        <item m="1" x="862"/>
        <item m="1" x="2684"/>
        <item m="1" x="882"/>
        <item m="1" x="2424"/>
        <item m="1" x="1882"/>
        <item m="1" x="1347"/>
        <item m="1" x="691"/>
        <item m="1" x="2690"/>
        <item m="1" x="351"/>
        <item m="1" x="2139"/>
        <item m="1" x="2469"/>
        <item m="1" x="1034"/>
        <item m="1" x="501"/>
        <item m="1" x="818"/>
        <item m="1" x="819"/>
        <item m="1" x="914"/>
        <item m="1" x="63"/>
        <item m="1" x="2119"/>
        <item m="1" x="656"/>
        <item m="1" x="2425"/>
        <item m="1" x="149"/>
        <item m="1" x="387"/>
        <item m="1" x="557"/>
        <item m="1" x="1785"/>
        <item m="1" x="2061"/>
        <item m="1" x="440"/>
        <item m="1" x="2099"/>
        <item m="1" x="2426"/>
        <item m="1" x="995"/>
        <item m="1" x="1767"/>
        <item m="1" x="991"/>
        <item m="1" x="386"/>
        <item m="1" x="434"/>
        <item m="1" x="2428"/>
        <item m="1" x="2120"/>
        <item m="1" x="820"/>
        <item m="1" x="1994"/>
        <item m="1" x="487"/>
        <item m="1" x="95"/>
        <item m="1" x="482"/>
        <item m="1" x="87"/>
        <item m="1" x="1938"/>
        <item m="1" x="2062"/>
        <item m="1" x="371"/>
        <item m="1" x="210"/>
        <item m="1" x="2671"/>
        <item m="1" x="312"/>
        <item m="1" x="1923"/>
        <item m="1" x="120"/>
        <item m="1" x="2429"/>
        <item m="1" x="966"/>
        <item m="1" x="821"/>
        <item m="1" x="2068"/>
        <item m="1" x="1489"/>
        <item m="1" x="1490"/>
        <item m="1" x="1491"/>
        <item m="1" x="2430"/>
        <item m="1" x="1684"/>
        <item m="1" x="1379"/>
        <item m="1" x="1730"/>
        <item m="1" x="1800"/>
        <item m="1" x="162"/>
        <item m="1" x="1314"/>
        <item m="1" x="694"/>
        <item m="1" x="1493"/>
        <item m="1" x="1435"/>
        <item m="1" x="611"/>
        <item m="1" x="1018"/>
        <item m="1" x="2384"/>
        <item m="1" x="2616"/>
        <item m="1" x="2561"/>
        <item m="1" x="1290"/>
        <item m="1" x="1156"/>
        <item m="1" x="401"/>
        <item m="1" x="2142"/>
        <item m="1" x="383"/>
        <item m="1" x="2433"/>
        <item m="1" x="380"/>
        <item m="1" x="2434"/>
        <item m="1" x="1986"/>
        <item m="1" x="695"/>
        <item m="1" x="1688"/>
        <item m="1" x="907"/>
        <item m="1" x="2387"/>
        <item m="1" x="310"/>
        <item m="1" x="168"/>
        <item m="1" x="954"/>
        <item m="1" x="1342"/>
        <item m="1" x="328"/>
        <item m="1" x="822"/>
        <item m="1" x="403"/>
        <item m="1" x="1486"/>
        <item m="1" x="339"/>
        <item m="1" x="823"/>
        <item m="1" x="2435"/>
        <item m="1" x="502"/>
        <item m="1" x="565"/>
        <item m="1" x="1501"/>
        <item m="1" x="1023"/>
        <item m="1" x="2436"/>
        <item sd="0" m="1" x="2733"/>
        <item m="1" x="1217"/>
        <item m="1" x="800"/>
        <item m="1" x="1467"/>
        <item m="1" x="389"/>
        <item m="1" x="2063"/>
        <item m="1" x="2437"/>
        <item m="1" x="1064"/>
        <item m="1" x="853"/>
        <item m="1" x="936"/>
        <item m="1" x="1596"/>
        <item m="1" x="1502"/>
        <item m="1" x="2438"/>
        <item m="1" x="2129"/>
        <item m="1" x="174"/>
        <item m="1" x="2064"/>
        <item m="1" x="161"/>
        <item m="1" x="931"/>
        <item m="1" x="2584"/>
        <item m="1" x="923"/>
        <item m="1" x="2439"/>
        <item m="1" x="227"/>
        <item m="1" x="1517"/>
        <item m="1" x="2440"/>
        <item x="25"/>
        <item m="1" x="392"/>
        <item m="1" x="824"/>
        <item m="1" x="886"/>
        <item m="1" x="1396"/>
        <item m="1" x="1480"/>
        <item m="1" x="2065"/>
        <item m="1" x="1680"/>
        <item m="1" x="1511"/>
        <item m="1" x="393"/>
        <item m="1" x="2441"/>
        <item m="1" x="1792"/>
        <item m="1" x="172"/>
        <item m="1" x="1967"/>
        <item m="1" x="1512"/>
        <item m="1" x="825"/>
        <item m="1" x="71"/>
        <item m="1" x="1944"/>
        <item m="1" x="2594"/>
        <item m="1" x="2382"/>
        <item m="1" x="1665"/>
        <item m="1" x="2442"/>
        <item m="1" x="375"/>
        <item m="1" x="985"/>
        <item m="1" x="257"/>
        <item m="1" x="1119"/>
        <item m="1" x="2443"/>
        <item m="1" x="721"/>
        <item m="1" x="2444"/>
        <item m="1" x="1376"/>
        <item m="1" x="670"/>
        <item m="1" x="1768"/>
        <item m="1" x="2445"/>
        <item m="1" x="1943"/>
        <item m="1" x="67"/>
        <item m="1" x="1222"/>
        <item m="1" x="2070"/>
        <item m="1" x="180"/>
        <item m="1" x="124"/>
        <item m="1" x="1968"/>
        <item m="1" x="396"/>
        <item m="1" x="1525"/>
        <item m="1" x="1295"/>
        <item m="1" x="340"/>
        <item m="1" x="2447"/>
        <item m="1" x="422"/>
        <item m="1" x="2448"/>
        <item m="1" x="563"/>
        <item m="1" x="893"/>
        <item m="1" x="894"/>
        <item m="1" x="696"/>
        <item m="1" x="2450"/>
        <item m="1" x="1066"/>
        <item m="1" x="2066"/>
        <item m="1" x="2646"/>
        <item m="1" x="2570"/>
        <item m="1" x="1443"/>
        <item m="1" x="226"/>
        <item m="1" x="157"/>
        <item m="1" x="1383"/>
        <item m="1" x="940"/>
        <item m="1" x="2014"/>
        <item m="1" x="697"/>
        <item m="1" x="698"/>
        <item m="1" x="587"/>
        <item m="1" x="2451"/>
        <item m="1" x="1580"/>
        <item m="1" x="2532"/>
        <item m="1" x="253"/>
        <item m="1" x="1814"/>
        <item m="1" x="1118"/>
        <item m="1" x="1180"/>
        <item m="1" x="827"/>
        <item m="1" x="2121"/>
        <item m="1" x="1619"/>
        <item m="1" x="1035"/>
        <item m="1" x="2723"/>
        <item m="1" x="2639"/>
        <item m="1" x="2009"/>
        <item m="1" x="119"/>
        <item m="1" x="1534"/>
        <item m="1" x="2452"/>
        <item m="1" x="1291"/>
        <item m="1" x="398"/>
        <item m="1" x="1728"/>
        <item m="1" x="2316"/>
        <item m="1" x="1560"/>
        <item m="1" x="2619"/>
        <item m="1" x="469"/>
        <item m="1" x="1769"/>
        <item m="1" x="1889"/>
        <item m="1" x="699"/>
        <item sd="0" m="1" x="2732"/>
        <item m="1" x="569"/>
        <item m="1" x="803"/>
        <item x="17"/>
        <item m="1" x="2453"/>
        <item m="1" x="1995"/>
        <item m="1" x="2454"/>
        <item m="1" x="1296"/>
        <item m="1" x="1866"/>
        <item m="1" x="1731"/>
        <item m="1" x="1537"/>
        <item m="1" x="1609"/>
        <item m="1" x="2574"/>
        <item m="1" x="1538"/>
        <item m="1" x="483"/>
        <item m="1" x="1603"/>
        <item m="1" x="178"/>
        <item m="1" x="1791"/>
        <item m="1" x="1840"/>
        <item m="1" x="958"/>
        <item m="1" x="402"/>
        <item sd="0" m="1" x="258"/>
        <item sd="0" m="1" x="2725"/>
        <item m="1" x="1033"/>
        <item m="1" x="1798"/>
        <item m="1" x="1013"/>
        <item m="1" x="186"/>
        <item m="1" x="1916"/>
        <item m="1" x="968"/>
        <item m="1" x="2599"/>
        <item m="1" x="2140"/>
        <item m="1" x="796"/>
        <item m="1" x="1540"/>
        <item m="1" x="1541"/>
        <item m="1" x="701"/>
        <item m="1" x="1856"/>
        <item m="1" x="897"/>
        <item m="1" x="1857"/>
        <item m="1" x="2455"/>
        <item m="1" x="2660"/>
        <item m="1" x="1115"/>
        <item m="1" x="2471"/>
        <item m="1" x="1896"/>
        <item m="1" x="680"/>
        <item m="1" x="705"/>
        <item m="1" x="446"/>
        <item m="1" x="1350"/>
        <item m="1" x="600"/>
        <item m="1" x="1001"/>
        <item m="1" x="702"/>
        <item m="1" x="1545"/>
        <item x="2"/>
        <item m="1" x="531"/>
        <item m="1" x="634"/>
        <item m="1" x="814"/>
        <item m="1" x="556"/>
        <item x="21"/>
        <item m="1" x="2679"/>
        <item sd="0" m="1" x="1190"/>
        <item m="1" x="1823"/>
        <item m="1" x="790"/>
        <item m="1" x="2696"/>
        <item m="1" x="1127"/>
        <item m="1" x="845"/>
        <item m="1" x="347"/>
        <item m="1" x="1559"/>
        <item m="1" x="1116"/>
        <item m="1" x="1839"/>
        <item m="1" x="1721"/>
        <item m="1" x="1144"/>
        <item m="1" x="1107"/>
        <item m="1" x="888"/>
        <item m="1" x="1332"/>
        <item m="1" x="1845"/>
        <item sd="0" m="1" x="522"/>
        <item m="1" x="1714"/>
        <item m="1" x="1841"/>
        <item m="1" x="627"/>
        <item m="1" x="409"/>
        <item m="1" x="1040"/>
        <item m="1" x="1862"/>
        <item m="1" x="1969"/>
        <item m="1" x="379"/>
        <item m="1" x="1988"/>
        <item m="1" x="703"/>
        <item m="1" x="187"/>
        <item m="1" x="470"/>
        <item m="1" x="2122"/>
        <item m="1" x="1838"/>
        <item m="1" x="1564"/>
        <item m="1" x="198"/>
        <item x="39"/>
        <item m="1" x="913"/>
        <item m="1" x="1867"/>
        <item m="1" x="2458"/>
        <item m="1" x="1529"/>
        <item m="1" x="2459"/>
        <item m="1" x="2460"/>
        <item m="1" x="2462"/>
        <item m="1" x="830"/>
        <item m="1" x="704"/>
        <item m="1" x="2609"/>
        <item m="1" x="305"/>
        <item m="1" x="953"/>
        <item m="1" x="977"/>
        <item m="1" x="2463"/>
        <item m="1" x="2591"/>
        <item m="1" x="2299"/>
        <item m="1" x="189"/>
        <item m="1" x="2381"/>
        <item m="1" x="2662"/>
        <item m="1" x="228"/>
        <item m="1" x="2457"/>
        <item m="1" x="2032"/>
        <item m="1" x="961"/>
        <item m="1" x="1610"/>
        <item m="1" x="229"/>
        <item m="1" x="1772"/>
        <item m="1" x="1567"/>
        <item m="1" x="362"/>
        <item m="1" x="1029"/>
        <item m="1" x="829"/>
        <item m="1" x="1582"/>
        <item m="1" x="447"/>
        <item m="1" x="1150"/>
        <item sd="0" m="1" x="2736"/>
        <item m="1" x="1178"/>
        <item m="1" x="1514"/>
        <item m="1" x="1583"/>
        <item m="1" x="1584"/>
        <item m="1" x="1134"/>
        <item m="1" x="707"/>
        <item m="1" x="1561"/>
        <item m="1" x="2472"/>
        <item m="1" x="2011"/>
        <item m="1" x="1585"/>
        <item m="1" x="1338"/>
        <item m="1" x="909"/>
        <item m="1" x="700"/>
        <item m="1" x="77"/>
        <item m="1" x="2562"/>
        <item m="1" x="1586"/>
        <item m="1" x="2473"/>
        <item m="1" x="1685"/>
        <item m="1" x="564"/>
        <item m="1" x="1110"/>
        <item x="30"/>
        <item m="1" x="2474"/>
        <item m="1" x="2576"/>
        <item m="1" x="2610"/>
        <item m="1" x="1696"/>
        <item m="1" x="1051"/>
        <item m="1" x="2475"/>
        <item m="1" x="2476"/>
        <item m="1" x="1629"/>
        <item m="1" x="2477"/>
        <item m="1" x="1922"/>
        <item m="1" x="2479"/>
        <item m="1" x="2478"/>
        <item m="1" x="1676"/>
        <item m="1" x="1965"/>
        <item m="1" x="2695"/>
        <item m="1" x="496"/>
        <item m="1" x="1990"/>
        <item m="1" x="2689"/>
        <item m="1" x="1590"/>
        <item m="1" x="1155"/>
        <item m="1" x="881"/>
        <item m="1" x="2480"/>
        <item x="11"/>
        <item m="1" x="1960"/>
        <item m="1" x="2481"/>
        <item m="1" x="520"/>
        <item m="1" x="1028"/>
        <item m="1" x="352"/>
        <item m="1" x="2482"/>
        <item m="1" x="504"/>
        <item m="1" x="1496"/>
        <item m="1" x="928"/>
        <item m="1" x="2468"/>
        <item m="1" x="1024"/>
        <item m="1" x="1854"/>
        <item m="1" x="2483"/>
        <item m="1" x="1593"/>
        <item m="1" x="2680"/>
        <item m="1" x="1061"/>
        <item m="1" x="243"/>
        <item m="1" x="191"/>
        <item m="1" x="1579"/>
        <item m="1" x="1595"/>
        <item m="1" x="192"/>
        <item m="1" x="298"/>
        <item m="1" x="1601"/>
        <item m="1" x="962"/>
        <item m="1" x="2485"/>
        <item m="1" x="2124"/>
        <item m="1" x="1421"/>
        <item m="1" x="2005"/>
        <item m="1" x="1648"/>
        <item m="1" x="2125"/>
        <item m="1" x="1184"/>
        <item m="1" x="2676"/>
        <item m="1" x="1604"/>
        <item m="1" x="1558"/>
        <item m="1" x="194"/>
        <item m="1" x="2126"/>
        <item m="1" x="307"/>
        <item m="1" x="588"/>
        <item m="1" x="1168"/>
        <item m="1" x="193"/>
        <item m="1" x="972"/>
        <item m="1" x="413"/>
        <item m="1" x="414"/>
        <item m="1" x="415"/>
        <item m="1" x="169"/>
        <item m="1" x="416"/>
        <item m="1" x="1445"/>
        <item m="1" x="833"/>
        <item m="1" x="2486"/>
        <item m="1" x="1570"/>
        <item m="1" x="855"/>
        <item m="1" x="1533"/>
        <item m="1" x="2487"/>
        <item m="1" x="1842"/>
        <item m="1" x="1773"/>
        <item m="1" x="2488"/>
        <item m="1" x="1563"/>
        <item m="1" x="902"/>
        <item m="1" x="435"/>
        <item m="1" x="860"/>
        <item m="1" x="1121"/>
        <item m="1" x="708"/>
        <item m="1" x="2490"/>
        <item m="1" x="542"/>
        <item m="1" x="1607"/>
        <item m="1" x="1608"/>
        <item m="1" x="1335"/>
        <item sd="0" m="1" x="2719"/>
        <item m="1" x="1864"/>
        <item m="1" x="742"/>
        <item m="1" x="2368"/>
        <item m="1" x="832"/>
        <item m="1" x="1117"/>
        <item m="1" x="239"/>
        <item m="1" x="1426"/>
        <item m="1" x="2492"/>
        <item m="1" x="2493"/>
        <item m="1" x="196"/>
        <item m="1" x="2494"/>
        <item m="1" x="278"/>
        <item sd="0" m="1" x="2740"/>
        <item m="1" x="2069"/>
        <item m="1" x="1797"/>
        <item m="1" x="143"/>
        <item m="1" x="1611"/>
        <item x="42"/>
        <item m="1" x="608"/>
        <item m="1" x="1848"/>
        <item m="1" x="602"/>
        <item m="1" x="1858"/>
        <item m="1" x="1849"/>
        <item m="1" x="1976"/>
        <item m="1" x="1929"/>
        <item m="1" x="603"/>
        <item m="1" x="770"/>
        <item m="1" x="1850"/>
        <item m="1" x="601"/>
        <item m="1" x="606"/>
        <item m="1" x="610"/>
        <item m="1" x="1852"/>
        <item m="1" x="515"/>
        <item sd="0" x="29"/>
        <item m="1" x="1661"/>
        <item x="41"/>
        <item m="1" x="596"/>
        <item m="1" x="1662"/>
        <item m="1" x="514"/>
        <item m="1" x="595"/>
        <item m="1" x="1977"/>
        <item m="1" x="1358"/>
        <item m="1" x="1847"/>
        <item m="1" x="605"/>
        <item m="1" x="1846"/>
        <item m="1" x="609"/>
        <item sd="0" m="1" x="604"/>
        <item x="28"/>
        <item sd="0" m="1" x="2730"/>
        <item sd="0" m="1" x="2735"/>
        <item sd="0" x="26"/>
        <item m="1" x="857"/>
        <item m="1" x="1861"/>
        <item m="1" x="2027"/>
        <item m="1" x="2035"/>
        <item m="1" x="1881"/>
        <item m="1" x="92"/>
        <item m="1" x="1666"/>
        <item m="1" x="1974"/>
        <item m="1" x="1017"/>
        <item m="1" x="805"/>
        <item m="1" x="2699"/>
        <item m="1" x="2427"/>
        <item m="1" x="2446"/>
        <item m="1" x="151"/>
        <item m="1" x="709"/>
        <item m="1" x="1659"/>
        <item m="1" x="421"/>
        <item m="1" x="2067"/>
        <item m="1" x="2495"/>
        <item m="1" x="921"/>
        <item m="1" x="2238"/>
        <item sd="0" m="1" x="2738"/>
        <item m="1" x="1423"/>
        <item m="1" x="582"/>
        <item m="1" x="2123"/>
        <item m="1" x="70"/>
        <item m="1" x="2497"/>
        <item m="1" x="325"/>
        <item m="1" x="2156"/>
        <item m="1" x="2498"/>
        <item m="1" x="2461"/>
        <item m="1" x="1234"/>
        <item m="1" x="934"/>
        <item m="1" x="2672"/>
        <item m="1" x="1067"/>
        <item m="1" x="2256"/>
        <item m="1" x="1308"/>
        <item m="1" x="1669"/>
        <item m="1" x="1446"/>
        <item m="1" x="1154"/>
        <item m="1" x="2127"/>
        <item m="1" x="423"/>
        <item m="1" x="1400"/>
        <item m="1" x="424"/>
        <item m="1" x="1958"/>
        <item m="1" x="197"/>
        <item m="1" x="2499"/>
        <item m="1" x="1673"/>
        <item m="1" x="517"/>
        <item m="1" x="1477"/>
        <item m="1" x="2500"/>
        <item m="1" x="1808"/>
        <item m="1" x="892"/>
        <item m="1" x="1138"/>
        <item m="1" x="275"/>
        <item m="1" x="834"/>
        <item m="1" x="79"/>
        <item m="1" x="910"/>
        <item m="1" x="136"/>
        <item m="1" x="203"/>
        <item m="1" x="2575"/>
        <item m="1" x="2585"/>
        <item m="1" x="939"/>
        <item m="1" x="1366"/>
        <item m="1" x="1136"/>
        <item m="1" x="1605"/>
        <item m="1" x="1226"/>
        <item m="1" x="484"/>
        <item m="1" x="1677"/>
        <item m="1" x="2714"/>
        <item m="1" x="993"/>
        <item m="1" x="1387"/>
        <item m="1" x="1678"/>
        <item m="1" x="1895"/>
        <item m="1" x="1365"/>
        <item m="1" x="1649"/>
        <item m="1" x="1620"/>
        <item m="1" x="1599"/>
        <item m="1" x="1122"/>
        <item m="1" x="489"/>
        <item m="1" x="1352"/>
        <item m="1" x="1616"/>
        <item m="1" x="835"/>
        <item m="1" x="2515"/>
        <item m="1" x="230"/>
        <item m="1" x="533"/>
        <item m="1" x="2501"/>
        <item m="1" x="261"/>
        <item m="1" x="201"/>
        <item m="1" x="285"/>
        <item m="1" x="2502"/>
        <item m="1" x="1187"/>
        <item m="1" x="552"/>
        <item m="1" x="2503"/>
        <item m="1" x="630"/>
        <item m="1" x="859"/>
        <item m="1" x="1975"/>
        <item m="1" x="2504"/>
        <item m="1" x="2713"/>
        <item m="1" x="2694"/>
        <item m="1" x="1076"/>
        <item m="1" x="905"/>
        <item m="1" x="2514"/>
        <item m="1" x="1828"/>
        <item m="1" x="1164"/>
        <item m="1" x="1415"/>
        <item m="1" x="2587"/>
        <item m="1" x="2698"/>
        <item m="1" x="1697"/>
        <item m="1" x="1401"/>
        <item m="1" x="1292"/>
        <item m="1" x="2505"/>
        <item m="1" x="2702"/>
        <item m="1" x="280"/>
        <item m="1" x="879"/>
        <item m="1" x="937"/>
        <item x="34"/>
        <item m="1" x="365"/>
        <item m="1" x="1566"/>
        <item m="1" x="710"/>
        <item m="1" x="490"/>
        <item sd="0" m="1" x="493"/>
        <item m="1" x="711"/>
        <item m="1" x="400"/>
        <item m="1" x="2507"/>
        <item m="1" x="2624"/>
        <item m="1" x="632"/>
        <item m="1" x="2189"/>
        <item m="1" x="1631"/>
        <item m="1" x="2706"/>
        <item m="1" x="729"/>
        <item m="1" x="2617"/>
        <item x="24"/>
        <item m="1" x="1331"/>
        <item m="1" x="838"/>
        <item m="1" x="2022"/>
        <item m="1" x="1689"/>
        <item m="1" x="1690"/>
        <item m="1" x="2308"/>
        <item m="1" x="1794"/>
        <item m="1" x="1173"/>
        <item m="1" x="651"/>
        <item m="1" x="2652"/>
        <item m="1" x="1101"/>
        <item m="1" x="2128"/>
        <item m="1" x="613"/>
        <item m="1" x="137"/>
        <item m="1" x="813"/>
        <item m="1" x="2603"/>
        <item m="1" x="1343"/>
        <item m="1" x="2509"/>
        <item m="1" x="839"/>
        <item m="1" x="1691"/>
        <item m="1" x="121"/>
        <item m="1" x="425"/>
        <item m="1" x="2431"/>
        <item m="1" x="1890"/>
        <item m="1" x="1776"/>
        <item m="1" x="1904"/>
        <item m="1" x="2144"/>
        <item m="1" x="62"/>
        <item m="1" x="1055"/>
        <item m="1" x="840"/>
        <item m="1" x="2383"/>
        <item m="1" x="1578"/>
        <item m="1" x="2510"/>
        <item m="1" x="1660"/>
        <item m="1" x="485"/>
        <item m="1" x="1207"/>
        <item m="1" x="1693"/>
        <item m="1" x="1663"/>
        <item m="1" x="1657"/>
        <item m="1" x="858"/>
        <item m="1" x="2511"/>
        <item m="1" x="2001"/>
        <item m="1" x="841"/>
        <item m="1" x="1411"/>
        <item m="1" x="837"/>
        <item m="1" x="2597"/>
        <item m="1" x="1694"/>
        <item m="1" x="1801"/>
        <item m="1" x="1695"/>
        <item m="1" x="1681"/>
        <item m="1" x="1587"/>
        <item m="1" x="1160"/>
        <item m="1" x="1569"/>
        <item m="1" x="998"/>
        <item m="1" x="856"/>
        <item m="1" x="1166"/>
        <item m="1" x="2512"/>
        <item m="1" x="150"/>
        <item m="1" x="2149"/>
        <item m="1" x="1223"/>
        <item m="1" x="212"/>
        <item m="1" x="918"/>
        <item m="1" x="1989"/>
        <item m="1" x="1979"/>
        <item m="1" x="2268"/>
        <item m="1" x="56"/>
        <item m="1" x="1562"/>
        <item m="1" x="1581"/>
        <item m="1" x="2390"/>
        <item m="1" x="969"/>
        <item m="1" x="473"/>
        <item m="1" x="843"/>
        <item m="1" x="1625"/>
        <item m="1" x="935"/>
        <item m="1" x="2023"/>
        <item m="1" x="1462"/>
        <item m="1" x="2666"/>
        <item m="1" x="2024"/>
        <item x="9"/>
        <item m="1" x="1698"/>
        <item m="1" x="1375"/>
        <item m="1" x="1699"/>
        <item m="1" x="179"/>
        <item m="1" x="2148"/>
        <item m="1" x="589"/>
        <item m="1" x="558"/>
        <item m="1" x="1019"/>
        <item m="1" x="69"/>
        <item m="1" x="199"/>
        <item m="1" x="844"/>
        <item m="1" x="714"/>
        <item m="1" x="2449"/>
        <item m="1" x="715"/>
        <item m="1" x="1670"/>
        <item m="1" x="1407"/>
        <item m="1" x="2130"/>
        <item m="1" x="1702"/>
        <item m="1" x="427"/>
        <item m="1" x="190"/>
        <item m="1" x="1479"/>
        <item m="1" x="679"/>
        <item m="1" x="716"/>
        <item m="1" x="65"/>
        <item m="1" x="1703"/>
        <item m="1" x="1851"/>
        <item m="1" x="717"/>
        <item m="1" x="486"/>
        <item m="1" x="231"/>
        <item m="1" x="2079"/>
        <item m="1" x="2131"/>
        <item m="1" x="1626"/>
        <item m="1" x="2516"/>
        <item m="1" x="1374"/>
        <item m="1" x="1280"/>
        <item m="1" x="927"/>
        <item m="1" x="299"/>
        <item sd="0" m="1" x="2734"/>
        <item m="1" x="1843"/>
        <item m="1" x="1991"/>
        <item m="1" x="200"/>
        <item m="1" x="1859"/>
        <item m="1" x="86"/>
        <item m="1" x="1268"/>
        <item m="1" x="1417"/>
        <item m="1" x="1706"/>
        <item m="1" x="1269"/>
        <item m="1" x="2132"/>
        <item m="1" x="989"/>
        <item m="1" x="1704"/>
        <item m="1" x="637"/>
        <item m="1" x="706"/>
        <item sd="0" m="1" x="640"/>
        <item m="1" x="842"/>
        <item m="1" x="105"/>
        <item m="1" x="173"/>
        <item m="1" x="1495"/>
        <item m="1" x="896"/>
        <item m="1" x="2517"/>
        <item m="1" x="2518"/>
        <item m="1" x="982"/>
        <item m="1" x="2519"/>
        <item m="1" x="718"/>
        <item m="1" x="1705"/>
        <item m="1" x="1519"/>
        <item m="1" x="2644"/>
        <item m="1" x="2640"/>
        <item m="1" x="2520"/>
        <item m="1" x="1025"/>
        <item m="1" x="1182"/>
        <item m="1" x="1946"/>
        <item m="1" x="1635"/>
        <item m="1" x="984"/>
        <item m="1" x="1274"/>
        <item m="1" x="2521"/>
        <item m="1" x="1633"/>
        <item m="1" x="2522"/>
        <item m="1" x="861"/>
        <item m="1" x="1707"/>
        <item m="1" x="1834"/>
        <item m="1" x="1634"/>
        <item m="1" x="2700"/>
        <item m="1" x="127"/>
        <item m="1" x="1032"/>
        <item m="1" x="2203"/>
        <item m="1" x="1404"/>
        <item m="1" x="1494"/>
        <item m="1" x="1770"/>
        <item m="1" x="1983"/>
        <item m="1" x="2523"/>
        <item m="1" x="1709"/>
        <item m="1" x="1777"/>
        <item m="1" x="2525"/>
        <item m="1" x="719"/>
        <item m="1" x="1927"/>
        <item m="1" x="1996"/>
        <item m="1" x="846"/>
        <item m="1" x="2526"/>
        <item m="1" x="2392"/>
        <item m="1" x="519"/>
        <item m="1" x="1086"/>
        <item m="1" x="2059"/>
        <item m="1" x="598"/>
        <item m="1" x="757"/>
        <item m="1" x="535"/>
        <item m="1" x="2133"/>
        <item m="1" x="2527"/>
        <item m="1" x="204"/>
        <item m="1" x="720"/>
        <item x="35"/>
        <item m="1" x="1713"/>
        <item m="1" x="1014"/>
        <item m="1" x="1424"/>
        <item m="1" x="941"/>
        <item m="1" x="2712"/>
        <item m="1" x="420"/>
        <item m="1" x="2528"/>
        <item m="1" x="1391"/>
        <item m="1" x="2012"/>
        <item m="1" x="2573"/>
        <item m="1" x="938"/>
        <item m="1" x="2134"/>
        <item m="1" x="267"/>
        <item m="1" x="2529"/>
        <item m="1" x="1293"/>
        <item m="1" x="614"/>
        <item sd="0" m="1" x="2722"/>
        <item m="1" x="2593"/>
        <item m="1" x="1416"/>
        <item m="1" x="324"/>
        <item m="1" x="428"/>
        <item m="1" x="2530"/>
        <item m="1" x="2029"/>
        <item m="1" x="723"/>
        <item m="1" x="2259"/>
        <item m="1" x="541"/>
        <item m="1" x="1618"/>
        <item m="1" x="1674"/>
        <item m="1" x="1778"/>
        <item m="1" x="911"/>
        <item m="1" x="2531"/>
        <item m="1" x="847"/>
        <item x="23"/>
        <item m="1" x="478"/>
        <item m="1" x="848"/>
        <item m="1" x="929"/>
        <item m="1" x="1844"/>
        <item m="1" x="1715"/>
        <item m="1" x="1710"/>
        <item m="1" x="1004"/>
        <item m="1" x="726"/>
        <item m="1" x="2135"/>
        <item m="1" x="1353"/>
        <item m="1" x="1717"/>
        <item m="1" x="1779"/>
        <item sd="0" m="1" x="465"/>
        <item m="1" x="1260"/>
        <item m="1" x="974"/>
        <item m="1" x="2533"/>
        <item m="1" x="188"/>
        <item m="1" x="2647"/>
        <item m="1" x="2686"/>
        <item m="1" x="866"/>
        <item m="1" x="1811"/>
        <item m="1" x="812"/>
        <item x="43"/>
        <item m="1" x="1718"/>
        <item m="1" x="1719"/>
        <item m="1" x="1398"/>
        <item m="1" x="1720"/>
        <item sd="0" m="1" x="2728"/>
        <item sd="0" m="1" x="128"/>
        <item m="1" x="205"/>
        <item m="1" x="686"/>
        <item m="1" x="2622"/>
        <item m="1" x="1780"/>
        <item m="1" x="685"/>
        <item m="1" x="2416"/>
        <item m="1" x="2705"/>
        <item m="1" x="1333"/>
        <item m="1" x="1667"/>
        <item m="1" x="2136"/>
        <item m="1" x="1781"/>
        <item m="1" x="329"/>
        <item m="1" x="1724"/>
        <item m="1" x="206"/>
        <item m="1" x="153"/>
        <item m="1" x="2643"/>
        <item m="1" x="849"/>
        <item m="1" x="854"/>
        <item m="1" x="2631"/>
        <item m="1" x="471"/>
        <item m="1" x="2535"/>
        <item m="1" x="1902"/>
        <item m="1" x="722"/>
        <item m="1" x="540"/>
        <item m="1" x="2255"/>
        <item m="1" x="850"/>
        <item m="1" x="183"/>
        <item m="1" x="693"/>
        <item m="1" x="644"/>
        <item m="1" x="1726"/>
        <item m="1" x="967"/>
        <item sd="0" m="1" x="2117"/>
        <item m="1" x="397"/>
        <item m="1" x="1504"/>
        <item x="40"/>
        <item sd="0" m="1" x="2729"/>
        <item m="1" x="1273"/>
        <item m="1" x="2536"/>
        <item m="1" x="2470"/>
        <item m="1" x="429"/>
        <item m="1" x="2537"/>
        <item m="1" x="2538"/>
        <item m="1" x="2569"/>
        <item m="1" x="2539"/>
        <item m="1" x="1460"/>
        <item m="1" x="2058"/>
        <item m="1" x="2540"/>
        <item m="1" x="942"/>
        <item m="1" x="2031"/>
        <item m="1" x="1597"/>
        <item m="1" x="2541"/>
        <item m="1" x="1325"/>
        <item m="1" x="2071"/>
        <item m="1" x="828"/>
        <item m="1" x="430"/>
        <item m="1" x="1356"/>
        <item m="1" x="1031"/>
        <item x="16"/>
        <item m="1" x="1957"/>
        <item m="1" x="1434"/>
        <item m="1" x="874"/>
        <item m="1" x="2542"/>
        <item m="1" x="2543"/>
        <item m="1" x="249"/>
        <item m="1" x="207"/>
        <item m="1" x="2544"/>
        <item m="1" x="2545"/>
        <item m="1" x="2137"/>
        <item m="1" x="2138"/>
        <item m="1" x="1002"/>
        <item m="1" x="134"/>
        <item m="1" x="1732"/>
        <item m="1" x="1326"/>
        <item m="1" x="155"/>
        <item m="1" x="211"/>
        <item m="1" x="1161"/>
        <item x="36"/>
        <item m="1" x="141"/>
        <item m="1" x="2548"/>
        <item m="1" x="508"/>
        <item m="1" x="930"/>
        <item m="1" x="571"/>
        <item m="1" x="2372"/>
        <item m="1" x="2357"/>
        <item m="1" x="241"/>
        <item m="1" x="1733"/>
        <item m="1" x="1734"/>
        <item m="1" x="431"/>
        <item m="1" x="851"/>
        <item m="1" x="2546"/>
        <item m="1" x="532"/>
        <item m="1" x="1521"/>
        <item m="1" x="1554"/>
        <item m="1" x="2547"/>
        <item m="1" x="1782"/>
        <item m="1" x="1903"/>
        <item m="1" x="2549"/>
        <item m="1" x="1735"/>
        <item m="1" x="1650"/>
        <item m="1" x="1736"/>
        <item m="1" x="2708"/>
        <item t="default" sd="0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4"/>
    <field x="0"/>
  </rowFields>
  <rowItems count="3">
    <i>
      <x v="2577"/>
    </i>
    <i r="1">
      <x v="42"/>
    </i>
    <i t="grand">
      <x/>
    </i>
  </rowItems>
  <colItems count="1">
    <i/>
  </colItems>
  <pageFields count="1">
    <pageField fld="3" hier="-1"/>
  </pageFields>
  <dataFields count="1">
    <dataField name="Total" fld="9" baseField="0" baseItem="0" numFmtId="44"/>
  </dataFields>
  <formats count="9">
    <format dxfId="226">
      <pivotArea collapsedLevelsAreSubtotals="1" fieldPosition="0">
        <references count="1">
          <reference field="4" count="1">
            <x v="275"/>
          </reference>
        </references>
      </pivotArea>
    </format>
    <format dxfId="225">
      <pivotArea collapsedLevelsAreSubtotals="1" fieldPosition="0">
        <references count="1">
          <reference field="4" count="1">
            <x v="664"/>
          </reference>
        </references>
      </pivotArea>
    </format>
    <format dxfId="224">
      <pivotArea collapsedLevelsAreSubtotals="1" fieldPosition="0">
        <references count="1">
          <reference field="4" count="1">
            <x v="789"/>
          </reference>
        </references>
      </pivotArea>
    </format>
    <format dxfId="223">
      <pivotArea collapsedLevelsAreSubtotals="1" fieldPosition="0">
        <references count="1">
          <reference field="4" count="1">
            <x v="1446"/>
          </reference>
        </references>
      </pivotArea>
    </format>
    <format dxfId="222">
      <pivotArea collapsedLevelsAreSubtotals="1" fieldPosition="0">
        <references count="1">
          <reference field="4" count="1">
            <x v="1688"/>
          </reference>
        </references>
      </pivotArea>
    </format>
    <format dxfId="221">
      <pivotArea collapsedLevelsAreSubtotals="1" fieldPosition="0">
        <references count="1">
          <reference field="4" count="1">
            <x v="1989"/>
          </reference>
        </references>
      </pivotArea>
    </format>
    <format dxfId="220">
      <pivotArea dataOnly="0" labelOnly="1" fieldPosition="0">
        <references count="1">
          <reference field="4" count="6">
            <x v="275"/>
            <x v="664"/>
            <x v="789"/>
            <x v="1446"/>
            <x v="1688"/>
            <x v="1989"/>
          </reference>
        </references>
      </pivotArea>
    </format>
    <format dxfId="219">
      <pivotArea field="4" type="button" dataOnly="0" labelOnly="1" outline="0" axis="axisRow" fieldPosition="0"/>
    </format>
    <format dxfId="218">
      <pivotArea dataOnly="0" labelOnly="1" outline="0" axis="axisValues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432C20-55F9-264A-BFD7-E20E7897C64E}" name="PivotTable6" cacheId="42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D4:E5" firstHeaderRow="1" firstDataRow="1" firstDataCol="1" rowPageCount="1" colPageCount="1"/>
  <pivotFields count="15">
    <pivotField showAll="0"/>
    <pivotField numFmtId="165" showAll="0"/>
    <pivotField axis="axisRow" showAll="0" measureFilter="1" sortType="ascending">
      <items count="537">
        <item m="1" x="433"/>
        <item x="0"/>
        <item x="1"/>
        <item x="2"/>
        <item m="1" x="209"/>
        <item x="3"/>
        <item m="1" x="352"/>
        <item m="1" x="358"/>
        <item m="1" x="215"/>
        <item m="1" x="182"/>
        <item m="1" x="297"/>
        <item m="1" x="373"/>
        <item m="1" x="192"/>
        <item m="1" x="381"/>
        <item m="1" x="202"/>
        <item m="1" x="303"/>
        <item x="4"/>
        <item x="5"/>
        <item x="6"/>
        <item m="1" x="533"/>
        <item m="1" x="295"/>
        <item m="1" x="184"/>
        <item m="1" x="488"/>
        <item x="7"/>
        <item m="1" x="510"/>
        <item x="8"/>
        <item x="9"/>
        <item x="10"/>
        <item m="1" x="426"/>
        <item x="11"/>
        <item x="12"/>
        <item x="13"/>
        <item x="14"/>
        <item m="1" x="413"/>
        <item m="1" x="518"/>
        <item m="1" x="385"/>
        <item m="1" x="392"/>
        <item x="15"/>
        <item x="16"/>
        <item m="1" x="504"/>
        <item x="17"/>
        <item m="1" x="447"/>
        <item m="1" x="481"/>
        <item x="18"/>
        <item x="19"/>
        <item m="1" x="347"/>
        <item m="1" x="354"/>
        <item m="1" x="411"/>
        <item m="1" x="418"/>
        <item m="1" x="186"/>
        <item x="20"/>
        <item m="1" x="277"/>
        <item m="1" x="214"/>
        <item x="21"/>
        <item m="1" x="479"/>
        <item m="1" x="436"/>
        <item x="22"/>
        <item m="1" x="367"/>
        <item m="1" x="267"/>
        <item x="23"/>
        <item m="1" x="219"/>
        <item x="24"/>
        <item m="1" x="265"/>
        <item m="1" x="357"/>
        <item x="25"/>
        <item x="26"/>
        <item x="27"/>
        <item m="1" x="228"/>
        <item m="1" x="485"/>
        <item x="28"/>
        <item m="1" x="469"/>
        <item m="1" x="394"/>
        <item x="29"/>
        <item m="1" x="435"/>
        <item x="30"/>
        <item m="1" x="248"/>
        <item x="31"/>
        <item x="32"/>
        <item x="33"/>
        <item x="34"/>
        <item x="35"/>
        <item m="1" x="482"/>
        <item x="36"/>
        <item m="1" x="226"/>
        <item m="1" x="235"/>
        <item x="37"/>
        <item m="1" x="283"/>
        <item x="38"/>
        <item m="1" x="213"/>
        <item m="1" x="274"/>
        <item m="1" x="425"/>
        <item m="1" x="205"/>
        <item m="1" x="345"/>
        <item m="1" x="532"/>
        <item m="1" x="346"/>
        <item m="1" x="443"/>
        <item m="1" x="331"/>
        <item m="1" x="396"/>
        <item m="1" x="253"/>
        <item x="39"/>
        <item m="1" x="501"/>
        <item m="1" x="387"/>
        <item x="40"/>
        <item m="1" x="355"/>
        <item x="41"/>
        <item x="42"/>
        <item x="43"/>
        <item x="44"/>
        <item x="45"/>
        <item m="1" x="289"/>
        <item m="1" x="475"/>
        <item m="1" x="521"/>
        <item m="1" x="200"/>
        <item m="1" x="376"/>
        <item m="1" x="221"/>
        <item m="1" x="270"/>
        <item x="46"/>
        <item m="1" x="431"/>
        <item m="1" x="292"/>
        <item m="1" x="414"/>
        <item m="1" x="375"/>
        <item m="1" x="471"/>
        <item x="47"/>
        <item m="1" x="393"/>
        <item x="48"/>
        <item m="1" x="494"/>
        <item x="49"/>
        <item x="50"/>
        <item m="1" x="183"/>
        <item x="51"/>
        <item m="1" x="416"/>
        <item x="52"/>
        <item m="1" x="290"/>
        <item m="1" x="341"/>
        <item m="1" x="439"/>
        <item m="1" x="257"/>
        <item m="1" x="340"/>
        <item m="1" x="256"/>
        <item x="53"/>
        <item m="1" x="203"/>
        <item x="54"/>
        <item x="55"/>
        <item x="56"/>
        <item m="1" x="529"/>
        <item x="57"/>
        <item m="1" x="461"/>
        <item m="1" x="415"/>
        <item x="58"/>
        <item m="1" x="238"/>
        <item x="59"/>
        <item x="60"/>
        <item m="1" x="452"/>
        <item m="1" x="457"/>
        <item x="61"/>
        <item m="1" x="508"/>
        <item m="1" x="208"/>
        <item m="1" x="321"/>
        <item m="1" x="390"/>
        <item x="62"/>
        <item m="1" x="293"/>
        <item m="1" x="232"/>
        <item m="1" x="366"/>
        <item m="1" x="310"/>
        <item x="63"/>
        <item m="1" x="400"/>
        <item m="1" x="446"/>
        <item m="1" x="251"/>
        <item x="64"/>
        <item x="65"/>
        <item m="1" x="349"/>
        <item x="66"/>
        <item x="67"/>
        <item m="1" x="259"/>
        <item m="1" x="519"/>
        <item x="68"/>
        <item m="1" x="490"/>
        <item x="69"/>
        <item m="1" x="344"/>
        <item m="1" x="255"/>
        <item x="70"/>
        <item x="71"/>
        <item m="1" x="406"/>
        <item x="72"/>
        <item m="1" x="458"/>
        <item x="73"/>
        <item m="1" x="196"/>
        <item m="1" x="314"/>
        <item m="1" x="419"/>
        <item x="74"/>
        <item x="75"/>
        <item x="76"/>
        <item m="1" x="404"/>
        <item m="1" x="302"/>
        <item m="1" x="372"/>
        <item m="1" x="316"/>
        <item x="77"/>
        <item m="1" x="279"/>
        <item m="1" x="276"/>
        <item m="1" x="361"/>
        <item m="1" x="468"/>
        <item m="1" x="371"/>
        <item m="1" x="258"/>
        <item m="1" x="260"/>
        <item m="1" x="430"/>
        <item m="1" x="187"/>
        <item x="78"/>
        <item x="79"/>
        <item x="80"/>
        <item m="1" x="227"/>
        <item m="1" x="427"/>
        <item x="81"/>
        <item m="1" x="395"/>
        <item m="1" x="407"/>
        <item m="1" x="473"/>
        <item m="1" x="445"/>
        <item m="1" x="405"/>
        <item m="1" x="252"/>
        <item m="1" x="464"/>
        <item x="82"/>
        <item m="1" x="230"/>
        <item x="83"/>
        <item m="1" x="514"/>
        <item m="1" x="456"/>
        <item m="1" x="517"/>
        <item m="1" x="325"/>
        <item m="1" x="422"/>
        <item m="1" x="505"/>
        <item m="1" x="241"/>
        <item x="84"/>
        <item m="1" x="195"/>
        <item m="1" x="233"/>
        <item x="85"/>
        <item m="1" x="286"/>
        <item m="1" x="250"/>
        <item x="86"/>
        <item m="1" x="189"/>
        <item m="1" x="470"/>
        <item x="87"/>
        <item x="88"/>
        <item x="89"/>
        <item m="1" x="465"/>
        <item x="90"/>
        <item x="91"/>
        <item m="1" x="489"/>
        <item m="1" x="268"/>
        <item m="1" x="300"/>
        <item m="1" x="360"/>
        <item x="92"/>
        <item m="1" x="315"/>
        <item m="1" x="263"/>
        <item m="1" x="278"/>
        <item m="1" x="199"/>
        <item m="1" x="486"/>
        <item m="1" x="454"/>
        <item m="1" x="211"/>
        <item m="1" x="317"/>
        <item x="93"/>
        <item m="1" x="298"/>
        <item m="1" x="288"/>
        <item x="94"/>
        <item m="1" x="448"/>
        <item x="95"/>
        <item m="1" x="307"/>
        <item m="1" x="294"/>
        <item m="1" x="450"/>
        <item m="1" x="190"/>
        <item m="1" x="512"/>
        <item x="96"/>
        <item x="97"/>
        <item x="98"/>
        <item m="1" x="516"/>
        <item m="1" x="365"/>
        <item m="1" x="242"/>
        <item m="1" x="377"/>
        <item m="1" x="491"/>
        <item x="99"/>
        <item m="1" x="472"/>
        <item x="100"/>
        <item m="1" x="384"/>
        <item x="101"/>
        <item x="102"/>
        <item m="1" x="309"/>
        <item m="1" x="311"/>
        <item x="103"/>
        <item x="104"/>
        <item m="1" x="291"/>
        <item m="1" x="338"/>
        <item m="1" x="285"/>
        <item m="1" x="306"/>
        <item x="105"/>
        <item m="1" x="386"/>
        <item m="1" x="197"/>
        <item m="1" x="528"/>
        <item m="1" x="223"/>
        <item m="1" x="275"/>
        <item m="1" x="194"/>
        <item x="106"/>
        <item m="1" x="403"/>
        <item m="1" x="525"/>
        <item m="1" x="324"/>
        <item m="1" x="201"/>
        <item m="1" x="243"/>
        <item x="107"/>
        <item m="1" x="434"/>
        <item m="1" x="362"/>
        <item x="108"/>
        <item m="1" x="363"/>
        <item m="1" x="437"/>
        <item m="1" x="339"/>
        <item m="1" x="329"/>
        <item m="1" x="284"/>
        <item m="1" x="441"/>
        <item x="109"/>
        <item m="1" x="244"/>
        <item x="110"/>
        <item m="1" x="225"/>
        <item m="1" x="442"/>
        <item m="1" x="402"/>
        <item m="1" x="333"/>
        <item m="1" x="224"/>
        <item x="111"/>
        <item m="1" x="217"/>
        <item m="1" x="188"/>
        <item x="112"/>
        <item m="1" x="383"/>
        <item x="113"/>
        <item m="1" x="212"/>
        <item m="1" x="313"/>
        <item x="114"/>
        <item m="1" x="507"/>
        <item x="115"/>
        <item x="116"/>
        <item m="1" x="493"/>
        <item x="117"/>
        <item m="1" x="330"/>
        <item m="1" x="389"/>
        <item m="1" x="234"/>
        <item m="1" x="408"/>
        <item x="118"/>
        <item x="119"/>
        <item m="1" x="220"/>
        <item m="1" x="506"/>
        <item m="1" x="391"/>
        <item x="120"/>
        <item m="1" x="266"/>
        <item m="1" x="509"/>
        <item m="1" x="374"/>
        <item x="121"/>
        <item m="1" x="359"/>
        <item m="1" x="305"/>
        <item m="1" x="282"/>
        <item x="122"/>
        <item m="1" x="280"/>
        <item x="123"/>
        <item x="124"/>
        <item m="1" x="356"/>
        <item m="1" x="327"/>
        <item m="1" x="398"/>
        <item m="1" x="246"/>
        <item m="1" x="498"/>
        <item x="125"/>
        <item x="126"/>
        <item m="1" x="451"/>
        <item x="127"/>
        <item m="1" x="530"/>
        <item m="1" x="388"/>
        <item x="128"/>
        <item m="1" x="206"/>
        <item m="1" x="191"/>
        <item m="1" x="322"/>
        <item x="129"/>
        <item m="1" x="417"/>
        <item m="1" x="308"/>
        <item m="1" x="534"/>
        <item m="1" x="440"/>
        <item m="1" x="254"/>
        <item x="130"/>
        <item m="1" x="455"/>
        <item m="1" x="523"/>
        <item x="131"/>
        <item m="1" x="296"/>
        <item x="132"/>
        <item x="133"/>
        <item m="1" x="474"/>
        <item m="1" x="334"/>
        <item m="1" x="531"/>
        <item m="1" x="229"/>
        <item x="134"/>
        <item x="135"/>
        <item m="1" x="535"/>
        <item m="1" x="476"/>
        <item x="136"/>
        <item x="137"/>
        <item m="1" x="239"/>
        <item m="1" x="478"/>
        <item x="138"/>
        <item x="139"/>
        <item x="140"/>
        <item m="1" x="423"/>
        <item m="1" x="401"/>
        <item m="1" x="193"/>
        <item x="141"/>
        <item m="1" x="397"/>
        <item m="1" x="526"/>
        <item x="142"/>
        <item m="1" x="271"/>
        <item x="143"/>
        <item m="1" x="428"/>
        <item x="144"/>
        <item x="145"/>
        <item x="146"/>
        <item x="147"/>
        <item x="148"/>
        <item m="1" x="247"/>
        <item x="149"/>
        <item m="1" x="502"/>
        <item m="1" x="207"/>
        <item m="1" x="222"/>
        <item m="1" x="462"/>
        <item m="1" x="520"/>
        <item m="1" x="410"/>
        <item m="1" x="336"/>
        <item m="1" x="511"/>
        <item m="1" x="328"/>
        <item m="1" x="424"/>
        <item m="1" x="421"/>
        <item m="1" x="499"/>
        <item m="1" x="515"/>
        <item m="1" x="527"/>
        <item m="1" x="379"/>
        <item x="150"/>
        <item m="1" x="369"/>
        <item x="151"/>
        <item m="1" x="237"/>
        <item m="1" x="323"/>
        <item x="152"/>
        <item x="153"/>
        <item x="154"/>
        <item m="1" x="348"/>
        <item m="1" x="236"/>
        <item x="155"/>
        <item x="156"/>
        <item m="1" x="483"/>
        <item m="1" x="420"/>
        <item m="1" x="503"/>
        <item m="1" x="332"/>
        <item m="1" x="204"/>
        <item m="1" x="460"/>
        <item x="157"/>
        <item x="158"/>
        <item m="1" x="326"/>
        <item m="1" x="513"/>
        <item x="159"/>
        <item m="1" x="351"/>
        <item m="1" x="216"/>
        <item m="1" x="262"/>
        <item m="1" x="320"/>
        <item m="1" x="453"/>
        <item m="1" x="272"/>
        <item m="1" x="500"/>
        <item x="160"/>
        <item m="1" x="484"/>
        <item m="1" x="231"/>
        <item m="1" x="399"/>
        <item x="161"/>
        <item m="1" x="304"/>
        <item m="1" x="382"/>
        <item m="1" x="318"/>
        <item m="1" x="319"/>
        <item m="1" x="429"/>
        <item m="1" x="378"/>
        <item m="1" x="269"/>
        <item m="1" x="496"/>
        <item m="1" x="281"/>
        <item m="1" x="495"/>
        <item m="1" x="301"/>
        <item x="162"/>
        <item x="163"/>
        <item m="1" x="353"/>
        <item m="1" x="210"/>
        <item m="1" x="343"/>
        <item m="1" x="312"/>
        <item m="1" x="497"/>
        <item m="1" x="185"/>
        <item m="1" x="350"/>
        <item m="1" x="249"/>
        <item m="1" x="368"/>
        <item m="1" x="438"/>
        <item m="1" x="264"/>
        <item m="1" x="342"/>
        <item m="1" x="198"/>
        <item m="1" x="240"/>
        <item m="1" x="467"/>
        <item x="164"/>
        <item m="1" x="337"/>
        <item m="1" x="524"/>
        <item m="1" x="299"/>
        <item x="165"/>
        <item m="1" x="459"/>
        <item m="1" x="218"/>
        <item m="1" x="466"/>
        <item m="1" x="492"/>
        <item x="166"/>
        <item m="1" x="477"/>
        <item m="1" x="449"/>
        <item m="1" x="409"/>
        <item m="1" x="480"/>
        <item x="167"/>
        <item m="1" x="522"/>
        <item x="168"/>
        <item m="1" x="261"/>
        <item m="1" x="245"/>
        <item m="1" x="412"/>
        <item m="1" x="432"/>
        <item x="169"/>
        <item m="1" x="444"/>
        <item m="1" x="370"/>
        <item x="170"/>
        <item x="171"/>
        <item x="172"/>
        <item m="1" x="287"/>
        <item m="1" x="273"/>
        <item x="173"/>
        <item m="1" x="487"/>
        <item x="174"/>
        <item m="1" x="463"/>
        <item x="175"/>
        <item m="1" x="335"/>
        <item x="176"/>
        <item m="1" x="380"/>
        <item m="1" x="364"/>
        <item x="177"/>
        <item x="178"/>
        <item x="179"/>
        <item x="180"/>
        <item m="1" x="181"/>
        <item t="default"/>
      </items>
    </pivotField>
    <pivotField axis="axisPage" multipleItemSelectionAllowed="1" showAll="0">
      <items count="41">
        <item h="1" x="2"/>
        <item h="1" x="7"/>
        <item h="1" x="3"/>
        <item h="1" m="1" x="35"/>
        <item h="1" x="20"/>
        <item h="1" m="1" x="32"/>
        <item h="1" x="5"/>
        <item h="1" x="6"/>
        <item h="1" x="11"/>
        <item h="1" x="15"/>
        <item h="1" m="1" x="30"/>
        <item h="1" x="1"/>
        <item h="1" x="16"/>
        <item h="1" x="21"/>
        <item h="1" x="19"/>
        <item h="1" x="8"/>
        <item h="1" x="0"/>
        <item h="1" x="9"/>
        <item h="1" x="13"/>
        <item h="1" x="4"/>
        <item h="1" x="10"/>
        <item h="1" m="1" x="38"/>
        <item h="1" m="1" x="33"/>
        <item h="1" m="1" x="26"/>
        <item h="1" x="12"/>
        <item h="1" m="1" x="28"/>
        <item h="1" m="1" x="36"/>
        <item h="1" m="1" x="37"/>
        <item h="1" m="1" x="29"/>
        <item h="1" m="1" x="39"/>
        <item h="1" m="1" x="23"/>
        <item h="1" m="1" x="31"/>
        <item h="1" m="1" x="25"/>
        <item h="1" x="17"/>
        <item m="1" x="34"/>
        <item h="1" x="14"/>
        <item h="1" m="1" x="24"/>
        <item h="1" m="1" x="27"/>
        <item h="1" x="18"/>
        <item h="1" x="22"/>
        <item t="default"/>
      </items>
    </pivotField>
    <pivotField showAll="0"/>
    <pivotField numFmtId="4" showAll="0"/>
    <pivotField numFmtId="4" showAll="0"/>
    <pivotField dataField="1" numFmtId="4" showAll="0"/>
    <pivotField numFmtId="4" showAll="0"/>
    <pivotField numFmtId="4" showAll="0"/>
    <pivotField numFmtId="166" showAll="0"/>
    <pivotField showAll="0"/>
    <pivotField showAll="0"/>
    <pivotField showAll="0"/>
    <pivotField showAll="0"/>
  </pivotFields>
  <rowFields count="1">
    <field x="2"/>
  </rowFields>
  <rowItems count="1">
    <i t="grand">
      <x/>
    </i>
  </rowItems>
  <colItems count="1">
    <i/>
  </colItems>
  <pageFields count="1">
    <pageField fld="3" hier="-1"/>
  </pageFields>
  <dataFields count="1">
    <dataField name="Total" fld="7" baseField="0" baseItem="0" numFmtId="44"/>
  </dataFields>
  <formats count="2">
    <format dxfId="228">
      <pivotArea field="2" type="button" dataOnly="0" labelOnly="1" outline="0" axis="axisRow" fieldPosition="0"/>
    </format>
    <format dxfId="227">
      <pivotArea dataOnly="0" labelOnly="1" outline="0" axis="axisValues" fieldPosition="0"/>
    </format>
  </formats>
  <pivotTableStyleInfo name="PivotStyleLight16" showRowHeaders="1" showColHeaders="1" showRowStripes="1" showColStripes="0" showLastColumn="1"/>
  <filters count="1">
    <filter fld="2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F255A-A4EB-7140-ADBE-1FD068C9796A}" name="PivotTable6" cacheId="42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D4:E5" firstHeaderRow="1" firstDataRow="1" firstDataCol="1" rowPageCount="1" colPageCount="1"/>
  <pivotFields count="15">
    <pivotField showAll="0"/>
    <pivotField numFmtId="165" showAll="0"/>
    <pivotField axis="axisRow" showAll="0" measureFilter="1" sortType="ascending">
      <items count="537">
        <item m="1" x="433"/>
        <item x="0"/>
        <item x="1"/>
        <item x="2"/>
        <item m="1" x="209"/>
        <item x="3"/>
        <item m="1" x="352"/>
        <item m="1" x="358"/>
        <item m="1" x="215"/>
        <item m="1" x="182"/>
        <item m="1" x="297"/>
        <item m="1" x="373"/>
        <item m="1" x="192"/>
        <item m="1" x="381"/>
        <item m="1" x="202"/>
        <item m="1" x="303"/>
        <item x="4"/>
        <item x="5"/>
        <item x="6"/>
        <item m="1" x="533"/>
        <item m="1" x="295"/>
        <item m="1" x="184"/>
        <item m="1" x="488"/>
        <item x="7"/>
        <item m="1" x="510"/>
        <item x="8"/>
        <item x="9"/>
        <item x="10"/>
        <item m="1" x="426"/>
        <item x="11"/>
        <item x="12"/>
        <item x="13"/>
        <item x="14"/>
        <item m="1" x="413"/>
        <item m="1" x="518"/>
        <item m="1" x="385"/>
        <item m="1" x="392"/>
        <item x="15"/>
        <item x="16"/>
        <item m="1" x="504"/>
        <item x="17"/>
        <item m="1" x="447"/>
        <item m="1" x="481"/>
        <item x="18"/>
        <item x="19"/>
        <item m="1" x="347"/>
        <item m="1" x="354"/>
        <item m="1" x="411"/>
        <item m="1" x="418"/>
        <item m="1" x="186"/>
        <item x="20"/>
        <item m="1" x="277"/>
        <item m="1" x="214"/>
        <item x="21"/>
        <item m="1" x="479"/>
        <item m="1" x="436"/>
        <item x="22"/>
        <item m="1" x="367"/>
        <item m="1" x="267"/>
        <item x="23"/>
        <item m="1" x="219"/>
        <item x="24"/>
        <item m="1" x="265"/>
        <item m="1" x="357"/>
        <item x="25"/>
        <item x="26"/>
        <item x="27"/>
        <item m="1" x="228"/>
        <item m="1" x="485"/>
        <item x="28"/>
        <item m="1" x="469"/>
        <item m="1" x="394"/>
        <item x="29"/>
        <item m="1" x="435"/>
        <item x="30"/>
        <item m="1" x="248"/>
        <item x="31"/>
        <item x="32"/>
        <item x="33"/>
        <item x="34"/>
        <item x="35"/>
        <item m="1" x="482"/>
        <item x="36"/>
        <item m="1" x="226"/>
        <item m="1" x="235"/>
        <item x="37"/>
        <item m="1" x="283"/>
        <item x="38"/>
        <item m="1" x="213"/>
        <item m="1" x="274"/>
        <item m="1" x="425"/>
        <item m="1" x="205"/>
        <item m="1" x="345"/>
        <item m="1" x="532"/>
        <item m="1" x="346"/>
        <item m="1" x="443"/>
        <item m="1" x="331"/>
        <item m="1" x="396"/>
        <item m="1" x="253"/>
        <item x="39"/>
        <item m="1" x="501"/>
        <item m="1" x="387"/>
        <item x="40"/>
        <item m="1" x="355"/>
        <item x="41"/>
        <item x="42"/>
        <item x="43"/>
        <item x="44"/>
        <item x="45"/>
        <item m="1" x="289"/>
        <item m="1" x="475"/>
        <item m="1" x="521"/>
        <item m="1" x="200"/>
        <item m="1" x="376"/>
        <item m="1" x="221"/>
        <item m="1" x="270"/>
        <item x="46"/>
        <item m="1" x="431"/>
        <item m="1" x="292"/>
        <item m="1" x="414"/>
        <item m="1" x="375"/>
        <item m="1" x="471"/>
        <item x="47"/>
        <item m="1" x="393"/>
        <item x="48"/>
        <item m="1" x="494"/>
        <item x="49"/>
        <item x="50"/>
        <item m="1" x="183"/>
        <item x="51"/>
        <item m="1" x="416"/>
        <item x="52"/>
        <item m="1" x="290"/>
        <item m="1" x="341"/>
        <item m="1" x="439"/>
        <item m="1" x="257"/>
        <item m="1" x="340"/>
        <item m="1" x="256"/>
        <item x="53"/>
        <item m="1" x="203"/>
        <item x="54"/>
        <item x="55"/>
        <item x="56"/>
        <item m="1" x="529"/>
        <item x="57"/>
        <item m="1" x="461"/>
        <item m="1" x="415"/>
        <item x="58"/>
        <item m="1" x="238"/>
        <item x="59"/>
        <item x="60"/>
        <item m="1" x="452"/>
        <item m="1" x="457"/>
        <item x="61"/>
        <item m="1" x="508"/>
        <item m="1" x="208"/>
        <item m="1" x="321"/>
        <item m="1" x="390"/>
        <item x="62"/>
        <item m="1" x="293"/>
        <item m="1" x="232"/>
        <item m="1" x="366"/>
        <item m="1" x="310"/>
        <item x="63"/>
        <item m="1" x="400"/>
        <item m="1" x="446"/>
        <item m="1" x="251"/>
        <item x="64"/>
        <item x="65"/>
        <item m="1" x="349"/>
        <item x="66"/>
        <item x="67"/>
        <item m="1" x="259"/>
        <item m="1" x="519"/>
        <item x="68"/>
        <item m="1" x="490"/>
        <item x="69"/>
        <item m="1" x="344"/>
        <item m="1" x="255"/>
        <item x="70"/>
        <item x="71"/>
        <item m="1" x="406"/>
        <item x="72"/>
        <item m="1" x="458"/>
        <item x="73"/>
        <item m="1" x="196"/>
        <item m="1" x="314"/>
        <item m="1" x="419"/>
        <item x="74"/>
        <item x="75"/>
        <item x="76"/>
        <item m="1" x="404"/>
        <item m="1" x="302"/>
        <item m="1" x="372"/>
        <item m="1" x="316"/>
        <item x="77"/>
        <item m="1" x="279"/>
        <item m="1" x="276"/>
        <item m="1" x="361"/>
        <item m="1" x="468"/>
        <item m="1" x="371"/>
        <item m="1" x="258"/>
        <item m="1" x="260"/>
        <item m="1" x="430"/>
        <item m="1" x="187"/>
        <item x="78"/>
        <item x="79"/>
        <item x="80"/>
        <item m="1" x="227"/>
        <item m="1" x="427"/>
        <item x="81"/>
        <item m="1" x="395"/>
        <item m="1" x="407"/>
        <item m="1" x="473"/>
        <item m="1" x="445"/>
        <item m="1" x="405"/>
        <item m="1" x="252"/>
        <item m="1" x="464"/>
        <item x="82"/>
        <item m="1" x="230"/>
        <item x="83"/>
        <item m="1" x="514"/>
        <item m="1" x="456"/>
        <item m="1" x="517"/>
        <item m="1" x="325"/>
        <item m="1" x="422"/>
        <item m="1" x="505"/>
        <item m="1" x="241"/>
        <item x="84"/>
        <item m="1" x="195"/>
        <item m="1" x="233"/>
        <item x="85"/>
        <item m="1" x="286"/>
        <item m="1" x="250"/>
        <item x="86"/>
        <item m="1" x="189"/>
        <item m="1" x="470"/>
        <item x="87"/>
        <item x="88"/>
        <item x="89"/>
        <item m="1" x="465"/>
        <item x="90"/>
        <item x="91"/>
        <item m="1" x="489"/>
        <item m="1" x="268"/>
        <item m="1" x="300"/>
        <item m="1" x="360"/>
        <item x="92"/>
        <item m="1" x="315"/>
        <item m="1" x="263"/>
        <item m="1" x="278"/>
        <item m="1" x="199"/>
        <item m="1" x="486"/>
        <item m="1" x="454"/>
        <item m="1" x="211"/>
        <item m="1" x="317"/>
        <item x="93"/>
        <item m="1" x="298"/>
        <item m="1" x="288"/>
        <item x="94"/>
        <item m="1" x="448"/>
        <item x="95"/>
        <item m="1" x="307"/>
        <item m="1" x="294"/>
        <item m="1" x="450"/>
        <item m="1" x="190"/>
        <item m="1" x="512"/>
        <item x="96"/>
        <item x="97"/>
        <item x="98"/>
        <item m="1" x="516"/>
        <item m="1" x="365"/>
        <item m="1" x="242"/>
        <item m="1" x="377"/>
        <item m="1" x="491"/>
        <item x="99"/>
        <item m="1" x="472"/>
        <item x="100"/>
        <item m="1" x="384"/>
        <item x="101"/>
        <item x="102"/>
        <item m="1" x="309"/>
        <item m="1" x="311"/>
        <item x="103"/>
        <item x="104"/>
        <item m="1" x="291"/>
        <item m="1" x="338"/>
        <item m="1" x="285"/>
        <item m="1" x="306"/>
        <item x="105"/>
        <item m="1" x="386"/>
        <item m="1" x="197"/>
        <item m="1" x="528"/>
        <item m="1" x="223"/>
        <item m="1" x="275"/>
        <item m="1" x="194"/>
        <item x="106"/>
        <item m="1" x="403"/>
        <item m="1" x="525"/>
        <item m="1" x="324"/>
        <item m="1" x="201"/>
        <item m="1" x="243"/>
        <item x="107"/>
        <item m="1" x="434"/>
        <item m="1" x="362"/>
        <item x="108"/>
        <item m="1" x="363"/>
        <item m="1" x="437"/>
        <item m="1" x="339"/>
        <item m="1" x="329"/>
        <item m="1" x="284"/>
        <item m="1" x="441"/>
        <item x="109"/>
        <item m="1" x="244"/>
        <item x="110"/>
        <item m="1" x="225"/>
        <item m="1" x="442"/>
        <item m="1" x="402"/>
        <item m="1" x="333"/>
        <item m="1" x="224"/>
        <item x="111"/>
        <item m="1" x="217"/>
        <item m="1" x="188"/>
        <item x="112"/>
        <item m="1" x="383"/>
        <item x="113"/>
        <item m="1" x="212"/>
        <item m="1" x="313"/>
        <item x="114"/>
        <item m="1" x="507"/>
        <item x="115"/>
        <item x="116"/>
        <item m="1" x="493"/>
        <item x="117"/>
        <item m="1" x="330"/>
        <item m="1" x="389"/>
        <item m="1" x="234"/>
        <item m="1" x="408"/>
        <item x="118"/>
        <item x="119"/>
        <item m="1" x="220"/>
        <item m="1" x="506"/>
        <item m="1" x="391"/>
        <item x="120"/>
        <item m="1" x="266"/>
        <item m="1" x="509"/>
        <item m="1" x="374"/>
        <item x="121"/>
        <item m="1" x="359"/>
        <item m="1" x="305"/>
        <item m="1" x="282"/>
        <item x="122"/>
        <item m="1" x="280"/>
        <item x="123"/>
        <item x="124"/>
        <item m="1" x="356"/>
        <item m="1" x="327"/>
        <item m="1" x="398"/>
        <item m="1" x="246"/>
        <item m="1" x="498"/>
        <item x="125"/>
        <item x="126"/>
        <item m="1" x="451"/>
        <item x="127"/>
        <item m="1" x="530"/>
        <item m="1" x="388"/>
        <item x="128"/>
        <item m="1" x="206"/>
        <item m="1" x="191"/>
        <item m="1" x="322"/>
        <item x="129"/>
        <item m="1" x="417"/>
        <item m="1" x="308"/>
        <item m="1" x="534"/>
        <item m="1" x="440"/>
        <item m="1" x="254"/>
        <item x="130"/>
        <item m="1" x="455"/>
        <item m="1" x="523"/>
        <item x="131"/>
        <item m="1" x="296"/>
        <item x="132"/>
        <item x="133"/>
        <item m="1" x="474"/>
        <item m="1" x="334"/>
        <item m="1" x="531"/>
        <item m="1" x="229"/>
        <item x="134"/>
        <item x="135"/>
        <item m="1" x="535"/>
        <item m="1" x="476"/>
        <item x="136"/>
        <item x="137"/>
        <item m="1" x="239"/>
        <item m="1" x="478"/>
        <item x="138"/>
        <item x="139"/>
        <item x="140"/>
        <item m="1" x="423"/>
        <item m="1" x="401"/>
        <item m="1" x="193"/>
        <item x="141"/>
        <item m="1" x="397"/>
        <item m="1" x="526"/>
        <item x="142"/>
        <item m="1" x="271"/>
        <item x="143"/>
        <item m="1" x="428"/>
        <item x="144"/>
        <item x="145"/>
        <item x="146"/>
        <item x="147"/>
        <item x="148"/>
        <item m="1" x="247"/>
        <item x="149"/>
        <item m="1" x="502"/>
        <item m="1" x="207"/>
        <item m="1" x="222"/>
        <item m="1" x="462"/>
        <item m="1" x="520"/>
        <item m="1" x="410"/>
        <item m="1" x="336"/>
        <item m="1" x="511"/>
        <item m="1" x="328"/>
        <item m="1" x="424"/>
        <item m="1" x="421"/>
        <item m="1" x="499"/>
        <item m="1" x="515"/>
        <item m="1" x="527"/>
        <item m="1" x="379"/>
        <item x="150"/>
        <item m="1" x="369"/>
        <item x="151"/>
        <item m="1" x="237"/>
        <item m="1" x="323"/>
        <item x="152"/>
        <item x="153"/>
        <item x="154"/>
        <item m="1" x="348"/>
        <item m="1" x="236"/>
        <item x="155"/>
        <item x="156"/>
        <item m="1" x="483"/>
        <item m="1" x="420"/>
        <item m="1" x="503"/>
        <item m="1" x="332"/>
        <item m="1" x="204"/>
        <item m="1" x="460"/>
        <item x="157"/>
        <item x="158"/>
        <item m="1" x="326"/>
        <item m="1" x="513"/>
        <item x="159"/>
        <item m="1" x="351"/>
        <item m="1" x="216"/>
        <item m="1" x="262"/>
        <item m="1" x="320"/>
        <item m="1" x="453"/>
        <item m="1" x="272"/>
        <item m="1" x="500"/>
        <item x="160"/>
        <item m="1" x="484"/>
        <item m="1" x="231"/>
        <item m="1" x="399"/>
        <item x="161"/>
        <item m="1" x="304"/>
        <item m="1" x="382"/>
        <item m="1" x="318"/>
        <item m="1" x="319"/>
        <item m="1" x="429"/>
        <item m="1" x="378"/>
        <item m="1" x="269"/>
        <item m="1" x="496"/>
        <item m="1" x="281"/>
        <item m="1" x="495"/>
        <item m="1" x="301"/>
        <item x="162"/>
        <item x="163"/>
        <item m="1" x="353"/>
        <item m="1" x="210"/>
        <item m="1" x="343"/>
        <item m="1" x="312"/>
        <item m="1" x="497"/>
        <item m="1" x="185"/>
        <item m="1" x="350"/>
        <item m="1" x="249"/>
        <item m="1" x="368"/>
        <item m="1" x="438"/>
        <item m="1" x="264"/>
        <item m="1" x="342"/>
        <item m="1" x="198"/>
        <item m="1" x="240"/>
        <item m="1" x="467"/>
        <item x="164"/>
        <item m="1" x="337"/>
        <item m="1" x="524"/>
        <item m="1" x="299"/>
        <item x="165"/>
        <item m="1" x="459"/>
        <item m="1" x="218"/>
        <item m="1" x="466"/>
        <item m="1" x="492"/>
        <item x="166"/>
        <item m="1" x="477"/>
        <item m="1" x="449"/>
        <item m="1" x="409"/>
        <item m="1" x="480"/>
        <item x="167"/>
        <item m="1" x="522"/>
        <item x="168"/>
        <item m="1" x="261"/>
        <item m="1" x="245"/>
        <item m="1" x="412"/>
        <item m="1" x="432"/>
        <item x="169"/>
        <item m="1" x="444"/>
        <item m="1" x="370"/>
        <item x="170"/>
        <item x="171"/>
        <item x="172"/>
        <item m="1" x="287"/>
        <item m="1" x="273"/>
        <item x="173"/>
        <item m="1" x="487"/>
        <item x="174"/>
        <item m="1" x="463"/>
        <item x="175"/>
        <item m="1" x="335"/>
        <item x="176"/>
        <item m="1" x="380"/>
        <item m="1" x="364"/>
        <item x="177"/>
        <item x="178"/>
        <item x="179"/>
        <item x="180"/>
        <item m="1" x="181"/>
        <item t="default"/>
      </items>
    </pivotField>
    <pivotField axis="axisPage" multipleItemSelectionAllowed="1" showAll="0">
      <items count="41">
        <item h="1" x="2"/>
        <item h="1" x="7"/>
        <item h="1" x="3"/>
        <item h="1" m="1" x="35"/>
        <item h="1" x="20"/>
        <item h="1" m="1" x="32"/>
        <item h="1" x="5"/>
        <item h="1" x="6"/>
        <item h="1" x="11"/>
        <item h="1" x="15"/>
        <item h="1" m="1" x="30"/>
        <item h="1" x="1"/>
        <item h="1" x="16"/>
        <item h="1" x="21"/>
        <item h="1" x="19"/>
        <item h="1" x="8"/>
        <item h="1" x="0"/>
        <item h="1" x="9"/>
        <item h="1" x="13"/>
        <item h="1" x="4"/>
        <item h="1" x="10"/>
        <item h="1" m="1" x="38"/>
        <item h="1" m="1" x="33"/>
        <item h="1" m="1" x="26"/>
        <item h="1" x="12"/>
        <item h="1" m="1" x="28"/>
        <item h="1" m="1" x="36"/>
        <item h="1" m="1" x="37"/>
        <item h="1" m="1" x="29"/>
        <item h="1" m="1" x="39"/>
        <item h="1" m="1" x="23"/>
        <item h="1" m="1" x="31"/>
        <item m="1" x="25"/>
        <item h="1" x="17"/>
        <item h="1" m="1" x="34"/>
        <item h="1" x="14"/>
        <item h="1" m="1" x="24"/>
        <item h="1" m="1" x="27"/>
        <item h="1" x="18"/>
        <item h="1" x="22"/>
        <item t="default"/>
      </items>
    </pivotField>
    <pivotField showAll="0"/>
    <pivotField numFmtId="4" showAll="0"/>
    <pivotField numFmtId="4" showAll="0"/>
    <pivotField dataField="1" numFmtId="4" showAll="0"/>
    <pivotField numFmtId="4" showAll="0"/>
    <pivotField numFmtId="4" showAll="0"/>
    <pivotField numFmtId="166" showAll="0"/>
    <pivotField showAll="0"/>
    <pivotField showAll="0"/>
    <pivotField showAll="0"/>
    <pivotField showAll="0"/>
  </pivotFields>
  <rowFields count="1">
    <field x="2"/>
  </rowFields>
  <rowItems count="1">
    <i t="grand">
      <x/>
    </i>
  </rowItems>
  <colItems count="1">
    <i/>
  </colItems>
  <pageFields count="1">
    <pageField fld="3" hier="-1"/>
  </pageFields>
  <dataFields count="1">
    <dataField name="Total" fld="7" baseField="0" baseItem="0" numFmtId="44"/>
  </dataFields>
  <formats count="2">
    <format dxfId="208">
      <pivotArea field="2" type="button" dataOnly="0" labelOnly="1" outline="0" axis="axisRow" fieldPosition="0"/>
    </format>
    <format dxfId="207">
      <pivotArea dataOnly="0" labelOnly="1" outline="0" axis="axisValues" fieldPosition="0"/>
    </format>
  </formats>
  <pivotTableStyleInfo name="PivotStyleLight16" showRowHeaders="1" showColHeaders="1" showRowStripes="1" showColStripes="0" showLastColumn="1"/>
  <filters count="1">
    <filter fld="2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2309E3-26B1-A34B-9A4E-6E4D7542A03E}" name="PivotTable5" cacheId="4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A4:B5" firstHeaderRow="1" firstDataRow="1" firstDataCol="1" rowPageCount="1" colPageCount="1"/>
  <pivotFields count="15">
    <pivotField axis="axisRow" showAll="0">
      <items count="71">
        <item x="56"/>
        <item x="64"/>
        <item x="57"/>
        <item x="65"/>
        <item x="25"/>
        <item x="34"/>
        <item x="36"/>
        <item x="30"/>
        <item x="21"/>
        <item x="52"/>
        <item x="13"/>
        <item x="44"/>
        <item x="14"/>
        <item x="22"/>
        <item x="16"/>
        <item x="29"/>
        <item x="2"/>
        <item x="8"/>
        <item x="51"/>
        <item x="20"/>
        <item x="26"/>
        <item x="35"/>
        <item x="19"/>
        <item x="6"/>
        <item x="61"/>
        <item x="4"/>
        <item x="43"/>
        <item x="11"/>
        <item x="54"/>
        <item x="33"/>
        <item x="38"/>
        <item x="39"/>
        <item x="63"/>
        <item x="17"/>
        <item x="55"/>
        <item x="0"/>
        <item x="1"/>
        <item m="1" x="67"/>
        <item x="46"/>
        <item x="45"/>
        <item x="24"/>
        <item x="18"/>
        <item x="50"/>
        <item x="58"/>
        <item x="59"/>
        <item x="7"/>
        <item x="47"/>
        <item x="31"/>
        <item x="53"/>
        <item x="48"/>
        <item x="23"/>
        <item x="27"/>
        <item x="32"/>
        <item x="37"/>
        <item x="49"/>
        <item m="1" x="68"/>
        <item m="1" x="69"/>
        <item x="3"/>
        <item x="9"/>
        <item x="60"/>
        <item x="28"/>
        <item x="10"/>
        <item x="66"/>
        <item x="62"/>
        <item x="40"/>
        <item x="41"/>
        <item x="42"/>
        <item x="12"/>
        <item x="15"/>
        <item x="5"/>
        <item t="default"/>
      </items>
    </pivotField>
    <pivotField showAll="0"/>
    <pivotField showAll="0"/>
    <pivotField axis="axisPage" multipleItemSelectionAllowed="1" showAll="0">
      <items count="49">
        <item h="1" x="10"/>
        <item h="1" x="15"/>
        <item h="1" x="17"/>
        <item h="1" x="5"/>
        <item h="1" x="7"/>
        <item h="1" m="1" x="18"/>
        <item h="1" x="6"/>
        <item h="1" x="12"/>
        <item h="1" x="14"/>
        <item h="1" m="1" x="36"/>
        <item h="1" x="3"/>
        <item h="1" x="8"/>
        <item h="1" x="9"/>
        <item h="1" m="1" x="41"/>
        <item h="1" m="1" x="42"/>
        <item h="1" x="13"/>
        <item h="1" x="0"/>
        <item h="1" m="1" x="23"/>
        <item h="1" m="1" x="45"/>
        <item h="1" m="1" x="47"/>
        <item h="1" x="1"/>
        <item h="1" m="1" x="39"/>
        <item h="1" x="4"/>
        <item h="1" m="1" x="44"/>
        <item h="1" m="1" x="46"/>
        <item h="1" x="2"/>
        <item h="1" m="1" x="40"/>
        <item h="1" x="11"/>
        <item h="1" m="1" x="34"/>
        <item h="1" m="1" x="21"/>
        <item h="1" m="1" x="31"/>
        <item h="1" m="1" x="33"/>
        <item h="1" m="1" x="22"/>
        <item m="1" x="20"/>
        <item h="1" m="1" x="26"/>
        <item h="1" m="1" x="27"/>
        <item h="1" m="1" x="19"/>
        <item h="1" x="16"/>
        <item h="1" m="1" x="43"/>
        <item h="1" m="1" x="24"/>
        <item h="1" m="1" x="25"/>
        <item h="1" m="1" x="28"/>
        <item h="1" m="1" x="29"/>
        <item h="1" m="1" x="30"/>
        <item h="1" m="1" x="32"/>
        <item h="1" m="1" x="35"/>
        <item h="1" m="1" x="37"/>
        <item h="1" m="1" x="38"/>
        <item t="default"/>
      </items>
    </pivotField>
    <pivotField axis="axisRow" showAll="0" sortType="ascending">
      <items count="2742">
        <item m="1" x="956"/>
        <item m="1" x="1464"/>
        <item m="1" x="2141"/>
        <item m="1" x="272"/>
        <item m="1" x="870"/>
        <item m="1" x="575"/>
        <item m="1" x="2057"/>
        <item m="1" x="1442"/>
        <item m="1" x="361"/>
        <item m="1" x="118"/>
        <item m="1" x="1346"/>
        <item m="1" x="725"/>
        <item m="1" x="1254"/>
        <item m="1" x="282"/>
        <item m="1" x="2036"/>
        <item m="1" x="2157"/>
        <item m="1" x="1796"/>
        <item m="1" x="951"/>
        <item m="1" x="1887"/>
        <item m="1" x="1870"/>
        <item m="1" x="2717"/>
        <item x="5"/>
        <item m="1" x="491"/>
        <item m="1" x="1549"/>
        <item m="1" x="1484"/>
        <item m="1" x="727"/>
        <item m="1" x="1288"/>
        <item m="1" x="1739"/>
        <item m="1" x="804"/>
        <item m="1" x="451"/>
        <item m="1" x="1888"/>
        <item x="12"/>
        <item m="1" x="2159"/>
        <item m="1" x="1623"/>
        <item m="1" x="2037"/>
        <item m="1" x="78"/>
        <item m="1" x="2611"/>
        <item m="1" x="1378"/>
        <item m="1" x="1556"/>
        <item m="1" x="959"/>
        <item m="1" x="177"/>
        <item m="1" x="2038"/>
        <item m="1" x="1737"/>
        <item m="1" x="2160"/>
        <item m="1" x="2161"/>
        <item m="1" x="357"/>
        <item m="1" x="1142"/>
        <item m="1" x="1003"/>
        <item m="1" x="2688"/>
        <item m="1" x="2162"/>
        <item m="1" x="1096"/>
        <item m="1" x="1016"/>
        <item m="1" x="2039"/>
        <item m="1" x="88"/>
        <item m="1" x="1738"/>
        <item m="1" x="2163"/>
        <item m="1" x="1459"/>
        <item m="1" x="2164"/>
        <item m="1" x="2153"/>
        <item m="1" x="89"/>
        <item m="1" x="2165"/>
        <item m="1" x="730"/>
        <item m="1" x="1630"/>
        <item m="1" x="1005"/>
        <item m="1" x="2166"/>
        <item m="1" x="1348"/>
        <item m="1" x="1006"/>
        <item m="1" x="731"/>
        <item m="1" x="1651"/>
        <item m="1" x="2167"/>
        <item m="1" x="1008"/>
        <item m="1" x="2168"/>
        <item m="1" x="1367"/>
        <item m="1" x="2146"/>
        <item m="1" x="90"/>
        <item m="1" x="2169"/>
        <item m="1" x="266"/>
        <item m="1" x="922"/>
        <item m="1" x="442"/>
        <item m="1" x="364"/>
        <item m="1" x="732"/>
        <item m="1" x="1555"/>
        <item m="1" x="2170"/>
        <item m="1" x="418"/>
        <item m="1" x="887"/>
        <item m="1" x="265"/>
        <item m="1" x="292"/>
        <item m="1" x="2171"/>
        <item m="1" x="68"/>
        <item m="1" x="521"/>
        <item m="1" x="616"/>
        <item m="1" x="2484"/>
        <item m="1" x="617"/>
        <item m="1" x="284"/>
        <item m="1" x="2172"/>
        <item m="1" x="2659"/>
        <item m="1" x="1617"/>
        <item m="1" x="1363"/>
        <item m="1" x="2173"/>
        <item m="1" x="232"/>
        <item m="1" x="2174"/>
        <item m="1" x="2175"/>
        <item m="1" x="2176"/>
        <item m="1" x="2040"/>
        <item m="1" x="562"/>
        <item m="1" x="1476"/>
        <item m="1" x="242"/>
        <item m="1" x="181"/>
        <item m="1" x="1465"/>
        <item m="1" x="2678"/>
        <item m="1" x="1482"/>
        <item m="1" x="815"/>
        <item m="1" x="1128"/>
        <item m="1" x="2489"/>
        <item m="1" x="2177"/>
        <item m="1" x="2385"/>
        <item m="1" x="1129"/>
        <item m="1" x="2178"/>
        <item m="1" x="2181"/>
        <item m="1" x="1012"/>
        <item m="1" x="890"/>
        <item m="1" x="2182"/>
        <item m="1" x="1874"/>
        <item m="1" x="2183"/>
        <item m="1" x="1727"/>
        <item m="1" x="2184"/>
        <item m="1" x="1408"/>
        <item m="1" x="238"/>
        <item m="1" x="2185"/>
        <item m="1" x="93"/>
        <item m="1" x="1041"/>
        <item m="1" x="734"/>
        <item m="1" x="1042"/>
        <item m="1" x="1309"/>
        <item m="1" x="1399"/>
        <item m="1" x="1547"/>
        <item m="1" x="2186"/>
        <item m="1" x="344"/>
        <item m="1" x="94"/>
        <item m="1" x="2187"/>
        <item m="1" x="2188"/>
        <item m="1" x="983"/>
        <item m="1" x="2041"/>
        <item m="1" x="547"/>
        <item m="1" x="1359"/>
        <item m="1" x="1303"/>
        <item m="1" x="1552"/>
        <item m="1" x="981"/>
        <item m="1" x="54"/>
        <item m="1" x="255"/>
        <item m="1" x="497"/>
        <item m="1" x="2190"/>
        <item m="1" x="2191"/>
        <item m="1" x="2192"/>
        <item m="1" x="2650"/>
        <item m="1" x="621"/>
        <item m="1" x="1045"/>
        <item m="1" x="880"/>
        <item m="1" x="1046"/>
        <item m="1" x="274"/>
        <item m="1" x="1047"/>
        <item m="1" x="2193"/>
        <item m="1" x="1049"/>
        <item m="1" x="1050"/>
        <item m="1" x="1962"/>
        <item m="1" x="735"/>
        <item m="1" x="2194"/>
        <item m="1" x="2083"/>
        <item m="1" x="2682"/>
        <item m="1" x="287"/>
        <item m="1" x="432"/>
        <item m="1" x="472"/>
        <item m="1" x="1868"/>
        <item m="1" x="419"/>
        <item m="1" x="2389"/>
        <item m="1" x="1052"/>
        <item m="1" x="1053"/>
        <item m="1" x="2618"/>
        <item m="1" x="2637"/>
        <item m="1" x="2641"/>
        <item m="1" x="366"/>
        <item m="1" x="296"/>
        <item m="1" x="1218"/>
        <item m="1" x="1151"/>
        <item m="1" x="620"/>
        <item m="1" x="1344"/>
        <item m="1" x="1203"/>
        <item m="1" x="2195"/>
        <item m="1" x="736"/>
        <item m="1" x="538"/>
        <item m="1" x="2196"/>
        <item m="1" x="1200"/>
        <item m="1" x="1873"/>
        <item m="1" x="1744"/>
        <item m="1" x="2197"/>
        <item m="1" x="1505"/>
        <item m="1" x="622"/>
        <item m="1" x="2261"/>
        <item m="1" x="2000"/>
        <item m="1" x="374"/>
        <item m="1" x="1741"/>
        <item m="1" x="1948"/>
        <item m="1" x="1056"/>
        <item m="1" x="304"/>
        <item m="1" x="498"/>
        <item m="1" x="737"/>
        <item m="1" x="2042"/>
        <item m="1" x="2198"/>
        <item m="1" x="1643"/>
        <item m="1" x="1475"/>
        <item m="1" x="738"/>
        <item m="1" x="1058"/>
        <item m="1" x="1863"/>
        <item m="1" x="2635"/>
        <item m="1" x="97"/>
        <item m="1" x="739"/>
        <item m="1" x="516"/>
        <item m="1" x="807"/>
        <item m="1" x="2651"/>
        <item m="1" x="2115"/>
        <item m="1" x="625"/>
        <item m="1" x="1978"/>
        <item m="1" x="2043"/>
        <item m="1" x="895"/>
        <item m="1" x="626"/>
        <item m="1" x="1063"/>
        <item m="1" x="1253"/>
        <item m="1" x="1393"/>
        <item m="1" x="1020"/>
        <item m="1" x="492"/>
        <item m="1" x="1804"/>
        <item m="1" x="2085"/>
        <item m="1" x="1900"/>
        <item m="1" x="1886"/>
        <item m="1" x="573"/>
        <item m="1" x="2638"/>
        <item m="1" x="628"/>
        <item m="1" x="2508"/>
        <item m="1" x="464"/>
        <item m="1" x="1224"/>
        <item m="1" x="2002"/>
        <item m="1" x="1500"/>
        <item m="1" x="2199"/>
        <item m="1" x="448"/>
        <item m="1" x="412"/>
        <item m="1" x="98"/>
        <item m="1" x="1575"/>
        <item m="1" x="2601"/>
        <item m="1" x="1508"/>
        <item m="1" x="741"/>
        <item m="1" x="2200"/>
        <item m="1" x="175"/>
        <item m="1" x="1349"/>
        <item m="1" x="1622"/>
        <item m="1" x="2080"/>
        <item m="1" x="806"/>
        <item m="1" x="1981"/>
        <item m="1" x="594"/>
        <item m="1" x="2201"/>
        <item m="1" x="1947"/>
        <item m="1" x="1069"/>
        <item sd="0" m="1" x="47"/>
        <item m="1" x="1382"/>
        <item m="1" x="1701"/>
        <item m="1" x="2681"/>
        <item m="1" x="1355"/>
        <item m="1" x="2202"/>
        <item m="1" x="1364"/>
        <item m="1" x="743"/>
        <item m="1" x="1072"/>
        <item m="1" x="1327"/>
        <item m="1" x="1240"/>
        <item m="1" x="250"/>
        <item m="1" x="2704"/>
        <item sd="0" m="1" x="301"/>
        <item sd="0" m="1" x="2726"/>
        <item m="1" x="2572"/>
        <item m="1" x="744"/>
        <item m="1" x="2018"/>
        <item m="1" x="1073"/>
        <item m="1" x="745"/>
        <item m="1" x="746"/>
        <item m="1" x="2204"/>
        <item m="1" x="1137"/>
        <item m="1" x="2205"/>
        <item m="1" x="529"/>
        <item m="1" x="577"/>
        <item m="1" x="215"/>
        <item m="1" x="499"/>
        <item m="1" x="1418"/>
        <item m="1" x="1940"/>
        <item m="1" x="474"/>
        <item m="1" x="986"/>
        <item m="1" x="72"/>
        <item m="1" x="1388"/>
        <item m="1" x="2206"/>
        <item m="1" x="99"/>
        <item m="1" x="1330"/>
        <item m="1" x="1237"/>
        <item m="1" x="1282"/>
        <item m="1" x="1294"/>
        <item m="1" x="2207"/>
        <item m="1" x="2208"/>
        <item m="1" x="811"/>
        <item m="1" x="747"/>
        <item m="1" x="1310"/>
        <item m="1" x="2081"/>
        <item m="1" x="1771"/>
        <item m="1" x="449"/>
        <item m="1" x="1341"/>
        <item m="1" x="1878"/>
        <item m="1" x="159"/>
        <item m="1" x="576"/>
        <item m="1" x="551"/>
        <item m="1" x="2209"/>
        <item m="1" x="2003"/>
        <item m="1" x="1078"/>
        <item m="1" x="2210"/>
        <item m="1" x="1453"/>
        <item m="1" x="1935"/>
        <item m="1" x="251"/>
        <item m="1" x="1574"/>
        <item m="1" x="1306"/>
        <item m="1" x="1905"/>
        <item m="1" x="1652"/>
        <item m="1" x="313"/>
        <item sd="0" m="1" x="631"/>
        <item m="1" x="1079"/>
        <item m="1" x="526"/>
        <item m="1" x="1757"/>
        <item m="1" x="2211"/>
        <item m="1" x="1037"/>
        <item m="1" x="561"/>
        <item m="1" x="926"/>
        <item m="1" x="2577"/>
        <item m="1" x="2212"/>
        <item m="1" x="1360"/>
        <item m="1" x="2086"/>
        <item m="1" x="1377"/>
        <item m="1" x="2213"/>
        <item m="1" x="100"/>
        <item m="1" x="476"/>
        <item m="1" x="1336"/>
        <item m="1" x="1907"/>
        <item m="1" x="1956"/>
        <item m="1" x="1909"/>
        <item m="1" x="452"/>
        <item m="1" x="109"/>
        <item m="1" x="399"/>
        <item m="1" x="1083"/>
        <item m="1" x="2214"/>
        <item m="1" x="1085"/>
        <item m="1" x="748"/>
        <item m="1" x="2215"/>
        <item m="1" x="2589"/>
        <item m="1" x="1087"/>
        <item m="1" x="254"/>
        <item m="1" x="2563"/>
        <item m="1" x="749"/>
        <item m="1" x="1088"/>
        <item m="1" x="2581"/>
        <item m="1" x="81"/>
        <item m="1" x="1095"/>
        <item m="1" x="158"/>
        <item m="1" x="950"/>
        <item m="1" x="979"/>
        <item m="1" x="1098"/>
        <item sd="0" m="1" x="2571"/>
        <item m="1" x="1084"/>
        <item x="38"/>
        <item m="1" x="2630"/>
        <item m="1" x="103"/>
        <item m="1" x="2716"/>
        <item m="1" x="633"/>
        <item m="1" x="1438"/>
        <item m="1" x="1147"/>
        <item m="1" x="1520"/>
        <item m="1" x="1149"/>
        <item m="1" x="102"/>
        <item m="1" x="1091"/>
        <item m="1" x="115"/>
        <item sd="0" m="1" x="116"/>
        <item m="1" x="1152"/>
        <item m="1" x="618"/>
        <item m="1" x="1380"/>
        <item m="1" x="117"/>
        <item m="1" x="649"/>
        <item m="1" x="648"/>
        <item m="1" x="1089"/>
        <item m="1" x="2670"/>
        <item m="1" x="2216"/>
        <item m="1" x="1090"/>
        <item m="1" x="2004"/>
        <item m="1" x="1021"/>
        <item m="1" x="523"/>
        <item m="1" x="578"/>
        <item m="1" x="1764"/>
        <item m="1" x="908"/>
        <item m="1" x="2560"/>
        <item m="1" x="1803"/>
        <item m="1" x="2242"/>
        <item m="1" x="49"/>
        <item m="1" x="2044"/>
        <item m="1" x="1397"/>
        <item m="1" x="2649"/>
        <item m="1" x="2217"/>
        <item m="1" x="1163"/>
        <item m="1" x="148"/>
        <item m="1" x="2596"/>
        <item m="1" x="167"/>
        <item m="1" x="970"/>
        <item m="1" x="1094"/>
        <item m="1" x="2218"/>
        <item m="1" x="1898"/>
        <item m="1" x="2219"/>
        <item m="1" x="883"/>
        <item m="1" x="873"/>
        <item m="1" x="2600"/>
        <item m="1" x="2380"/>
        <item m="1" x="1932"/>
        <item m="1" x="1062"/>
        <item m="1" x="2220"/>
        <item m="1" x="1952"/>
        <item m="1" x="1082"/>
        <item m="1" x="1289"/>
        <item sd="0" m="1" x="2721"/>
        <item m="1" x="106"/>
        <item m="1" x="360"/>
        <item m="1" x="1998"/>
        <item m="1" x="2339"/>
        <item m="1" x="2667"/>
        <item m="1" x="545"/>
        <item m="1" x="2087"/>
        <item m="1" x="751"/>
        <item m="1" x="107"/>
        <item m="1" x="509"/>
        <item m="1" x="259"/>
        <item m="1" x="1097"/>
        <item m="1" x="1080"/>
        <item x="10"/>
        <item m="1" x="2559"/>
        <item m="1" x="1621"/>
        <item m="1" x="753"/>
        <item m="1" x="331"/>
        <item m="1" x="932"/>
        <item x="22"/>
        <item x="1"/>
        <item m="1" x="2221"/>
        <item m="1" x="2222"/>
        <item m="1" x="369"/>
        <item m="1" x="453"/>
        <item m="1" x="58"/>
        <item m="1" x="437"/>
        <item m="1" x="1687"/>
        <item m="1" x="1099"/>
        <item m="1" x="2224"/>
        <item m="1" x="2045"/>
        <item m="1" x="2608"/>
        <item m="1" x="1783"/>
        <item m="1" x="1885"/>
        <item m="1" x="636"/>
        <item m="1" x="108"/>
        <item m="1" x="52"/>
        <item m="1" x="1103"/>
        <item x="18"/>
        <item m="1" x="1993"/>
        <item m="1" x="2016"/>
        <item m="1" x="1911"/>
        <item m="1" x="593"/>
        <item m="1" x="754"/>
        <item m="1" x="755"/>
        <item m="1" x="407"/>
        <item m="1" x="356"/>
        <item m="1" x="1104"/>
        <item m="1" x="2225"/>
        <item m="1" x="1105"/>
        <item m="1" x="756"/>
        <item m="1" x="2158"/>
        <item m="1" x="752"/>
        <item m="1" x="2046"/>
        <item m="1" x="2226"/>
        <item m="1" x="1913"/>
        <item m="1" x="2150"/>
        <item m="1" x="919"/>
        <item m="1" x="2020"/>
        <item m="1" x="208"/>
        <item m="1" x="1708"/>
        <item m="1" x="1111"/>
        <item m="1" x="454"/>
        <item m="1" x="1112"/>
        <item m="1" x="309"/>
        <item m="1" x="1869"/>
        <item m="1" x="302"/>
        <item m="1" x="852"/>
        <item m="1" x="1205"/>
        <item m="1" x="1113"/>
        <item m="1" x="713"/>
        <item m="1" x="638"/>
        <item m="1" x="1210"/>
        <item m="1" x="1070"/>
        <item m="1" x="1805"/>
        <item m="1" x="1806"/>
        <item m="1" x="216"/>
        <item m="1" x="1809"/>
        <item m="1" x="875"/>
        <item m="1" x="2669"/>
        <item m="1" x="1126"/>
        <item m="1" x="110"/>
        <item m="1" x="1054"/>
        <item m="1" x="1830"/>
        <item m="1" x="1832"/>
        <item m="1" x="1818"/>
        <item m="1" x="1106"/>
        <item x="19"/>
        <item m="1" x="1043"/>
        <item m="1" x="1712"/>
        <item x="33"/>
        <item m="1" x="1615"/>
        <item m="1" x="1810"/>
        <item m="1" x="1114"/>
        <item m="1" x="1143"/>
        <item m="1" x="1535"/>
        <item m="1" x="1812"/>
        <item m="1" x="2088"/>
        <item m="1" x="1813"/>
        <item m="1" x="111"/>
        <item m="1" x="2228"/>
        <item m="1" x="1000"/>
        <item m="1" x="2229"/>
        <item m="1" x="2578"/>
        <item m="1" x="2230"/>
        <item m="1" x="1030"/>
        <item m="1" x="2564"/>
        <item m="1" x="946"/>
        <item m="1" x="2231"/>
        <item m="1" x="50"/>
        <item m="1" x="378"/>
        <item m="1" x="2232"/>
        <item m="1" x="2456"/>
        <item m="1" x="276"/>
        <item m="1" x="758"/>
        <item m="1" x="1010"/>
        <item m="1" x="1120"/>
        <item m="1" x="900"/>
        <item m="1" x="2663"/>
        <item m="1" x="2233"/>
        <item m="1" x="1015"/>
        <item m="1" x="1026"/>
        <item m="1" x="641"/>
        <item m="1" x="642"/>
        <item m="1" x="597"/>
        <item m="1" x="2606"/>
        <item m="1" x="643"/>
        <item m="1" x="1918"/>
        <item m="1" x="635"/>
        <item m="1" x="1123"/>
        <item m="1" x="2234"/>
        <item m="1" x="112"/>
        <item m="1" x="1742"/>
        <item m="1" x="878"/>
        <item m="1" x="2235"/>
        <item m="1" x="1984"/>
        <item m="1" x="2007"/>
        <item m="1" x="2236"/>
        <item m="1" x="759"/>
        <item m="1" x="933"/>
        <item m="1" x="436"/>
        <item m="1" x="2664"/>
        <item m="1" x="2078"/>
        <item m="1" x="1775"/>
        <item m="1" x="2586"/>
        <item m="1" x="475"/>
        <item m="1" x="1109"/>
        <item m="1" x="2674"/>
        <item m="1" x="2657"/>
        <item m="1" x="1700"/>
        <item m="1" x="539"/>
        <item m="1" x="455"/>
        <item m="1" x="952"/>
        <item m="1" x="315"/>
        <item m="1" x="408"/>
        <item m="1" x="867"/>
        <item m="1" x="2506"/>
        <item m="1" x="114"/>
        <item m="1" x="2237"/>
        <item m="1" x="1402"/>
        <item m="1" x="164"/>
        <item m="1" x="645"/>
        <item m="1" x="1638"/>
        <item m="1" x="1139"/>
        <item m="1" x="1146"/>
        <item m="1" x="554"/>
        <item m="1" x="2634"/>
        <item m="1" x="994"/>
        <item m="1" x="2465"/>
        <item m="1" x="1406"/>
        <item m="1" x="1236"/>
        <item m="1" x="1959"/>
        <item m="1" x="1247"/>
        <item m="1" x="1481"/>
        <item m="1" x="1876"/>
        <item m="1" x="1141"/>
        <item m="1" x="1065"/>
        <item m="1" x="646"/>
        <item sd="0" m="1" x="2731"/>
        <item m="1" x="1573"/>
        <item m="1" x="647"/>
        <item m="1" x="2239"/>
        <item m="1" x="126"/>
        <item m="1" x="96"/>
        <item m="1" x="1329"/>
        <item m="1" x="760"/>
        <item m="1" x="1270"/>
        <item m="1" x="2558"/>
        <item m="1" x="869"/>
        <item m="1" x="1145"/>
        <item m="1" x="1510"/>
        <item x="20"/>
        <item m="1" x="1175"/>
        <item m="1" x="1795"/>
        <item m="1" x="1124"/>
        <item m="1" x="1802"/>
        <item sd="0" x="7"/>
        <item x="37"/>
        <item m="1" x="1298"/>
        <item m="1" x="1339"/>
        <item m="1" x="1816"/>
        <item m="1" x="1762"/>
        <item m="1" x="1532"/>
        <item m="1" x="2240"/>
        <item m="1" x="871"/>
        <item m="1" x="2718"/>
        <item m="1" x="91"/>
        <item m="1" x="2241"/>
        <item m="1" x="2030"/>
        <item m="1" x="1672"/>
        <item m="1" x="761"/>
        <item m="1" x="2089"/>
        <item m="1" x="2227"/>
        <item m="1" x="762"/>
        <item m="1" x="1148"/>
        <item m="1" x="316"/>
        <item m="1" x="2633"/>
        <item m="1" x="1242"/>
        <item m="1" x="260"/>
        <item m="1" x="1412"/>
        <item m="1" x="1384"/>
        <item m="1" x="763"/>
        <item m="1" x="1682"/>
        <item m="1" x="385"/>
        <item m="1" x="591"/>
        <item m="1" x="1565"/>
        <item m="1" x="2243"/>
        <item m="1" x="1153"/>
        <item m="1" x="500"/>
        <item m="1" x="2552"/>
        <item m="1" x="217"/>
        <item m="1" x="1229"/>
        <item m="1" x="373"/>
        <item m="1" x="433"/>
        <item m="1" x="2632"/>
        <item m="1" x="1092"/>
        <item m="1" x="1241"/>
        <item m="1" x="1743"/>
        <item sd="0" m="1" x="244"/>
        <item m="1" x="444"/>
        <item m="1" x="2047"/>
        <item m="1" x="1403"/>
        <item m="1" x="1644"/>
        <item m="1" x="1158"/>
        <item m="1" x="1612"/>
        <item m="1" x="372"/>
        <item m="1" x="2588"/>
        <item m="1" x="1872"/>
        <item m="1" x="1478"/>
        <item m="1" x="2244"/>
        <item m="1" x="1865"/>
        <item m="1" x="319"/>
        <item m="1" x="303"/>
        <item m="1" x="1879"/>
        <item m="1" x="2351"/>
        <item m="1" x="1875"/>
        <item sd="0" m="1" x="2090"/>
        <item m="1" x="2245"/>
        <item m="1" x="2072"/>
        <item m="1" x="2374"/>
        <item m="1" x="2091"/>
        <item m="1" x="311"/>
        <item m="1" x="2246"/>
        <item m="1" x="2247"/>
        <item m="1" x="333"/>
        <item m="1" x="765"/>
        <item m="1" x="1318"/>
        <item m="1" x="2248"/>
        <item m="1" x="1276"/>
        <item m="1" x="650"/>
        <item m="1" x="2557"/>
        <item m="1" x="997"/>
        <item m="1" x="1130"/>
        <item m="1" x="2249"/>
        <item m="1" x="1362"/>
        <item m="1" x="1836"/>
        <item m="1" x="131"/>
        <item m="1" x="202"/>
        <item m="1" x="2250"/>
        <item m="1" x="321"/>
        <item m="1" x="146"/>
        <item m="1" x="2697"/>
        <item m="1" x="652"/>
        <item m="1" x="740"/>
        <item m="1" x="920"/>
        <item m="1" x="291"/>
        <item m="1" x="1170"/>
        <item m="1" x="513"/>
        <item m="1" x="2251"/>
        <item m="1" x="1899"/>
        <item m="1" x="766"/>
        <item sd="0" m="1" x="456"/>
        <item m="1" x="1171"/>
        <item m="1" x="2687"/>
        <item m="1" x="1172"/>
        <item m="1" x="1439"/>
        <item m="1" x="2252"/>
        <item m="1" x="1544"/>
        <item m="1" x="2143"/>
        <item m="1" x="653"/>
        <item m="1" x="615"/>
        <item m="1" x="2615"/>
        <item m="1" x="550"/>
        <item m="1" x="1174"/>
        <item m="1" x="2253"/>
        <item m="1" x="2254"/>
        <item sd="0" m="1" x="445"/>
        <item m="1" x="290"/>
        <item m="1" x="1305"/>
        <item m="1" x="1930"/>
        <item m="1" x="767"/>
        <item m="1" x="992"/>
        <item m="1" x="2565"/>
        <item m="1" x="2658"/>
        <item m="1" x="1915"/>
        <item m="1" x="1221"/>
        <item m="1" x="411"/>
        <item m="1" x="2257"/>
        <item m="1" x="1211"/>
        <item m="1" x="2258"/>
        <item m="1" x="1931"/>
        <item m="1" x="84"/>
        <item m="1" x="1745"/>
        <item m="1" x="1135"/>
        <item m="1" x="2092"/>
        <item m="1" x="654"/>
        <item m="1" x="1413"/>
        <item m="1" x="1131"/>
        <item m="1" x="1215"/>
        <item m="1" x="947"/>
        <item m="1" x="1668"/>
        <item m="1" x="1179"/>
        <item m="1" x="85"/>
        <item m="1" x="553"/>
        <item m="1" x="768"/>
        <item m="1" x="1194"/>
        <item sd="0" x="31"/>
        <item m="1" x="1140"/>
        <item m="1" x="655"/>
        <item m="1" x="233"/>
        <item m="1" x="769"/>
        <item x="27"/>
        <item m="1" x="1627"/>
        <item m="1" x="945"/>
        <item m="1" x="1746"/>
        <item m="1" x="322"/>
        <item m="1" x="1747"/>
        <item m="1" x="1664"/>
        <item m="1" x="1515"/>
        <item m="1" x="1600"/>
        <item m="1" x="1181"/>
        <item m="1" x="1877"/>
        <item m="1" x="2073"/>
        <item m="1" x="891"/>
        <item m="1" x="574"/>
        <item m="1" x="2262"/>
        <item m="1" x="1748"/>
        <item m="1" x="570"/>
        <item m="1" x="2093"/>
        <item m="1" x="2263"/>
        <item m="1" x="1183"/>
        <item m="1" x="2642"/>
        <item m="1" x="171"/>
        <item sd="0" m="1" x="256"/>
        <item m="1" x="1405"/>
        <item m="1" x="1531"/>
        <item m="1" x="488"/>
        <item m="1" x="443"/>
        <item m="1" x="122"/>
        <item m="1" x="1186"/>
        <item m="1" x="2264"/>
        <item m="1" x="326"/>
        <item m="1" x="2265"/>
        <item m="1" x="327"/>
        <item m="1" x="978"/>
        <item m="1" x="2266"/>
        <item m="1" x="248"/>
        <item m="1" x="534"/>
        <item m="1" x="1506"/>
        <item m="1" x="2077"/>
        <item m="1" x="1498"/>
        <item m="1" x="1287"/>
        <item m="1" x="156"/>
        <item m="1" x="394"/>
        <item m="1" x="1361"/>
        <item m="1" x="1592"/>
        <item m="1" x="1492"/>
        <item m="1" x="1468"/>
        <item m="1" x="2580"/>
        <item m="1" x="1568"/>
        <item m="1" x="2026"/>
        <item m="1" x="664"/>
        <item m="1" x="1955"/>
        <item m="1" x="2267"/>
        <item m="1" x="295"/>
        <item m="1" x="1191"/>
        <item m="1" x="1729"/>
        <item m="1" x="771"/>
        <item m="1" x="1195"/>
        <item m="1" x="1571"/>
        <item m="1" x="2094"/>
        <item m="1" x="2015"/>
        <item m="1" x="2524"/>
        <item m="1" x="2271"/>
        <item m="1" x="1789"/>
        <item m="1" x="306"/>
        <item m="1" x="1954"/>
        <item m="1" x="865"/>
        <item m="1" x="1835"/>
        <item m="1" x="801"/>
        <item m="1" x="1790"/>
        <item m="1" x="2272"/>
        <item m="1" x="1774"/>
        <item m="1" x="1653"/>
        <item m="1" x="1441"/>
        <item m="1" x="2095"/>
        <item m="1" x="2274"/>
        <item m="1" x="1793"/>
        <item m="1" x="990"/>
        <item m="1" x="2273"/>
        <item m="1" x="1819"/>
        <item m="1" x="2275"/>
        <item m="1" x="2076"/>
        <item m="1" x="2276"/>
        <item m="1" x="1204"/>
        <item m="1" x="1526"/>
        <item m="1" x="2145"/>
        <item m="1" x="1503"/>
        <item m="1" x="560"/>
        <item m="1" x="1550"/>
        <item m="1" x="872"/>
        <item m="1" x="2277"/>
        <item m="1" x="1425"/>
        <item m="1" x="1340"/>
        <item m="1" x="1167"/>
        <item m="1" x="2278"/>
        <item m="1" x="2279"/>
        <item m="1" x="772"/>
        <item m="1" x="728"/>
        <item m="1" x="658"/>
        <item m="1" x="1176"/>
        <item m="1" x="1315"/>
        <item m="1" x="2096"/>
        <item m="1" x="123"/>
        <item m="1" x="1337"/>
        <item m="1" x="270"/>
        <item m="1" x="2280"/>
        <item m="1" x="125"/>
        <item m="1" x="2074"/>
        <item m="1" x="2281"/>
        <item m="1" x="2282"/>
        <item m="1" x="659"/>
        <item m="1" x="1450"/>
        <item m="1" x="2283"/>
        <item m="1" x="925"/>
        <item m="1" x="1470"/>
        <item m="1" x="1209"/>
        <item m="1" x="660"/>
        <item m="1" x="2550"/>
        <item m="1" x="2648"/>
        <item m="1" x="2345"/>
        <item m="1" x="2097"/>
        <item m="1" x="2048"/>
        <item x="0"/>
        <item m="1" x="1497"/>
        <item m="1" x="2627"/>
        <item m="1" x="1763"/>
        <item m="1" x="1212"/>
        <item m="1" x="410"/>
        <item m="1" x="1961"/>
        <item m="1" x="917"/>
        <item m="1" x="988"/>
        <item m="1" x="1197"/>
        <item m="1" x="2284"/>
        <item m="1" x="1213"/>
        <item m="1" x="773"/>
        <item m="1" x="1214"/>
        <item m="1" x="1686"/>
        <item m="1" x="218"/>
        <item m="1" x="1509"/>
        <item m="1" x="724"/>
        <item m="1" x="1557"/>
        <item m="1" x="330"/>
        <item m="1" x="1216"/>
        <item m="1" x="457"/>
        <item m="1" x="1162"/>
        <item m="1" x="2285"/>
        <item m="1" x="2155"/>
        <item m="1" x="2286"/>
        <item m="1" x="2579"/>
        <item m="1" x="1219"/>
        <item m="1" x="2287"/>
        <item m="1" x="2098"/>
        <item m="1" x="2288"/>
        <item m="1" x="1466"/>
        <item m="1" x="2612"/>
        <item m="1" x="2049"/>
        <item m="1" x="176"/>
        <item m="1" x="1749"/>
        <item m="1" x="1455"/>
        <item m="1" x="458"/>
        <item m="1" x="1933"/>
        <item m="1" x="1658"/>
        <item m="1" x="775"/>
        <item m="1" x="459"/>
        <item m="1" x="129"/>
        <item m="1" x="219"/>
        <item m="1" x="2180"/>
        <item m="1" x="750"/>
        <item m="1" x="1044"/>
        <item m="1" x="661"/>
        <item m="1" x="663"/>
        <item m="1" x="809"/>
        <item m="1" x="130"/>
        <item m="1" x="585"/>
        <item m="1" x="1624"/>
        <item m="1" x="943"/>
        <item m="1" x="80"/>
        <item m="1" x="1817"/>
        <item m="1" x="2289"/>
        <item m="1" x="1997"/>
        <item m="1" x="960"/>
        <item m="1" x="665"/>
        <item m="1" x="505"/>
        <item m="1" x="2100"/>
        <item m="1" x="332"/>
        <item m="1" x="776"/>
        <item m="1" x="2290"/>
        <item m="1" x="2291"/>
        <item m="1" x="1169"/>
        <item m="1" x="1022"/>
        <item m="1" x="2101"/>
        <item m="1" x="2710"/>
        <item m="1" x="2292"/>
        <item m="1" x="182"/>
        <item m="1" x="48"/>
        <item m="1" x="2269"/>
        <item m="1" x="607"/>
        <item m="1" x="2388"/>
        <item m="1" x="252"/>
        <item m="1" x="2692"/>
        <item m="1" x="320"/>
        <item m="1" x="863"/>
        <item m="1" x="2293"/>
        <item m="1" x="1436"/>
        <item m="1" x="2102"/>
        <item m="1" x="376"/>
        <item m="1" x="2513"/>
        <item m="1" x="359"/>
        <item m="1" x="2147"/>
        <item m="1" x="2154"/>
        <item m="1" x="662"/>
        <item m="1" x="334"/>
        <item m="1" x="235"/>
        <item m="1" x="2103"/>
        <item m="1" x="76"/>
        <item m="1" x="1919"/>
        <item m="1" x="405"/>
        <item m="1" x="2534"/>
        <item m="1" x="2104"/>
        <item m="1" x="2294"/>
        <item m="1" x="1972"/>
        <item m="1" x="1228"/>
        <item m="1" x="1788"/>
        <item x="46"/>
        <item m="1" x="1189"/>
        <item m="1" x="462"/>
        <item m="1" x="1901"/>
        <item m="1" x="777"/>
        <item m="1" x="2592"/>
        <item m="1" x="335"/>
        <item m="1" x="2295"/>
        <item m="1" x="2296"/>
        <item m="1" x="612"/>
        <item m="1" x="1027"/>
        <item m="1" x="363"/>
        <item m="1" x="1750"/>
        <item m="1" x="1230"/>
        <item m="1" x="1799"/>
        <item m="1" x="1231"/>
        <item m="1" x="2297"/>
        <item m="1" x="1936"/>
        <item m="1" x="579"/>
        <item m="1" x="220"/>
        <item m="1" x="666"/>
        <item m="1" x="391"/>
        <item m="1" x="2724"/>
        <item m="1" x="2701"/>
        <item m="1" x="2656"/>
        <item m="1" x="778"/>
        <item m="1" x="1675"/>
        <item m="1" x="2298"/>
        <item m="1" x="53"/>
        <item m="1" x="1820"/>
        <item m="1" x="1232"/>
        <item m="1" x="1853"/>
        <item m="1" x="1469"/>
        <item m="1" x="61"/>
        <item m="1" x="1884"/>
        <item m="1" x="1941"/>
        <item m="1" x="623"/>
        <item m="1" x="2386"/>
        <item m="1" x="1263"/>
        <item m="1" x="1971"/>
        <item m="1" x="1039"/>
        <item m="1" x="1233"/>
        <item m="1" x="530"/>
        <item m="1" x="1892"/>
        <item m="1" x="2300"/>
        <item m="1" x="1165"/>
        <item m="1" x="1507"/>
        <item m="1" x="779"/>
        <item m="1" x="2645"/>
        <item m="1" x="2106"/>
        <item m="1" x="358"/>
        <item m="1" x="2301"/>
        <item m="1" x="1386"/>
        <item m="1" x="1822"/>
        <item m="1" x="1235"/>
        <item m="1" x="318"/>
        <item m="1" x="2302"/>
        <item m="1" x="1009"/>
        <item m="1" x="1108"/>
        <item m="1" x="2303"/>
        <item m="1" x="2304"/>
        <item m="1" x="1437"/>
        <item m="1" x="581"/>
        <item m="1" x="1100"/>
        <item m="1" x="1071"/>
        <item m="1" x="2305"/>
        <item m="1" x="370"/>
        <item m="1" x="1259"/>
        <item m="1" x="59"/>
        <item m="1" x="1683"/>
        <item m="1" x="336"/>
        <item m="1" x="60"/>
        <item m="1" x="337"/>
        <item m="1" x="2306"/>
        <item m="1" x="1245"/>
        <item m="1" x="2307"/>
        <item m="1" x="268"/>
        <item m="1" x="512"/>
        <item m="1" x="1177"/>
        <item m="1" x="868"/>
        <item m="1" x="667"/>
        <item m="1" x="1516"/>
        <item m="1" x="494"/>
        <item m="1" x="1238"/>
        <item m="1" x="388"/>
        <item m="1" x="283"/>
        <item m="1" x="104"/>
        <item m="1" x="1513"/>
        <item m="1" x="2107"/>
        <item m="1" x="1539"/>
        <item m="1" x="537"/>
        <item m="1" x="1752"/>
        <item m="1" x="101"/>
        <item m="1" x="195"/>
        <item m="1" x="338"/>
        <item m="1" x="668"/>
        <item m="1" x="1193"/>
        <item m="1" x="438"/>
        <item m="1" x="221"/>
        <item x="32"/>
        <item m="1" x="2309"/>
        <item m="1" x="2310"/>
        <item m="1" x="1679"/>
        <item m="1" x="2311"/>
        <item m="1" x="948"/>
        <item m="1" x="1928"/>
        <item m="1" x="1551"/>
        <item m="1" x="288"/>
        <item m="1" x="273"/>
        <item m="1" x="1711"/>
        <item m="1" x="185"/>
        <item m="1" x="1461"/>
        <item m="1" x="1239"/>
        <item m="1" x="1937"/>
        <item m="1" x="903"/>
        <item m="1" x="692"/>
        <item m="1" x="506"/>
        <item m="1" x="2312"/>
        <item m="1" x="2313"/>
        <item m="1" x="669"/>
        <item m="1" x="876"/>
        <item m="1" x="2314"/>
        <item m="1" x="1244"/>
        <item m="1" x="2108"/>
        <item m="1" x="1420"/>
        <item m="1" x="2315"/>
        <item m="1" x="1992"/>
        <item m="1" x="826"/>
        <item m="1" x="2567"/>
        <item m="1" x="774"/>
        <item m="1" x="75"/>
        <item m="1" x="1246"/>
        <item m="1" x="2317"/>
        <item m="1" x="2318"/>
        <item m="1" x="672"/>
        <item m="1" x="2319"/>
        <item m="1" x="1645"/>
        <item m="1" x="2017"/>
        <item m="1" x="1248"/>
        <item m="1" x="1249"/>
        <item m="1" x="781"/>
        <item m="1" x="1250"/>
        <item m="1" x="1060"/>
        <item m="1" x="671"/>
        <item m="1" x="1252"/>
        <item m="1" x="1880"/>
        <item m="1" x="1286"/>
        <item x="6"/>
        <item m="1" x="348"/>
        <item m="1" x="2320"/>
        <item m="1" x="1243"/>
        <item m="1" x="354"/>
        <item m="1" x="2179"/>
        <item m="1" x="2321"/>
        <item m="1" x="1440"/>
        <item m="1" x="884"/>
        <item m="1" x="629"/>
        <item m="1" x="2152"/>
        <item m="1" x="764"/>
        <item m="1" x="782"/>
        <item m="1" x="2322"/>
        <item m="1" x="783"/>
        <item m="1" x="1371"/>
        <item m="1" x="2323"/>
        <item m="1" x="971"/>
        <item m="1" x="1304"/>
        <item m="1" x="2324"/>
        <item m="1" x="1921"/>
        <item m="1" x="368"/>
        <item m="1" x="279"/>
        <item m="1" x="57"/>
        <item m="1" x="2325"/>
        <item m="1" x="240"/>
        <item m="1" x="286"/>
        <item m="1" x="1589"/>
        <item m="1" x="1271"/>
        <item m="1" x="294"/>
        <item m="1" x="549"/>
        <item m="1" x="784"/>
        <item m="1" x="1602"/>
        <item m="1" x="2326"/>
        <item m="1" x="1546"/>
        <item m="1" x="1487"/>
        <item m="1" x="1419"/>
        <item m="1" x="281"/>
        <item m="1" x="566"/>
        <item m="1" x="341"/>
        <item m="1" x="2554"/>
        <item m="1" x="1740"/>
        <item m="1" x="460"/>
        <item m="1" x="1897"/>
        <item m="1" x="1255"/>
        <item m="1" x="785"/>
        <item m="1" x="786"/>
        <item m="1" x="2598"/>
        <item m="1" x="477"/>
        <item m="1" x="1753"/>
        <item m="1" x="2056"/>
        <item m="1" x="417"/>
        <item x="4"/>
        <item m="1" x="2075"/>
        <item m="1" x="1093"/>
        <item sd="0" m="1" x="2737"/>
        <item m="1" x="590"/>
        <item m="1" x="2707"/>
        <item m="1" x="1057"/>
        <item m="1" x="599"/>
        <item m="1" x="1654"/>
        <item m="1" x="1257"/>
        <item m="1" x="788"/>
        <item m="1" x="1754"/>
        <item m="1" x="536"/>
        <item m="1" x="1258"/>
        <item m="1" x="2327"/>
        <item m="1" x="789"/>
        <item m="1" x="567"/>
        <item m="1" x="2328"/>
        <item m="1" x="2329"/>
        <item m="1" x="439"/>
        <item m="1" x="406"/>
        <item m="1" x="269"/>
        <item m="1" x="1208"/>
        <item m="1" x="1261"/>
        <item m="1" x="1262"/>
        <item m="1" x="592"/>
        <item m="1" x="1522"/>
        <item m="1" x="791"/>
        <item m="1" x="1614"/>
        <item m="1" x="1871"/>
        <item m="1" x="2109"/>
        <item m="1" x="1825"/>
        <item m="1" x="559"/>
        <item m="1" x="1591"/>
        <item m="1" x="580"/>
        <item m="1" x="1369"/>
        <item m="1" x="548"/>
        <item m="1" x="1192"/>
        <item sd="0" m="1" x="2105"/>
        <item m="1" x="1256"/>
        <item m="1" x="673"/>
        <item m="1" x="899"/>
        <item m="1" x="1264"/>
        <item m="1" x="1265"/>
        <item m="1" x="1824"/>
        <item m="1" x="2110"/>
        <item x="8"/>
        <item m="1" x="511"/>
        <item m="1" x="546"/>
        <item m="1" x="64"/>
        <item m="1" x="1201"/>
        <item m="1" x="1266"/>
        <item m="1" x="792"/>
        <item m="1" x="1982"/>
        <item x="44"/>
        <item m="1" x="1577"/>
        <item m="1" x="1613"/>
        <item m="1" x="2330"/>
        <item m="1" x="793"/>
        <item m="1" x="2464"/>
        <item m="1" x="2084"/>
        <item m="1" x="794"/>
        <item m="1" x="583"/>
        <item m="1" x="1433"/>
        <item m="1" x="1640"/>
        <item m="1" x="2614"/>
        <item m="1" x="503"/>
        <item m="1" x="1267"/>
        <item m="1" x="1036"/>
        <item m="1" x="1302"/>
        <item m="1" x="1225"/>
        <item m="1" x="404"/>
        <item m="1" x="1251"/>
        <item m="1" x="2013"/>
        <item m="1" x="510"/>
        <item m="1" x="555"/>
        <item m="1" x="1671"/>
        <item m="1" x="1906"/>
        <item m="1" x="2111"/>
        <item m="1" x="1125"/>
        <item m="1" x="461"/>
        <item m="1" x="1351"/>
        <item m="1" x="518"/>
        <item m="1" x="2331"/>
        <item m="1" x="1368"/>
        <item m="1" x="222"/>
        <item m="1" x="2332"/>
        <item m="1" x="795"/>
        <item m="1" x="674"/>
        <item m="1" x="1132"/>
        <item m="1" x="584"/>
        <item m="1" x="1826"/>
        <item m="1" x="2605"/>
        <item m="1" x="1317"/>
        <item m="1" x="1980"/>
        <item m="1" x="1939"/>
        <item m="1" x="1272"/>
        <item m="1" x="675"/>
        <item m="1" x="676"/>
        <item m="1" x="1951"/>
        <item m="1" x="2625"/>
        <item x="13"/>
        <item m="1" x="1474"/>
        <item m="1" x="2333"/>
        <item m="1" x="1277"/>
        <item m="1" x="1572"/>
        <item m="1" x="1278"/>
        <item m="1" x="2334"/>
        <item m="1" x="2335"/>
        <item m="1" x="1784"/>
        <item m="1" x="300"/>
        <item m="1" x="1723"/>
        <item m="1" x="1279"/>
        <item m="1" x="1410"/>
        <item m="1" x="152"/>
        <item m="1" x="1594"/>
        <item m="1" x="277"/>
        <item m="1" x="1074"/>
        <item m="1" x="132"/>
        <item m="1" x="1934"/>
        <item m="1" x="236"/>
        <item m="1" x="1283"/>
        <item m="1" x="2337"/>
        <item m="1" x="426"/>
        <item m="1" x="1606"/>
        <item m="1" x="1966"/>
        <item m="1" x="2391"/>
        <item m="1" x="2338"/>
        <item m="1" x="1354"/>
        <item m="1" x="1463"/>
        <item m="1" x="2340"/>
        <item m="1" x="657"/>
        <item m="1" x="2668"/>
        <item m="1" x="906"/>
        <item m="1" x="2341"/>
        <item sd="0" m="1" x="2739"/>
        <item x="45"/>
        <item m="1" x="463"/>
        <item m="1" x="924"/>
        <item m="1" x="1925"/>
        <item m="1" x="2342"/>
        <item m="1" x="2343"/>
        <item m="1" x="2344"/>
        <item m="1" x="963"/>
        <item m="1" x="2033"/>
        <item m="1" x="2346"/>
        <item sd="0" m="1" x="2223"/>
        <item m="1" x="2715"/>
        <item m="1" x="2613"/>
        <item m="1" x="677"/>
        <item m="1" x="1598"/>
        <item m="1" x="2021"/>
        <item m="1" x="2347"/>
        <item m="1" x="2348"/>
        <item m="1" x="1297"/>
        <item m="1" x="343"/>
        <item m="1" x="2551"/>
        <item m="1" x="353"/>
        <item m="1" x="1964"/>
        <item m="1" x="441"/>
        <item m="1" x="2050"/>
        <item m="1" x="901"/>
        <item m="1" x="1499"/>
        <item m="1" x="450"/>
        <item m="1" x="2654"/>
        <item m="1" x="1646"/>
        <item m="1" x="2466"/>
        <item m="1" x="1860"/>
        <item m="1" x="1299"/>
        <item m="1" x="2028"/>
        <item m="1" x="904"/>
        <item m="1" x="2350"/>
        <item m="1" x="135"/>
        <item m="1" x="2336"/>
        <item m="1" x="2349"/>
        <item m="1" x="2582"/>
        <item m="1" x="234"/>
        <item m="1" x="1524"/>
        <item m="1" x="1414"/>
        <item m="1" x="1301"/>
        <item m="1" x="133"/>
        <item m="1" x="507"/>
        <item m="1" x="527"/>
        <item m="1" x="2112"/>
        <item m="1" x="214"/>
        <item sd="0" m="1" x="213"/>
        <item m="1" x="1999"/>
        <item m="1" x="2352"/>
        <item m="1" x="1185"/>
        <item m="1" x="74"/>
        <item m="1" x="1311"/>
        <item m="1" x="2607"/>
        <item m="1" x="2151"/>
        <item m="1" x="1755"/>
        <item m="1" x="184"/>
        <item m="1" x="525"/>
        <item m="1" x="1312"/>
        <item m="1" x="1313"/>
        <item m="1" x="543"/>
        <item m="1" x="495"/>
        <item m="1" x="2008"/>
        <item m="1" x="1855"/>
        <item m="1" x="944"/>
        <item m="1" x="1081"/>
        <item m="1" x="223"/>
        <item m="1" x="2353"/>
        <item m="1" x="138"/>
        <item m="1" x="139"/>
        <item m="1" x="73"/>
        <item m="1" x="1007"/>
        <item m="1" x="2354"/>
        <item m="1" x="898"/>
        <item m="1" x="1756"/>
        <item m="1" x="2355"/>
        <item m="1" x="2356"/>
        <item m="1" x="1970"/>
        <item m="1" x="1985"/>
        <item m="1" x="1381"/>
        <item m="1" x="345"/>
        <item m="1" x="797"/>
        <item m="1" x="678"/>
        <item m="1" x="2358"/>
        <item m="1" x="2496"/>
        <item m="1" x="346"/>
        <item m="1" x="2661"/>
        <item m="1" x="237"/>
        <item m="1" x="1628"/>
        <item m="1" x="2359"/>
        <item m="1" x="140"/>
        <item m="1" x="1647"/>
        <item m="1" x="1316"/>
        <item m="1" x="1655"/>
        <item m="1" x="1632"/>
        <item m="1" x="1553"/>
        <item m="1" x="1942"/>
        <item m="1" x="1917"/>
        <item m="1" x="2683"/>
        <item m="1" x="836"/>
        <item m="1" x="2360"/>
        <item m="1" x="1949"/>
        <item m="1" x="712"/>
        <item m="1" x="2113"/>
        <item m="1" x="1285"/>
        <item m="1" x="271"/>
        <item m="1" x="1319"/>
        <item m="1" x="1011"/>
        <item m="1" x="2361"/>
        <item m="1" x="1357"/>
        <item m="1" x="349"/>
        <item m="1" x="2051"/>
        <item x="3"/>
        <item m="1" x="1963"/>
        <item m="1" x="619"/>
        <item m="1" x="2362"/>
        <item m="1" x="877"/>
        <item m="1" x="1893"/>
        <item m="1" x="1827"/>
        <item sd="0" m="1" x="245"/>
        <item m="1" x="996"/>
        <item m="1" x="384"/>
        <item m="1" x="2363"/>
        <item m="1" x="980"/>
        <item m="1" x="1548"/>
        <item m="1" x="2720"/>
        <item m="1" x="949"/>
        <item m="1" x="1102"/>
        <item m="1" x="689"/>
        <item m="1" x="639"/>
        <item m="1" x="1639"/>
        <item m="1" x="1321"/>
        <item m="1" x="1322"/>
        <item m="1" x="2366"/>
        <item m="1" x="528"/>
        <item m="1" x="1973"/>
        <item m="1" x="2553"/>
        <item m="1" x="2590"/>
        <item m="1" x="2583"/>
        <item m="1" x="342"/>
        <item m="1" x="1323"/>
        <item m="1" x="2052"/>
        <item m="1" x="1523"/>
        <item m="1" x="1786"/>
        <item m="1" x="1641"/>
        <item m="1" x="1829"/>
        <item m="1" x="681"/>
        <item m="1" x="350"/>
        <item m="1" x="2711"/>
        <item m="1" x="1324"/>
        <item m="1" x="390"/>
        <item m="1" x="1725"/>
        <item m="1" x="780"/>
        <item m="1" x="2621"/>
        <item m="1" x="955"/>
        <item m="1" x="1924"/>
        <item m="1" x="1950"/>
        <item m="1" x="787"/>
        <item sd="0" x="15"/>
        <item m="1" x="798"/>
        <item m="1" x="323"/>
        <item m="1" x="2364"/>
        <item m="1" x="973"/>
        <item m="1" x="142"/>
        <item m="1" x="2365"/>
        <item m="1" x="82"/>
        <item m="1" x="1372"/>
        <item m="1" x="1987"/>
        <item m="1" x="1831"/>
        <item m="1" x="1198"/>
        <item m="1" x="916"/>
        <item m="1" x="2685"/>
        <item m="1" x="1953"/>
        <item m="1" x="2703"/>
        <item m="1" x="682"/>
        <item m="1" x="264"/>
        <item m="1" x="2367"/>
        <item m="1" x="524"/>
        <item m="1" x="1328"/>
        <item m="1" x="1389"/>
        <item m="1" x="2369"/>
        <item m="1" x="1758"/>
        <item m="1" x="1821"/>
        <item m="1" x="965"/>
        <item m="1" x="1334"/>
        <item m="1" x="544"/>
        <item m="1" x="2053"/>
        <item m="1" x="2655"/>
        <item m="1" x="1807"/>
        <item m="1" x="2114"/>
        <item m="1" x="1345"/>
        <item m="1" x="2467"/>
        <item m="1" x="2370"/>
        <item m="1" x="964"/>
        <item m="1" x="209"/>
        <item m="1" x="2628"/>
        <item m="1" x="1588"/>
        <item m="1" x="1908"/>
        <item m="1" x="1385"/>
        <item m="1" x="1759"/>
        <item m="1" x="51"/>
        <item m="1" x="2371"/>
        <item m="1" x="1275"/>
        <item sd="0" m="1" x="2677"/>
        <item m="1" x="987"/>
        <item m="1" x="2010"/>
        <item m="1" x="683"/>
        <item m="1" x="1760"/>
        <item m="1" x="2373"/>
        <item m="1" x="864"/>
        <item m="1" x="2054"/>
        <item m="1" x="1945"/>
        <item m="1" x="684"/>
        <item m="1" x="572"/>
        <item m="1" x="145"/>
        <item m="1" x="479"/>
        <item m="1" x="1188"/>
        <item m="1" x="799"/>
        <item m="1" x="1833"/>
        <item m="1" x="2375"/>
        <item m="1" x="1761"/>
        <item m="1" x="1883"/>
        <item m="1" x="1048"/>
        <item m="1" x="2568"/>
        <item m="1" x="1891"/>
        <item m="1" x="2376"/>
        <item m="1" x="1716"/>
        <item m="1" x="1642"/>
        <item m="1" x="2377"/>
        <item m="1" x="2432"/>
        <item m="1" x="1542"/>
        <item m="1" x="2691"/>
        <item m="1" x="1370"/>
        <item m="1" x="1133"/>
        <item m="1" x="1636"/>
        <item m="1" x="1815"/>
        <item m="1" x="2665"/>
        <item m="1" x="1320"/>
        <item m="1" x="1447"/>
        <item m="1" x="466"/>
        <item m="1" x="1431"/>
        <item m="1" x="481"/>
        <item m="1" x="1307"/>
        <item m="1" x="1527"/>
        <item m="1" x="1077"/>
        <item m="1" x="297"/>
        <item m="1" x="2006"/>
        <item m="1" x="147"/>
        <item m="1" x="2378"/>
        <item m="1" x="1199"/>
        <item m="1" x="1452"/>
        <item m="1" x="999"/>
        <item m="1" x="2379"/>
        <item m="1" x="113"/>
        <item m="1" x="355"/>
        <item m="1" x="1196"/>
        <item m="1" x="1075"/>
        <item m="1" x="831"/>
        <item m="1" x="802"/>
        <item m="1" x="1202"/>
        <item m="1" x="2055"/>
        <item m="1" x="1536"/>
        <item m="1" x="568"/>
        <item m="1" x="1038"/>
        <item m="1" x="2025"/>
        <item m="1" x="317"/>
        <item m="1" x="1157"/>
        <item m="1" x="154"/>
        <item m="1" x="1300"/>
        <item m="1" x="1485"/>
        <item m="1" x="975"/>
        <item m="1" x="2555"/>
        <item m="1" x="2393"/>
        <item m="1" x="687"/>
        <item m="1" x="293"/>
        <item m="1" x="262"/>
        <item m="1" x="2673"/>
        <item m="1" x="1068"/>
        <item m="1" x="2394"/>
        <item m="1" x="2604"/>
        <item m="1" x="1059"/>
        <item m="1" x="2626"/>
        <item m="1" x="976"/>
        <item m="1" x="2620"/>
        <item m="1" x="1926"/>
        <item m="1" x="2395"/>
        <item m="1" x="2396"/>
        <item m="1" x="224"/>
        <item m="1" x="263"/>
        <item m="1" x="1530"/>
        <item m="1" x="1692"/>
        <item m="1" x="1227"/>
        <item m="1" x="83"/>
        <item m="1" x="2629"/>
        <item m="1" x="2397"/>
        <item m="1" x="2595"/>
        <item m="1" x="1427"/>
        <item m="1" x="1920"/>
        <item m="1" x="808"/>
        <item m="1" x="1428"/>
        <item m="1" x="810"/>
        <item m="1" x="2116"/>
        <item m="1" x="225"/>
        <item m="1" x="2398"/>
        <item m="1" x="1429"/>
        <item m="1" x="2399"/>
        <item m="1" x="688"/>
        <item m="1" x="377"/>
        <item m="1" x="2400"/>
        <item m="1" x="1430"/>
        <item m="1" x="1637"/>
        <item m="1" x="1488"/>
        <item m="1" x="1432"/>
        <item m="1" x="2401"/>
        <item m="1" x="2402"/>
        <item m="1" x="247"/>
        <item m="1" x="480"/>
        <item m="1" x="2623"/>
        <item m="1" x="1765"/>
        <item m="1" x="1518"/>
        <item m="1" x="957"/>
        <item m="1" x="2403"/>
        <item m="1" x="885"/>
        <item m="1" x="2405"/>
        <item m="1" x="2082"/>
        <item m="1" x="2060"/>
        <item m="1" x="467"/>
        <item m="1" x="1373"/>
        <item m="1" x="2406"/>
        <item m="1" x="1837"/>
        <item m="1" x="912"/>
        <item m="1" x="1576"/>
        <item m="1" x="1394"/>
        <item m="1" x="1448"/>
        <item m="1" x="1422"/>
        <item m="1" x="889"/>
        <item m="1" x="1449"/>
        <item m="1" x="1159"/>
        <item m="1" x="66"/>
        <item m="1" x="1894"/>
        <item m="1" x="314"/>
        <item m="1" x="163"/>
        <item m="1" x="1451"/>
        <item m="1" x="2491"/>
        <item m="1" x="381"/>
        <item m="1" x="2407"/>
        <item m="1" x="2408"/>
        <item m="1" x="2410"/>
        <item m="1" x="2675"/>
        <item m="1" x="1751"/>
        <item m="1" x="2409"/>
        <item m="1" x="382"/>
        <item m="1" x="1483"/>
        <item m="1" x="246"/>
        <item m="1" x="1454"/>
        <item m="1" x="1766"/>
        <item m="1" x="55"/>
        <item m="1" x="468"/>
        <item m="1" x="1220"/>
        <item m="1" x="395"/>
        <item m="1" x="1206"/>
        <item sd="0" m="1" x="2727"/>
        <item sd="0" m="1" x="308"/>
        <item m="1" x="1910"/>
        <item m="1" x="1457"/>
        <item m="1" x="1456"/>
        <item m="1" x="1458"/>
        <item m="1" x="624"/>
        <item m="1" x="1444"/>
        <item m="1" x="1787"/>
        <item m="1" x="2566"/>
        <item m="1" x="2411"/>
        <item m="1" x="367"/>
        <item m="1" x="2412"/>
        <item m="1" x="289"/>
        <item m="1" x="2413"/>
        <item m="1" x="1543"/>
        <item m="1" x="2414"/>
        <item m="1" x="1722"/>
        <item m="1" x="170"/>
        <item m="1" x="2404"/>
        <item m="1" x="160"/>
        <item m="1" x="1392"/>
        <item m="1" x="2693"/>
        <item m="1" x="2556"/>
        <item m="1" x="2415"/>
        <item m="1" x="733"/>
        <item m="1" x="1656"/>
        <item x="14"/>
        <item m="1" x="1912"/>
        <item m="1" x="1528"/>
        <item m="1" x="1284"/>
        <item m="1" x="165"/>
        <item m="1" x="2270"/>
        <item m="1" x="1914"/>
        <item m="1" x="2653"/>
        <item m="1" x="2118"/>
        <item m="1" x="1390"/>
        <item m="1" x="2034"/>
        <item m="1" x="816"/>
        <item m="1" x="166"/>
        <item m="1" x="1281"/>
        <item m="1" x="1395"/>
        <item m="1" x="1471"/>
        <item m="1" x="144"/>
        <item m="1" x="2019"/>
        <item m="1" x="586"/>
        <item m="1" x="2602"/>
        <item m="1" x="2417"/>
        <item m="1" x="2418"/>
        <item m="1" x="817"/>
        <item m="1" x="2636"/>
        <item m="1" x="1409"/>
        <item m="1" x="1472"/>
        <item m="1" x="690"/>
        <item m="1" x="1473"/>
        <item m="1" x="2419"/>
        <item m="1" x="2420"/>
        <item m="1" x="915"/>
        <item m="1" x="2421"/>
        <item m="1" x="2709"/>
        <item m="1" x="2422"/>
        <item m="1" x="2423"/>
        <item m="1" x="2260"/>
        <item m="1" x="862"/>
        <item m="1" x="2684"/>
        <item m="1" x="882"/>
        <item m="1" x="2424"/>
        <item m="1" x="1882"/>
        <item m="1" x="1347"/>
        <item m="1" x="691"/>
        <item m="1" x="2690"/>
        <item m="1" x="351"/>
        <item m="1" x="2139"/>
        <item m="1" x="2469"/>
        <item m="1" x="1034"/>
        <item m="1" x="501"/>
        <item m="1" x="818"/>
        <item m="1" x="819"/>
        <item m="1" x="914"/>
        <item m="1" x="63"/>
        <item m="1" x="2119"/>
        <item m="1" x="656"/>
        <item m="1" x="2425"/>
        <item m="1" x="149"/>
        <item m="1" x="387"/>
        <item m="1" x="557"/>
        <item m="1" x="1785"/>
        <item m="1" x="2061"/>
        <item m="1" x="440"/>
        <item m="1" x="2099"/>
        <item m="1" x="2426"/>
        <item m="1" x="995"/>
        <item m="1" x="1767"/>
        <item m="1" x="991"/>
        <item m="1" x="386"/>
        <item m="1" x="434"/>
        <item m="1" x="2428"/>
        <item m="1" x="2120"/>
        <item m="1" x="820"/>
        <item m="1" x="1994"/>
        <item m="1" x="487"/>
        <item m="1" x="95"/>
        <item m="1" x="482"/>
        <item m="1" x="87"/>
        <item m="1" x="1938"/>
        <item m="1" x="2062"/>
        <item m="1" x="371"/>
        <item m="1" x="210"/>
        <item m="1" x="2671"/>
        <item m="1" x="312"/>
        <item m="1" x="1923"/>
        <item m="1" x="120"/>
        <item m="1" x="2429"/>
        <item m="1" x="966"/>
        <item m="1" x="821"/>
        <item m="1" x="2068"/>
        <item m="1" x="1489"/>
        <item m="1" x="1490"/>
        <item m="1" x="1491"/>
        <item m="1" x="2430"/>
        <item m="1" x="1684"/>
        <item m="1" x="1379"/>
        <item m="1" x="1730"/>
        <item m="1" x="1800"/>
        <item m="1" x="162"/>
        <item m="1" x="1314"/>
        <item m="1" x="694"/>
        <item m="1" x="1493"/>
        <item m="1" x="1435"/>
        <item m="1" x="611"/>
        <item m="1" x="1018"/>
        <item m="1" x="2384"/>
        <item m="1" x="2616"/>
        <item m="1" x="2561"/>
        <item m="1" x="1290"/>
        <item m="1" x="1156"/>
        <item m="1" x="401"/>
        <item m="1" x="2142"/>
        <item m="1" x="383"/>
        <item m="1" x="2433"/>
        <item m="1" x="380"/>
        <item m="1" x="2434"/>
        <item m="1" x="1986"/>
        <item m="1" x="695"/>
        <item m="1" x="1688"/>
        <item m="1" x="907"/>
        <item m="1" x="2387"/>
        <item m="1" x="310"/>
        <item m="1" x="168"/>
        <item m="1" x="954"/>
        <item m="1" x="1342"/>
        <item m="1" x="328"/>
        <item m="1" x="822"/>
        <item m="1" x="403"/>
        <item m="1" x="1486"/>
        <item m="1" x="339"/>
        <item m="1" x="823"/>
        <item m="1" x="2435"/>
        <item m="1" x="502"/>
        <item m="1" x="565"/>
        <item m="1" x="1501"/>
        <item m="1" x="1023"/>
        <item m="1" x="2436"/>
        <item sd="0" m="1" x="2733"/>
        <item m="1" x="1217"/>
        <item m="1" x="800"/>
        <item m="1" x="1467"/>
        <item m="1" x="389"/>
        <item m="1" x="2063"/>
        <item m="1" x="2437"/>
        <item m="1" x="1064"/>
        <item m="1" x="853"/>
        <item m="1" x="936"/>
        <item m="1" x="1596"/>
        <item m="1" x="1502"/>
        <item m="1" x="2438"/>
        <item m="1" x="2129"/>
        <item m="1" x="174"/>
        <item m="1" x="2064"/>
        <item m="1" x="161"/>
        <item m="1" x="931"/>
        <item m="1" x="2584"/>
        <item m="1" x="923"/>
        <item m="1" x="2439"/>
        <item m="1" x="227"/>
        <item m="1" x="1517"/>
        <item m="1" x="2440"/>
        <item x="25"/>
        <item m="1" x="392"/>
        <item m="1" x="824"/>
        <item m="1" x="886"/>
        <item m="1" x="1396"/>
        <item m="1" x="1480"/>
        <item m="1" x="2065"/>
        <item m="1" x="1680"/>
        <item m="1" x="1511"/>
        <item m="1" x="393"/>
        <item m="1" x="2441"/>
        <item m="1" x="1792"/>
        <item m="1" x="172"/>
        <item m="1" x="1967"/>
        <item m="1" x="1512"/>
        <item m="1" x="825"/>
        <item m="1" x="71"/>
        <item m="1" x="1944"/>
        <item m="1" x="2594"/>
        <item m="1" x="2382"/>
        <item m="1" x="1665"/>
        <item m="1" x="2442"/>
        <item m="1" x="375"/>
        <item m="1" x="985"/>
        <item m="1" x="257"/>
        <item m="1" x="1119"/>
        <item m="1" x="2443"/>
        <item m="1" x="721"/>
        <item m="1" x="2444"/>
        <item m="1" x="1376"/>
        <item m="1" x="670"/>
        <item m="1" x="1768"/>
        <item m="1" x="2445"/>
        <item m="1" x="1943"/>
        <item m="1" x="67"/>
        <item m="1" x="1222"/>
        <item m="1" x="2070"/>
        <item m="1" x="180"/>
        <item m="1" x="124"/>
        <item m="1" x="1968"/>
        <item m="1" x="396"/>
        <item m="1" x="1525"/>
        <item m="1" x="1295"/>
        <item m="1" x="340"/>
        <item m="1" x="2447"/>
        <item m="1" x="422"/>
        <item m="1" x="2448"/>
        <item m="1" x="563"/>
        <item m="1" x="893"/>
        <item m="1" x="894"/>
        <item m="1" x="696"/>
        <item m="1" x="2450"/>
        <item m="1" x="1066"/>
        <item m="1" x="2066"/>
        <item m="1" x="2646"/>
        <item m="1" x="2570"/>
        <item m="1" x="1443"/>
        <item m="1" x="226"/>
        <item m="1" x="157"/>
        <item m="1" x="1383"/>
        <item m="1" x="940"/>
        <item m="1" x="2014"/>
        <item m="1" x="697"/>
        <item m="1" x="698"/>
        <item m="1" x="587"/>
        <item m="1" x="2451"/>
        <item m="1" x="1580"/>
        <item m="1" x="2532"/>
        <item m="1" x="253"/>
        <item m="1" x="1814"/>
        <item m="1" x="1118"/>
        <item m="1" x="1180"/>
        <item m="1" x="827"/>
        <item m="1" x="2121"/>
        <item m="1" x="1619"/>
        <item m="1" x="1035"/>
        <item m="1" x="2723"/>
        <item m="1" x="2639"/>
        <item m="1" x="2009"/>
        <item m="1" x="119"/>
        <item m="1" x="1534"/>
        <item m="1" x="2452"/>
        <item m="1" x="1291"/>
        <item m="1" x="398"/>
        <item m="1" x="1728"/>
        <item m="1" x="2316"/>
        <item m="1" x="1560"/>
        <item m="1" x="2619"/>
        <item m="1" x="469"/>
        <item m="1" x="1769"/>
        <item m="1" x="1889"/>
        <item m="1" x="699"/>
        <item sd="0" m="1" x="2732"/>
        <item m="1" x="569"/>
        <item m="1" x="803"/>
        <item x="17"/>
        <item m="1" x="2453"/>
        <item m="1" x="1995"/>
        <item m="1" x="2454"/>
        <item m="1" x="1296"/>
        <item m="1" x="1866"/>
        <item m="1" x="1731"/>
        <item m="1" x="1537"/>
        <item m="1" x="1609"/>
        <item m="1" x="2574"/>
        <item m="1" x="1538"/>
        <item m="1" x="483"/>
        <item m="1" x="1603"/>
        <item m="1" x="178"/>
        <item m="1" x="1791"/>
        <item m="1" x="1840"/>
        <item m="1" x="958"/>
        <item m="1" x="402"/>
        <item sd="0" m="1" x="258"/>
        <item sd="0" m="1" x="2725"/>
        <item m="1" x="1033"/>
        <item m="1" x="1798"/>
        <item m="1" x="1013"/>
        <item m="1" x="186"/>
        <item m="1" x="1916"/>
        <item m="1" x="968"/>
        <item m="1" x="2599"/>
        <item m="1" x="2140"/>
        <item m="1" x="796"/>
        <item m="1" x="1540"/>
        <item m="1" x="1541"/>
        <item m="1" x="701"/>
        <item m="1" x="1856"/>
        <item m="1" x="897"/>
        <item m="1" x="1857"/>
        <item m="1" x="2455"/>
        <item m="1" x="2660"/>
        <item m="1" x="1115"/>
        <item m="1" x="2471"/>
        <item m="1" x="1896"/>
        <item m="1" x="680"/>
        <item m="1" x="705"/>
        <item m="1" x="446"/>
        <item m="1" x="1350"/>
        <item m="1" x="600"/>
        <item m="1" x="1001"/>
        <item m="1" x="702"/>
        <item m="1" x="1545"/>
        <item x="2"/>
        <item m="1" x="531"/>
        <item m="1" x="634"/>
        <item m="1" x="814"/>
        <item m="1" x="556"/>
        <item x="21"/>
        <item m="1" x="2679"/>
        <item sd="0" m="1" x="1190"/>
        <item m="1" x="1823"/>
        <item m="1" x="790"/>
        <item m="1" x="2696"/>
        <item m="1" x="1127"/>
        <item m="1" x="845"/>
        <item m="1" x="347"/>
        <item m="1" x="1559"/>
        <item m="1" x="1116"/>
        <item m="1" x="1839"/>
        <item m="1" x="1721"/>
        <item m="1" x="1144"/>
        <item m="1" x="1107"/>
        <item m="1" x="888"/>
        <item m="1" x="1332"/>
        <item m="1" x="1845"/>
        <item sd="0" m="1" x="522"/>
        <item m="1" x="1714"/>
        <item m="1" x="1841"/>
        <item m="1" x="627"/>
        <item m="1" x="409"/>
        <item m="1" x="1040"/>
        <item m="1" x="1862"/>
        <item m="1" x="1969"/>
        <item m="1" x="379"/>
        <item m="1" x="1988"/>
        <item m="1" x="703"/>
        <item m="1" x="187"/>
        <item m="1" x="470"/>
        <item m="1" x="2122"/>
        <item m="1" x="1838"/>
        <item m="1" x="1564"/>
        <item m="1" x="198"/>
        <item x="39"/>
        <item m="1" x="913"/>
        <item m="1" x="1867"/>
        <item m="1" x="2458"/>
        <item m="1" x="1529"/>
        <item m="1" x="2459"/>
        <item m="1" x="2460"/>
        <item m="1" x="2462"/>
        <item m="1" x="830"/>
        <item m="1" x="704"/>
        <item m="1" x="2609"/>
        <item m="1" x="305"/>
        <item m="1" x="953"/>
        <item m="1" x="977"/>
        <item m="1" x="2463"/>
        <item m="1" x="2591"/>
        <item m="1" x="2299"/>
        <item m="1" x="189"/>
        <item m="1" x="2381"/>
        <item m="1" x="2662"/>
        <item m="1" x="228"/>
        <item m="1" x="2457"/>
        <item m="1" x="2032"/>
        <item m="1" x="961"/>
        <item m="1" x="1610"/>
        <item m="1" x="229"/>
        <item m="1" x="1772"/>
        <item m="1" x="1567"/>
        <item m="1" x="362"/>
        <item m="1" x="1029"/>
        <item m="1" x="829"/>
        <item m="1" x="1582"/>
        <item m="1" x="447"/>
        <item m="1" x="1150"/>
        <item sd="0" m="1" x="2736"/>
        <item m="1" x="1178"/>
        <item m="1" x="1514"/>
        <item m="1" x="1583"/>
        <item m="1" x="1584"/>
        <item m="1" x="1134"/>
        <item m="1" x="707"/>
        <item m="1" x="1561"/>
        <item m="1" x="2472"/>
        <item m="1" x="2011"/>
        <item m="1" x="1585"/>
        <item m="1" x="1338"/>
        <item m="1" x="909"/>
        <item m="1" x="700"/>
        <item m="1" x="77"/>
        <item m="1" x="2562"/>
        <item m="1" x="1586"/>
        <item m="1" x="2473"/>
        <item m="1" x="1685"/>
        <item m="1" x="564"/>
        <item m="1" x="1110"/>
        <item x="30"/>
        <item m="1" x="2474"/>
        <item m="1" x="2576"/>
        <item m="1" x="2610"/>
        <item m="1" x="1696"/>
        <item m="1" x="1051"/>
        <item m="1" x="2475"/>
        <item m="1" x="2476"/>
        <item m="1" x="1629"/>
        <item m="1" x="2477"/>
        <item m="1" x="1922"/>
        <item m="1" x="2479"/>
        <item m="1" x="2478"/>
        <item m="1" x="1676"/>
        <item m="1" x="1965"/>
        <item m="1" x="2695"/>
        <item m="1" x="496"/>
        <item m="1" x="1990"/>
        <item m="1" x="2689"/>
        <item m="1" x="1590"/>
        <item m="1" x="1155"/>
        <item m="1" x="881"/>
        <item m="1" x="2480"/>
        <item x="11"/>
        <item m="1" x="1960"/>
        <item m="1" x="2481"/>
        <item m="1" x="520"/>
        <item m="1" x="1028"/>
        <item m="1" x="352"/>
        <item m="1" x="2482"/>
        <item m="1" x="504"/>
        <item m="1" x="1496"/>
        <item m="1" x="928"/>
        <item m="1" x="2468"/>
        <item m="1" x="1024"/>
        <item m="1" x="1854"/>
        <item m="1" x="2483"/>
        <item m="1" x="1593"/>
        <item m="1" x="2680"/>
        <item m="1" x="1061"/>
        <item m="1" x="243"/>
        <item m="1" x="191"/>
        <item m="1" x="1579"/>
        <item m="1" x="1595"/>
        <item m="1" x="192"/>
        <item m="1" x="298"/>
        <item m="1" x="1601"/>
        <item m="1" x="962"/>
        <item m="1" x="2485"/>
        <item m="1" x="2124"/>
        <item m="1" x="1421"/>
        <item m="1" x="2005"/>
        <item m="1" x="1648"/>
        <item m="1" x="2125"/>
        <item m="1" x="1184"/>
        <item m="1" x="2676"/>
        <item m="1" x="1604"/>
        <item m="1" x="1558"/>
        <item m="1" x="194"/>
        <item m="1" x="2126"/>
        <item m="1" x="307"/>
        <item m="1" x="588"/>
        <item m="1" x="1168"/>
        <item m="1" x="193"/>
        <item m="1" x="972"/>
        <item m="1" x="413"/>
        <item m="1" x="414"/>
        <item m="1" x="415"/>
        <item m="1" x="169"/>
        <item m="1" x="416"/>
        <item m="1" x="1445"/>
        <item m="1" x="833"/>
        <item m="1" x="2486"/>
        <item m="1" x="1570"/>
        <item m="1" x="855"/>
        <item m="1" x="1533"/>
        <item m="1" x="2487"/>
        <item m="1" x="1842"/>
        <item m="1" x="1773"/>
        <item m="1" x="2488"/>
        <item m="1" x="1563"/>
        <item m="1" x="902"/>
        <item m="1" x="435"/>
        <item m="1" x="860"/>
        <item m="1" x="1121"/>
        <item m="1" x="708"/>
        <item m="1" x="2490"/>
        <item m="1" x="542"/>
        <item m="1" x="1607"/>
        <item m="1" x="1608"/>
        <item m="1" x="1335"/>
        <item sd="0" m="1" x="2719"/>
        <item m="1" x="1864"/>
        <item m="1" x="742"/>
        <item m="1" x="2368"/>
        <item m="1" x="832"/>
        <item m="1" x="1117"/>
        <item m="1" x="239"/>
        <item m="1" x="1426"/>
        <item m="1" x="2492"/>
        <item m="1" x="2493"/>
        <item m="1" x="196"/>
        <item m="1" x="2494"/>
        <item m="1" x="278"/>
        <item sd="0" m="1" x="2740"/>
        <item m="1" x="2069"/>
        <item m="1" x="1797"/>
        <item m="1" x="143"/>
        <item m="1" x="1611"/>
        <item x="42"/>
        <item m="1" x="608"/>
        <item m="1" x="1848"/>
        <item m="1" x="602"/>
        <item m="1" x="1858"/>
        <item m="1" x="1849"/>
        <item m="1" x="1976"/>
        <item m="1" x="1929"/>
        <item m="1" x="603"/>
        <item m="1" x="770"/>
        <item m="1" x="1850"/>
        <item m="1" x="601"/>
        <item m="1" x="606"/>
        <item m="1" x="610"/>
        <item m="1" x="1852"/>
        <item m="1" x="515"/>
        <item sd="0" x="29"/>
        <item m="1" x="1661"/>
        <item x="41"/>
        <item m="1" x="596"/>
        <item m="1" x="1662"/>
        <item m="1" x="514"/>
        <item m="1" x="595"/>
        <item m="1" x="1977"/>
        <item m="1" x="1358"/>
        <item m="1" x="1847"/>
        <item m="1" x="605"/>
        <item m="1" x="1846"/>
        <item m="1" x="609"/>
        <item sd="0" m="1" x="604"/>
        <item x="28"/>
        <item sd="0" m="1" x="2730"/>
        <item sd="0" m="1" x="2735"/>
        <item sd="0" x="26"/>
        <item m="1" x="857"/>
        <item m="1" x="1861"/>
        <item m="1" x="2027"/>
        <item m="1" x="2035"/>
        <item m="1" x="1881"/>
        <item m="1" x="92"/>
        <item m="1" x="1666"/>
        <item m="1" x="1974"/>
        <item m="1" x="1017"/>
        <item m="1" x="805"/>
        <item m="1" x="2699"/>
        <item m="1" x="2427"/>
        <item m="1" x="2446"/>
        <item m="1" x="151"/>
        <item m="1" x="709"/>
        <item m="1" x="1659"/>
        <item m="1" x="421"/>
        <item m="1" x="2067"/>
        <item m="1" x="2495"/>
        <item m="1" x="921"/>
        <item m="1" x="2238"/>
        <item sd="0" m="1" x="2738"/>
        <item m="1" x="1423"/>
        <item m="1" x="582"/>
        <item m="1" x="2123"/>
        <item m="1" x="70"/>
        <item m="1" x="2497"/>
        <item m="1" x="325"/>
        <item m="1" x="2156"/>
        <item m="1" x="2498"/>
        <item m="1" x="2461"/>
        <item m="1" x="1234"/>
        <item m="1" x="934"/>
        <item m="1" x="2672"/>
        <item m="1" x="1067"/>
        <item m="1" x="2256"/>
        <item m="1" x="1308"/>
        <item m="1" x="1669"/>
        <item m="1" x="1446"/>
        <item m="1" x="1154"/>
        <item m="1" x="2127"/>
        <item m="1" x="423"/>
        <item m="1" x="1400"/>
        <item m="1" x="424"/>
        <item m="1" x="1958"/>
        <item m="1" x="197"/>
        <item m="1" x="2499"/>
        <item m="1" x="1673"/>
        <item m="1" x="517"/>
        <item m="1" x="1477"/>
        <item m="1" x="2500"/>
        <item m="1" x="1808"/>
        <item m="1" x="892"/>
        <item m="1" x="1138"/>
        <item m="1" x="275"/>
        <item m="1" x="834"/>
        <item m="1" x="79"/>
        <item m="1" x="910"/>
        <item m="1" x="136"/>
        <item m="1" x="203"/>
        <item m="1" x="2575"/>
        <item m="1" x="2585"/>
        <item m="1" x="939"/>
        <item m="1" x="1366"/>
        <item m="1" x="1136"/>
        <item m="1" x="1605"/>
        <item m="1" x="1226"/>
        <item m="1" x="484"/>
        <item m="1" x="1677"/>
        <item m="1" x="2714"/>
        <item m="1" x="993"/>
        <item m="1" x="1387"/>
        <item m="1" x="1678"/>
        <item m="1" x="1895"/>
        <item m="1" x="1365"/>
        <item m="1" x="1649"/>
        <item m="1" x="1620"/>
        <item m="1" x="1599"/>
        <item m="1" x="1122"/>
        <item m="1" x="489"/>
        <item m="1" x="1352"/>
        <item m="1" x="1616"/>
        <item m="1" x="835"/>
        <item m="1" x="2515"/>
        <item m="1" x="230"/>
        <item m="1" x="533"/>
        <item m="1" x="2501"/>
        <item m="1" x="261"/>
        <item m="1" x="201"/>
        <item m="1" x="285"/>
        <item m="1" x="2502"/>
        <item m="1" x="1187"/>
        <item m="1" x="552"/>
        <item m="1" x="2503"/>
        <item m="1" x="630"/>
        <item m="1" x="859"/>
        <item m="1" x="1975"/>
        <item m="1" x="2504"/>
        <item m="1" x="2713"/>
        <item m="1" x="2694"/>
        <item m="1" x="1076"/>
        <item m="1" x="905"/>
        <item m="1" x="2514"/>
        <item m="1" x="1828"/>
        <item m="1" x="1164"/>
        <item m="1" x="1415"/>
        <item m="1" x="2587"/>
        <item m="1" x="2698"/>
        <item m="1" x="1697"/>
        <item m="1" x="1401"/>
        <item m="1" x="1292"/>
        <item m="1" x="2505"/>
        <item m="1" x="2702"/>
        <item m="1" x="280"/>
        <item m="1" x="879"/>
        <item m="1" x="937"/>
        <item x="34"/>
        <item m="1" x="365"/>
        <item m="1" x="1566"/>
        <item m="1" x="710"/>
        <item m="1" x="490"/>
        <item sd="0" m="1" x="493"/>
        <item m="1" x="711"/>
        <item m="1" x="400"/>
        <item m="1" x="2507"/>
        <item m="1" x="2624"/>
        <item m="1" x="632"/>
        <item m="1" x="2189"/>
        <item m="1" x="1631"/>
        <item m="1" x="2706"/>
        <item m="1" x="729"/>
        <item m="1" x="2617"/>
        <item x="24"/>
        <item m="1" x="1331"/>
        <item m="1" x="838"/>
        <item m="1" x="2022"/>
        <item m="1" x="1689"/>
        <item m="1" x="1690"/>
        <item m="1" x="2308"/>
        <item m="1" x="1794"/>
        <item m="1" x="1173"/>
        <item m="1" x="651"/>
        <item m="1" x="2652"/>
        <item m="1" x="1101"/>
        <item m="1" x="2128"/>
        <item m="1" x="613"/>
        <item m="1" x="137"/>
        <item m="1" x="813"/>
        <item m="1" x="2603"/>
        <item m="1" x="1343"/>
        <item m="1" x="2509"/>
        <item m="1" x="839"/>
        <item m="1" x="1691"/>
        <item m="1" x="121"/>
        <item m="1" x="425"/>
        <item m="1" x="2431"/>
        <item m="1" x="1890"/>
        <item m="1" x="1776"/>
        <item m="1" x="1904"/>
        <item m="1" x="2144"/>
        <item m="1" x="62"/>
        <item m="1" x="1055"/>
        <item m="1" x="840"/>
        <item m="1" x="2383"/>
        <item m="1" x="1578"/>
        <item m="1" x="2510"/>
        <item m="1" x="1660"/>
        <item m="1" x="485"/>
        <item m="1" x="1207"/>
        <item m="1" x="1693"/>
        <item m="1" x="1663"/>
        <item m="1" x="1657"/>
        <item m="1" x="858"/>
        <item m="1" x="2511"/>
        <item m="1" x="2001"/>
        <item m="1" x="841"/>
        <item m="1" x="1411"/>
        <item m="1" x="837"/>
        <item m="1" x="2597"/>
        <item m="1" x="1694"/>
        <item m="1" x="1801"/>
        <item m="1" x="1695"/>
        <item m="1" x="1681"/>
        <item m="1" x="1587"/>
        <item m="1" x="1160"/>
        <item m="1" x="1569"/>
        <item m="1" x="998"/>
        <item m="1" x="856"/>
        <item m="1" x="1166"/>
        <item m="1" x="2512"/>
        <item m="1" x="150"/>
        <item m="1" x="2149"/>
        <item m="1" x="1223"/>
        <item m="1" x="212"/>
        <item m="1" x="918"/>
        <item m="1" x="1989"/>
        <item m="1" x="1979"/>
        <item m="1" x="2268"/>
        <item m="1" x="56"/>
        <item m="1" x="1562"/>
        <item m="1" x="1581"/>
        <item m="1" x="2390"/>
        <item m="1" x="969"/>
        <item m="1" x="473"/>
        <item m="1" x="843"/>
        <item m="1" x="1625"/>
        <item m="1" x="935"/>
        <item m="1" x="2023"/>
        <item m="1" x="1462"/>
        <item m="1" x="2666"/>
        <item m="1" x="2024"/>
        <item x="9"/>
        <item m="1" x="1698"/>
        <item m="1" x="1375"/>
        <item m="1" x="1699"/>
        <item m="1" x="179"/>
        <item m="1" x="2148"/>
        <item m="1" x="589"/>
        <item m="1" x="558"/>
        <item m="1" x="1019"/>
        <item m="1" x="69"/>
        <item m="1" x="199"/>
        <item m="1" x="844"/>
        <item m="1" x="714"/>
        <item m="1" x="2449"/>
        <item m="1" x="715"/>
        <item m="1" x="1670"/>
        <item m="1" x="1407"/>
        <item m="1" x="2130"/>
        <item m="1" x="1702"/>
        <item m="1" x="427"/>
        <item m="1" x="190"/>
        <item m="1" x="1479"/>
        <item m="1" x="679"/>
        <item m="1" x="716"/>
        <item m="1" x="65"/>
        <item m="1" x="1703"/>
        <item m="1" x="1851"/>
        <item m="1" x="717"/>
        <item m="1" x="486"/>
        <item m="1" x="231"/>
        <item m="1" x="2079"/>
        <item m="1" x="2131"/>
        <item m="1" x="1626"/>
        <item m="1" x="2516"/>
        <item m="1" x="1374"/>
        <item m="1" x="1280"/>
        <item m="1" x="927"/>
        <item m="1" x="299"/>
        <item sd="0" m="1" x="2734"/>
        <item m="1" x="1843"/>
        <item m="1" x="1991"/>
        <item m="1" x="200"/>
        <item m="1" x="1859"/>
        <item m="1" x="86"/>
        <item m="1" x="1268"/>
        <item m="1" x="1417"/>
        <item m="1" x="1706"/>
        <item m="1" x="1269"/>
        <item m="1" x="2132"/>
        <item m="1" x="989"/>
        <item m="1" x="1704"/>
        <item m="1" x="637"/>
        <item m="1" x="706"/>
        <item sd="0" m="1" x="640"/>
        <item m="1" x="842"/>
        <item m="1" x="105"/>
        <item m="1" x="173"/>
        <item m="1" x="1495"/>
        <item m="1" x="896"/>
        <item m="1" x="2517"/>
        <item m="1" x="2518"/>
        <item m="1" x="982"/>
        <item m="1" x="2519"/>
        <item m="1" x="718"/>
        <item m="1" x="1705"/>
        <item m="1" x="1519"/>
        <item m="1" x="2644"/>
        <item m="1" x="2640"/>
        <item m="1" x="2520"/>
        <item m="1" x="1025"/>
        <item m="1" x="1182"/>
        <item m="1" x="1946"/>
        <item m="1" x="1635"/>
        <item m="1" x="984"/>
        <item m="1" x="1274"/>
        <item m="1" x="2521"/>
        <item m="1" x="1633"/>
        <item m="1" x="2522"/>
        <item m="1" x="861"/>
        <item m="1" x="1707"/>
        <item m="1" x="1834"/>
        <item m="1" x="1634"/>
        <item m="1" x="2700"/>
        <item m="1" x="127"/>
        <item m="1" x="1032"/>
        <item m="1" x="2203"/>
        <item m="1" x="1404"/>
        <item m="1" x="1494"/>
        <item m="1" x="1770"/>
        <item m="1" x="1983"/>
        <item m="1" x="2523"/>
        <item m="1" x="1709"/>
        <item m="1" x="1777"/>
        <item m="1" x="2525"/>
        <item m="1" x="719"/>
        <item m="1" x="1927"/>
        <item m="1" x="1996"/>
        <item m="1" x="846"/>
        <item m="1" x="2526"/>
        <item m="1" x="2392"/>
        <item m="1" x="519"/>
        <item m="1" x="1086"/>
        <item m="1" x="2059"/>
        <item m="1" x="598"/>
        <item m="1" x="757"/>
        <item m="1" x="535"/>
        <item m="1" x="2133"/>
        <item m="1" x="2527"/>
        <item m="1" x="204"/>
        <item m="1" x="720"/>
        <item x="35"/>
        <item m="1" x="1713"/>
        <item m="1" x="1014"/>
        <item m="1" x="1424"/>
        <item m="1" x="941"/>
        <item m="1" x="2712"/>
        <item m="1" x="420"/>
        <item m="1" x="2528"/>
        <item m="1" x="1391"/>
        <item m="1" x="2012"/>
        <item m="1" x="2573"/>
        <item m="1" x="938"/>
        <item m="1" x="2134"/>
        <item m="1" x="267"/>
        <item m="1" x="2529"/>
        <item m="1" x="1293"/>
        <item m="1" x="614"/>
        <item sd="0" m="1" x="2722"/>
        <item m="1" x="2593"/>
        <item m="1" x="1416"/>
        <item m="1" x="324"/>
        <item m="1" x="428"/>
        <item m="1" x="2530"/>
        <item m="1" x="2029"/>
        <item m="1" x="723"/>
        <item m="1" x="2259"/>
        <item m="1" x="541"/>
        <item m="1" x="1618"/>
        <item m="1" x="1674"/>
        <item m="1" x="1778"/>
        <item m="1" x="911"/>
        <item m="1" x="2531"/>
        <item m="1" x="847"/>
        <item x="23"/>
        <item m="1" x="478"/>
        <item m="1" x="848"/>
        <item m="1" x="929"/>
        <item m="1" x="1844"/>
        <item m="1" x="1715"/>
        <item m="1" x="1710"/>
        <item m="1" x="1004"/>
        <item m="1" x="726"/>
        <item m="1" x="2135"/>
        <item m="1" x="1353"/>
        <item m="1" x="1717"/>
        <item m="1" x="1779"/>
        <item sd="0" m="1" x="465"/>
        <item m="1" x="1260"/>
        <item m="1" x="974"/>
        <item m="1" x="2533"/>
        <item m="1" x="188"/>
        <item m="1" x="2647"/>
        <item m="1" x="2686"/>
        <item m="1" x="866"/>
        <item m="1" x="1811"/>
        <item m="1" x="812"/>
        <item x="43"/>
        <item m="1" x="1718"/>
        <item m="1" x="1719"/>
        <item m="1" x="1398"/>
        <item m="1" x="1720"/>
        <item sd="0" m="1" x="2728"/>
        <item m="1" x="128"/>
        <item m="1" x="205"/>
        <item m="1" x="686"/>
        <item m="1" x="2622"/>
        <item m="1" x="1780"/>
        <item m="1" x="685"/>
        <item m="1" x="2416"/>
        <item m="1" x="2705"/>
        <item m="1" x="1333"/>
        <item m="1" x="1667"/>
        <item m="1" x="2136"/>
        <item m="1" x="1781"/>
        <item m="1" x="329"/>
        <item m="1" x="1724"/>
        <item m="1" x="206"/>
        <item m="1" x="153"/>
        <item m="1" x="2643"/>
        <item m="1" x="849"/>
        <item m="1" x="854"/>
        <item m="1" x="2631"/>
        <item m="1" x="471"/>
        <item m="1" x="2535"/>
        <item m="1" x="1902"/>
        <item m="1" x="722"/>
        <item m="1" x="540"/>
        <item m="1" x="2255"/>
        <item m="1" x="850"/>
        <item m="1" x="183"/>
        <item m="1" x="693"/>
        <item m="1" x="644"/>
        <item m="1" x="1726"/>
        <item m="1" x="967"/>
        <item sd="0" m="1" x="2117"/>
        <item m="1" x="397"/>
        <item m="1" x="1504"/>
        <item x="40"/>
        <item sd="0" m="1" x="2729"/>
        <item m="1" x="1273"/>
        <item m="1" x="2536"/>
        <item m="1" x="2470"/>
        <item m="1" x="429"/>
        <item m="1" x="2537"/>
        <item m="1" x="2538"/>
        <item m="1" x="2569"/>
        <item m="1" x="2539"/>
        <item m="1" x="1460"/>
        <item m="1" x="2058"/>
        <item m="1" x="2540"/>
        <item m="1" x="942"/>
        <item m="1" x="2031"/>
        <item m="1" x="1597"/>
        <item m="1" x="2541"/>
        <item m="1" x="1325"/>
        <item m="1" x="2071"/>
        <item m="1" x="828"/>
        <item m="1" x="430"/>
        <item m="1" x="1356"/>
        <item m="1" x="1031"/>
        <item x="16"/>
        <item m="1" x="1957"/>
        <item m="1" x="1434"/>
        <item m="1" x="874"/>
        <item m="1" x="2542"/>
        <item m="1" x="2543"/>
        <item m="1" x="249"/>
        <item m="1" x="207"/>
        <item m="1" x="2544"/>
        <item m="1" x="2545"/>
        <item m="1" x="2137"/>
        <item m="1" x="2138"/>
        <item m="1" x="1002"/>
        <item m="1" x="134"/>
        <item m="1" x="1732"/>
        <item m="1" x="1326"/>
        <item m="1" x="155"/>
        <item m="1" x="211"/>
        <item m="1" x="1161"/>
        <item x="36"/>
        <item m="1" x="141"/>
        <item m="1" x="2548"/>
        <item m="1" x="508"/>
        <item m="1" x="930"/>
        <item m="1" x="571"/>
        <item m="1" x="2372"/>
        <item m="1" x="2357"/>
        <item m="1" x="241"/>
        <item m="1" x="1733"/>
        <item m="1" x="1734"/>
        <item m="1" x="431"/>
        <item m="1" x="851"/>
        <item m="1" x="2546"/>
        <item m="1" x="532"/>
        <item m="1" x="1521"/>
        <item m="1" x="1554"/>
        <item m="1" x="2547"/>
        <item m="1" x="1782"/>
        <item m="1" x="1903"/>
        <item m="1" x="2549"/>
        <item m="1" x="1735"/>
        <item m="1" x="1650"/>
        <item m="1" x="1736"/>
        <item m="1" x="2708"/>
        <item t="default" sd="0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4"/>
    <field x="0"/>
  </rowFields>
  <rowItems count="1">
    <i t="grand">
      <x/>
    </i>
  </rowItems>
  <colItems count="1">
    <i/>
  </colItems>
  <pageFields count="1">
    <pageField fld="3" hier="-1"/>
  </pageFields>
  <dataFields count="1">
    <dataField name="Total" fld="9" baseField="0" baseItem="0" numFmtId="44"/>
  </dataFields>
  <formats count="9">
    <format dxfId="217">
      <pivotArea collapsedLevelsAreSubtotals="1" fieldPosition="0">
        <references count="1">
          <reference field="4" count="1">
            <x v="275"/>
          </reference>
        </references>
      </pivotArea>
    </format>
    <format dxfId="216">
      <pivotArea collapsedLevelsAreSubtotals="1" fieldPosition="0">
        <references count="1">
          <reference field="4" count="1">
            <x v="664"/>
          </reference>
        </references>
      </pivotArea>
    </format>
    <format dxfId="215">
      <pivotArea collapsedLevelsAreSubtotals="1" fieldPosition="0">
        <references count="1">
          <reference field="4" count="1">
            <x v="789"/>
          </reference>
        </references>
      </pivotArea>
    </format>
    <format dxfId="214">
      <pivotArea collapsedLevelsAreSubtotals="1" fieldPosition="0">
        <references count="1">
          <reference field="4" count="1">
            <x v="1446"/>
          </reference>
        </references>
      </pivotArea>
    </format>
    <format dxfId="213">
      <pivotArea collapsedLevelsAreSubtotals="1" fieldPosition="0">
        <references count="1">
          <reference field="4" count="1">
            <x v="1688"/>
          </reference>
        </references>
      </pivotArea>
    </format>
    <format dxfId="212">
      <pivotArea collapsedLevelsAreSubtotals="1" fieldPosition="0">
        <references count="1">
          <reference field="4" count="1">
            <x v="1989"/>
          </reference>
        </references>
      </pivotArea>
    </format>
    <format dxfId="211">
      <pivotArea dataOnly="0" labelOnly="1" fieldPosition="0">
        <references count="1">
          <reference field="4" count="6">
            <x v="275"/>
            <x v="664"/>
            <x v="789"/>
            <x v="1446"/>
            <x v="1688"/>
            <x v="1989"/>
          </reference>
        </references>
      </pivotArea>
    </format>
    <format dxfId="210">
      <pivotArea field="4" type="button" dataOnly="0" labelOnly="1" outline="0" axis="axisRow" fieldPosition="0"/>
    </format>
    <format dxfId="209">
      <pivotArea dataOnly="0" labelOnly="1" outline="0" axis="axisValues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47D8E-CEA5-CA43-964A-594DCB5DB447}" name="PivotTable5" cacheId="4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A4:B6" firstHeaderRow="1" firstDataRow="1" firstDataCol="1" rowPageCount="1" colPageCount="1"/>
  <pivotFields count="15">
    <pivotField axis="axisRow" showAll="0">
      <items count="71">
        <item x="56"/>
        <item x="64"/>
        <item x="57"/>
        <item x="65"/>
        <item x="25"/>
        <item x="34"/>
        <item x="36"/>
        <item x="30"/>
        <item x="21"/>
        <item x="52"/>
        <item x="13"/>
        <item x="44"/>
        <item x="14"/>
        <item x="22"/>
        <item x="16"/>
        <item x="29"/>
        <item x="2"/>
        <item x="8"/>
        <item x="51"/>
        <item x="20"/>
        <item x="26"/>
        <item x="35"/>
        <item x="19"/>
        <item x="6"/>
        <item x="61"/>
        <item x="4"/>
        <item x="43"/>
        <item x="11"/>
        <item x="54"/>
        <item x="33"/>
        <item x="38"/>
        <item x="39"/>
        <item x="63"/>
        <item x="17"/>
        <item x="55"/>
        <item x="0"/>
        <item x="1"/>
        <item m="1" x="67"/>
        <item x="46"/>
        <item x="45"/>
        <item x="24"/>
        <item x="18"/>
        <item x="50"/>
        <item x="58"/>
        <item x="59"/>
        <item x="7"/>
        <item x="47"/>
        <item x="31"/>
        <item x="53"/>
        <item x="48"/>
        <item x="23"/>
        <item x="27"/>
        <item x="32"/>
        <item x="37"/>
        <item x="49"/>
        <item m="1" x="68"/>
        <item m="1" x="69"/>
        <item x="3"/>
        <item x="9"/>
        <item x="60"/>
        <item x="28"/>
        <item x="10"/>
        <item x="66"/>
        <item x="62"/>
        <item x="40"/>
        <item x="41"/>
        <item x="42"/>
        <item x="12"/>
        <item x="15"/>
        <item x="5"/>
        <item t="default"/>
      </items>
    </pivotField>
    <pivotField showAll="0"/>
    <pivotField showAll="0"/>
    <pivotField axis="axisPage" multipleItemSelectionAllowed="1" showAll="0">
      <items count="49">
        <item h="1" x="10"/>
        <item h="1" x="15"/>
        <item x="17"/>
        <item h="1" x="5"/>
        <item h="1" x="7"/>
        <item h="1" m="1" x="18"/>
        <item h="1" x="6"/>
        <item h="1" x="12"/>
        <item h="1" x="14"/>
        <item h="1" m="1" x="36"/>
        <item h="1" x="3"/>
        <item h="1" x="8"/>
        <item h="1" x="9"/>
        <item h="1" m="1" x="41"/>
        <item h="1" m="1" x="42"/>
        <item h="1" x="13"/>
        <item h="1" x="0"/>
        <item h="1" m="1" x="23"/>
        <item h="1" m="1" x="45"/>
        <item h="1" m="1" x="47"/>
        <item h="1" x="1"/>
        <item h="1" m="1" x="39"/>
        <item h="1" x="4"/>
        <item h="1" m="1" x="44"/>
        <item h="1" m="1" x="46"/>
        <item h="1" x="2"/>
        <item h="1" m="1" x="40"/>
        <item h="1" x="11"/>
        <item h="1" m="1" x="34"/>
        <item h="1" m="1" x="21"/>
        <item h="1" m="1" x="31"/>
        <item h="1" m="1" x="33"/>
        <item h="1" m="1" x="22"/>
        <item h="1" m="1" x="20"/>
        <item h="1" m="1" x="26"/>
        <item h="1" m="1" x="27"/>
        <item h="1" m="1" x="19"/>
        <item h="1" x="16"/>
        <item h="1" m="1" x="43"/>
        <item h="1" m="1" x="24"/>
        <item h="1" m="1" x="25"/>
        <item h="1" m="1" x="28"/>
        <item h="1" m="1" x="29"/>
        <item h="1" m="1" x="30"/>
        <item h="1" m="1" x="32"/>
        <item h="1" m="1" x="35"/>
        <item h="1" m="1" x="37"/>
        <item h="1" m="1" x="38"/>
        <item t="default"/>
      </items>
    </pivotField>
    <pivotField axis="axisRow" showAll="0" sortType="ascending">
      <items count="2742">
        <item m="1" x="956"/>
        <item m="1" x="1464"/>
        <item m="1" x="2141"/>
        <item m="1" x="272"/>
        <item m="1" x="870"/>
        <item m="1" x="575"/>
        <item m="1" x="2057"/>
        <item m="1" x="1442"/>
        <item m="1" x="361"/>
        <item m="1" x="118"/>
        <item m="1" x="1346"/>
        <item m="1" x="725"/>
        <item m="1" x="1254"/>
        <item m="1" x="282"/>
        <item m="1" x="2036"/>
        <item m="1" x="2157"/>
        <item m="1" x="1796"/>
        <item m="1" x="951"/>
        <item m="1" x="1887"/>
        <item m="1" x="1870"/>
        <item m="1" x="2717"/>
        <item x="5"/>
        <item m="1" x="491"/>
        <item m="1" x="1549"/>
        <item m="1" x="1484"/>
        <item m="1" x="727"/>
        <item m="1" x="1288"/>
        <item m="1" x="1739"/>
        <item m="1" x="804"/>
        <item m="1" x="451"/>
        <item m="1" x="1888"/>
        <item x="12"/>
        <item m="1" x="2159"/>
        <item m="1" x="1623"/>
        <item m="1" x="2037"/>
        <item m="1" x="78"/>
        <item m="1" x="2611"/>
        <item m="1" x="1378"/>
        <item m="1" x="1556"/>
        <item m="1" x="959"/>
        <item m="1" x="177"/>
        <item m="1" x="2038"/>
        <item m="1" x="1737"/>
        <item m="1" x="2160"/>
        <item m="1" x="2161"/>
        <item m="1" x="357"/>
        <item m="1" x="1142"/>
        <item m="1" x="1003"/>
        <item m="1" x="2688"/>
        <item m="1" x="2162"/>
        <item m="1" x="1096"/>
        <item m="1" x="1016"/>
        <item m="1" x="2039"/>
        <item m="1" x="88"/>
        <item m="1" x="1738"/>
        <item m="1" x="2163"/>
        <item m="1" x="1459"/>
        <item m="1" x="2164"/>
        <item m="1" x="2153"/>
        <item m="1" x="89"/>
        <item m="1" x="2165"/>
        <item m="1" x="730"/>
        <item m="1" x="1630"/>
        <item m="1" x="1005"/>
        <item m="1" x="2166"/>
        <item m="1" x="1348"/>
        <item m="1" x="1006"/>
        <item m="1" x="731"/>
        <item m="1" x="1651"/>
        <item m="1" x="2167"/>
        <item m="1" x="1008"/>
        <item m="1" x="2168"/>
        <item m="1" x="1367"/>
        <item m="1" x="2146"/>
        <item m="1" x="90"/>
        <item m="1" x="2169"/>
        <item m="1" x="266"/>
        <item m="1" x="922"/>
        <item m="1" x="442"/>
        <item m="1" x="364"/>
        <item m="1" x="732"/>
        <item m="1" x="1555"/>
        <item m="1" x="2170"/>
        <item m="1" x="418"/>
        <item m="1" x="887"/>
        <item m="1" x="265"/>
        <item m="1" x="292"/>
        <item m="1" x="2171"/>
        <item m="1" x="68"/>
        <item m="1" x="521"/>
        <item m="1" x="616"/>
        <item m="1" x="2484"/>
        <item m="1" x="617"/>
        <item m="1" x="284"/>
        <item m="1" x="2172"/>
        <item m="1" x="2659"/>
        <item m="1" x="1617"/>
        <item m="1" x="1363"/>
        <item m="1" x="2173"/>
        <item m="1" x="232"/>
        <item m="1" x="2174"/>
        <item m="1" x="2175"/>
        <item m="1" x="2176"/>
        <item m="1" x="2040"/>
        <item m="1" x="562"/>
        <item m="1" x="1476"/>
        <item m="1" x="242"/>
        <item m="1" x="181"/>
        <item m="1" x="1465"/>
        <item m="1" x="2678"/>
        <item m="1" x="1482"/>
        <item m="1" x="815"/>
        <item m="1" x="1128"/>
        <item m="1" x="2489"/>
        <item m="1" x="2177"/>
        <item m="1" x="2385"/>
        <item m="1" x="1129"/>
        <item m="1" x="2178"/>
        <item m="1" x="2181"/>
        <item m="1" x="1012"/>
        <item m="1" x="890"/>
        <item m="1" x="2182"/>
        <item m="1" x="1874"/>
        <item m="1" x="2183"/>
        <item m="1" x="1727"/>
        <item m="1" x="2184"/>
        <item m="1" x="1408"/>
        <item m="1" x="238"/>
        <item m="1" x="2185"/>
        <item m="1" x="93"/>
        <item m="1" x="1041"/>
        <item m="1" x="734"/>
        <item m="1" x="1042"/>
        <item m="1" x="1309"/>
        <item m="1" x="1399"/>
        <item m="1" x="1547"/>
        <item m="1" x="2186"/>
        <item m="1" x="344"/>
        <item m="1" x="94"/>
        <item m="1" x="2187"/>
        <item m="1" x="2188"/>
        <item m="1" x="983"/>
        <item m="1" x="2041"/>
        <item m="1" x="547"/>
        <item m="1" x="1359"/>
        <item m="1" x="1303"/>
        <item m="1" x="1552"/>
        <item m="1" x="981"/>
        <item m="1" x="54"/>
        <item m="1" x="255"/>
        <item m="1" x="497"/>
        <item m="1" x="2190"/>
        <item m="1" x="2191"/>
        <item m="1" x="2192"/>
        <item m="1" x="2650"/>
        <item m="1" x="621"/>
        <item m="1" x="1045"/>
        <item m="1" x="880"/>
        <item m="1" x="1046"/>
        <item m="1" x="274"/>
        <item m="1" x="1047"/>
        <item m="1" x="2193"/>
        <item m="1" x="1049"/>
        <item m="1" x="1050"/>
        <item m="1" x="1962"/>
        <item m="1" x="735"/>
        <item m="1" x="2194"/>
        <item m="1" x="2083"/>
        <item m="1" x="2682"/>
        <item m="1" x="287"/>
        <item m="1" x="432"/>
        <item m="1" x="472"/>
        <item m="1" x="1868"/>
        <item m="1" x="419"/>
        <item m="1" x="2389"/>
        <item m="1" x="1052"/>
        <item m="1" x="1053"/>
        <item m="1" x="2618"/>
        <item m="1" x="2637"/>
        <item m="1" x="2641"/>
        <item m="1" x="366"/>
        <item m="1" x="296"/>
        <item m="1" x="1218"/>
        <item m="1" x="1151"/>
        <item m="1" x="620"/>
        <item m="1" x="1344"/>
        <item m="1" x="1203"/>
        <item m="1" x="2195"/>
        <item m="1" x="736"/>
        <item m="1" x="538"/>
        <item m="1" x="2196"/>
        <item m="1" x="1200"/>
        <item m="1" x="1873"/>
        <item m="1" x="1744"/>
        <item m="1" x="2197"/>
        <item m="1" x="1505"/>
        <item m="1" x="622"/>
        <item m="1" x="2261"/>
        <item m="1" x="2000"/>
        <item m="1" x="374"/>
        <item m="1" x="1741"/>
        <item m="1" x="1948"/>
        <item m="1" x="1056"/>
        <item m="1" x="304"/>
        <item m="1" x="498"/>
        <item m="1" x="737"/>
        <item m="1" x="2042"/>
        <item m="1" x="2198"/>
        <item m="1" x="1643"/>
        <item m="1" x="1475"/>
        <item m="1" x="738"/>
        <item m="1" x="1058"/>
        <item m="1" x="1863"/>
        <item m="1" x="2635"/>
        <item m="1" x="97"/>
        <item m="1" x="739"/>
        <item m="1" x="516"/>
        <item m="1" x="807"/>
        <item m="1" x="2651"/>
        <item m="1" x="2115"/>
        <item m="1" x="625"/>
        <item m="1" x="1978"/>
        <item m="1" x="2043"/>
        <item m="1" x="895"/>
        <item m="1" x="626"/>
        <item m="1" x="1063"/>
        <item m="1" x="1253"/>
        <item m="1" x="1393"/>
        <item m="1" x="1020"/>
        <item m="1" x="492"/>
        <item m="1" x="1804"/>
        <item m="1" x="2085"/>
        <item m="1" x="1900"/>
        <item m="1" x="1886"/>
        <item m="1" x="573"/>
        <item m="1" x="2638"/>
        <item m="1" x="628"/>
        <item m="1" x="2508"/>
        <item m="1" x="464"/>
        <item m="1" x="1224"/>
        <item m="1" x="2002"/>
        <item m="1" x="1500"/>
        <item m="1" x="2199"/>
        <item m="1" x="448"/>
        <item m="1" x="412"/>
        <item m="1" x="98"/>
        <item m="1" x="1575"/>
        <item m="1" x="2601"/>
        <item m="1" x="1508"/>
        <item m="1" x="741"/>
        <item m="1" x="2200"/>
        <item m="1" x="175"/>
        <item m="1" x="1349"/>
        <item m="1" x="1622"/>
        <item m="1" x="2080"/>
        <item m="1" x="806"/>
        <item m="1" x="1981"/>
        <item m="1" x="594"/>
        <item m="1" x="2201"/>
        <item m="1" x="1947"/>
        <item m="1" x="1069"/>
        <item sd="0" m="1" x="47"/>
        <item m="1" x="1382"/>
        <item m="1" x="1701"/>
        <item m="1" x="2681"/>
        <item m="1" x="1355"/>
        <item m="1" x="2202"/>
        <item m="1" x="1364"/>
        <item m="1" x="743"/>
        <item m="1" x="1072"/>
        <item m="1" x="1327"/>
        <item m="1" x="1240"/>
        <item m="1" x="250"/>
        <item m="1" x="2704"/>
        <item sd="0" m="1" x="301"/>
        <item sd="0" m="1" x="2726"/>
        <item m="1" x="2572"/>
        <item m="1" x="744"/>
        <item m="1" x="2018"/>
        <item m="1" x="1073"/>
        <item m="1" x="745"/>
        <item m="1" x="746"/>
        <item m="1" x="2204"/>
        <item m="1" x="1137"/>
        <item m="1" x="2205"/>
        <item m="1" x="529"/>
        <item m="1" x="577"/>
        <item m="1" x="215"/>
        <item m="1" x="499"/>
        <item m="1" x="1418"/>
        <item m="1" x="1940"/>
        <item m="1" x="474"/>
        <item m="1" x="986"/>
        <item m="1" x="72"/>
        <item m="1" x="1388"/>
        <item m="1" x="2206"/>
        <item m="1" x="99"/>
        <item m="1" x="1330"/>
        <item m="1" x="1237"/>
        <item m="1" x="1282"/>
        <item m="1" x="1294"/>
        <item m="1" x="2207"/>
        <item m="1" x="2208"/>
        <item m="1" x="811"/>
        <item m="1" x="747"/>
        <item m="1" x="1310"/>
        <item m="1" x="2081"/>
        <item m="1" x="1771"/>
        <item m="1" x="449"/>
        <item m="1" x="1341"/>
        <item m="1" x="1878"/>
        <item m="1" x="159"/>
        <item m="1" x="576"/>
        <item m="1" x="551"/>
        <item m="1" x="2209"/>
        <item m="1" x="2003"/>
        <item m="1" x="1078"/>
        <item m="1" x="2210"/>
        <item m="1" x="1453"/>
        <item m="1" x="1935"/>
        <item m="1" x="251"/>
        <item m="1" x="1574"/>
        <item m="1" x="1306"/>
        <item m="1" x="1905"/>
        <item m="1" x="1652"/>
        <item m="1" x="313"/>
        <item sd="0" m="1" x="631"/>
        <item m="1" x="1079"/>
        <item m="1" x="526"/>
        <item m="1" x="1757"/>
        <item m="1" x="2211"/>
        <item m="1" x="1037"/>
        <item m="1" x="561"/>
        <item m="1" x="926"/>
        <item m="1" x="2577"/>
        <item m="1" x="2212"/>
        <item m="1" x="1360"/>
        <item m="1" x="2086"/>
        <item m="1" x="1377"/>
        <item m="1" x="2213"/>
        <item m="1" x="100"/>
        <item m="1" x="476"/>
        <item m="1" x="1336"/>
        <item m="1" x="1907"/>
        <item m="1" x="1956"/>
        <item m="1" x="1909"/>
        <item m="1" x="452"/>
        <item m="1" x="109"/>
        <item m="1" x="399"/>
        <item m="1" x="1083"/>
        <item m="1" x="2214"/>
        <item m="1" x="1085"/>
        <item m="1" x="748"/>
        <item m="1" x="2215"/>
        <item m="1" x="2589"/>
        <item m="1" x="1087"/>
        <item m="1" x="254"/>
        <item m="1" x="2563"/>
        <item m="1" x="749"/>
        <item m="1" x="1088"/>
        <item m="1" x="2581"/>
        <item m="1" x="81"/>
        <item m="1" x="1095"/>
        <item m="1" x="158"/>
        <item m="1" x="950"/>
        <item m="1" x="979"/>
        <item m="1" x="1098"/>
        <item sd="0" m="1" x="2571"/>
        <item m="1" x="1084"/>
        <item x="38"/>
        <item m="1" x="2630"/>
        <item m="1" x="103"/>
        <item m="1" x="2716"/>
        <item m="1" x="633"/>
        <item m="1" x="1438"/>
        <item m="1" x="1147"/>
        <item m="1" x="1520"/>
        <item m="1" x="1149"/>
        <item m="1" x="102"/>
        <item m="1" x="1091"/>
        <item m="1" x="115"/>
        <item sd="0" m="1" x="116"/>
        <item m="1" x="1152"/>
        <item m="1" x="618"/>
        <item m="1" x="1380"/>
        <item m="1" x="117"/>
        <item m="1" x="649"/>
        <item m="1" x="648"/>
        <item m="1" x="1089"/>
        <item m="1" x="2670"/>
        <item m="1" x="2216"/>
        <item m="1" x="1090"/>
        <item m="1" x="2004"/>
        <item m="1" x="1021"/>
        <item m="1" x="523"/>
        <item m="1" x="578"/>
        <item m="1" x="1764"/>
        <item m="1" x="908"/>
        <item m="1" x="2560"/>
        <item m="1" x="1803"/>
        <item m="1" x="2242"/>
        <item m="1" x="49"/>
        <item m="1" x="2044"/>
        <item m="1" x="1397"/>
        <item m="1" x="2649"/>
        <item m="1" x="2217"/>
        <item m="1" x="1163"/>
        <item m="1" x="148"/>
        <item m="1" x="2596"/>
        <item m="1" x="167"/>
        <item m="1" x="970"/>
        <item m="1" x="1094"/>
        <item m="1" x="2218"/>
        <item m="1" x="1898"/>
        <item m="1" x="2219"/>
        <item m="1" x="883"/>
        <item m="1" x="873"/>
        <item m="1" x="2600"/>
        <item m="1" x="2380"/>
        <item m="1" x="1932"/>
        <item m="1" x="1062"/>
        <item m="1" x="2220"/>
        <item m="1" x="1952"/>
        <item m="1" x="1082"/>
        <item m="1" x="1289"/>
        <item sd="0" m="1" x="2721"/>
        <item m="1" x="106"/>
        <item m="1" x="360"/>
        <item m="1" x="1998"/>
        <item m="1" x="2339"/>
        <item m="1" x="2667"/>
        <item m="1" x="545"/>
        <item m="1" x="2087"/>
        <item m="1" x="751"/>
        <item m="1" x="107"/>
        <item m="1" x="509"/>
        <item m="1" x="259"/>
        <item m="1" x="1097"/>
        <item m="1" x="1080"/>
        <item x="10"/>
        <item m="1" x="2559"/>
        <item m="1" x="1621"/>
        <item m="1" x="753"/>
        <item m="1" x="331"/>
        <item m="1" x="932"/>
        <item x="22"/>
        <item x="1"/>
        <item m="1" x="2221"/>
        <item m="1" x="2222"/>
        <item m="1" x="369"/>
        <item m="1" x="453"/>
        <item m="1" x="58"/>
        <item m="1" x="437"/>
        <item m="1" x="1687"/>
        <item m="1" x="1099"/>
        <item m="1" x="2224"/>
        <item m="1" x="2045"/>
        <item m="1" x="2608"/>
        <item m="1" x="1783"/>
        <item m="1" x="1885"/>
        <item m="1" x="636"/>
        <item m="1" x="108"/>
        <item m="1" x="52"/>
        <item m="1" x="1103"/>
        <item x="18"/>
        <item m="1" x="1993"/>
        <item m="1" x="2016"/>
        <item m="1" x="1911"/>
        <item m="1" x="593"/>
        <item m="1" x="754"/>
        <item m="1" x="755"/>
        <item m="1" x="407"/>
        <item m="1" x="356"/>
        <item m="1" x="1104"/>
        <item m="1" x="2225"/>
        <item m="1" x="1105"/>
        <item m="1" x="756"/>
        <item m="1" x="2158"/>
        <item m="1" x="752"/>
        <item m="1" x="2046"/>
        <item m="1" x="2226"/>
        <item m="1" x="1913"/>
        <item m="1" x="2150"/>
        <item m="1" x="919"/>
        <item m="1" x="2020"/>
        <item m="1" x="208"/>
        <item m="1" x="1708"/>
        <item m="1" x="1111"/>
        <item m="1" x="454"/>
        <item m="1" x="1112"/>
        <item m="1" x="309"/>
        <item m="1" x="1869"/>
        <item m="1" x="302"/>
        <item m="1" x="852"/>
        <item m="1" x="1205"/>
        <item m="1" x="1113"/>
        <item m="1" x="713"/>
        <item m="1" x="638"/>
        <item m="1" x="1210"/>
        <item m="1" x="1070"/>
        <item m="1" x="1805"/>
        <item m="1" x="1806"/>
        <item m="1" x="216"/>
        <item m="1" x="1809"/>
        <item m="1" x="875"/>
        <item m="1" x="2669"/>
        <item m="1" x="1126"/>
        <item m="1" x="110"/>
        <item m="1" x="1054"/>
        <item m="1" x="1830"/>
        <item m="1" x="1832"/>
        <item m="1" x="1818"/>
        <item m="1" x="1106"/>
        <item x="19"/>
        <item m="1" x="1043"/>
        <item m="1" x="1712"/>
        <item x="33"/>
        <item m="1" x="1615"/>
        <item m="1" x="1810"/>
        <item m="1" x="1114"/>
        <item m="1" x="1143"/>
        <item m="1" x="1535"/>
        <item m="1" x="1812"/>
        <item m="1" x="2088"/>
        <item m="1" x="1813"/>
        <item m="1" x="111"/>
        <item m="1" x="2228"/>
        <item m="1" x="1000"/>
        <item m="1" x="2229"/>
        <item m="1" x="2578"/>
        <item m="1" x="2230"/>
        <item m="1" x="1030"/>
        <item m="1" x="2564"/>
        <item m="1" x="946"/>
        <item m="1" x="2231"/>
        <item m="1" x="50"/>
        <item m="1" x="378"/>
        <item m="1" x="2232"/>
        <item m="1" x="2456"/>
        <item m="1" x="276"/>
        <item m="1" x="758"/>
        <item m="1" x="1010"/>
        <item m="1" x="1120"/>
        <item m="1" x="900"/>
        <item m="1" x="2663"/>
        <item m="1" x="2233"/>
        <item m="1" x="1015"/>
        <item m="1" x="1026"/>
        <item m="1" x="641"/>
        <item m="1" x="642"/>
        <item m="1" x="597"/>
        <item m="1" x="2606"/>
        <item m="1" x="643"/>
        <item m="1" x="1918"/>
        <item m="1" x="635"/>
        <item m="1" x="1123"/>
        <item m="1" x="2234"/>
        <item m="1" x="112"/>
        <item m="1" x="1742"/>
        <item m="1" x="878"/>
        <item m="1" x="2235"/>
        <item m="1" x="1984"/>
        <item m="1" x="2007"/>
        <item m="1" x="2236"/>
        <item m="1" x="759"/>
        <item m="1" x="933"/>
        <item m="1" x="436"/>
        <item m="1" x="2664"/>
        <item m="1" x="2078"/>
        <item m="1" x="1775"/>
        <item m="1" x="2586"/>
        <item m="1" x="475"/>
        <item m="1" x="1109"/>
        <item m="1" x="2674"/>
        <item m="1" x="2657"/>
        <item m="1" x="1700"/>
        <item m="1" x="539"/>
        <item m="1" x="455"/>
        <item m="1" x="952"/>
        <item m="1" x="315"/>
        <item m="1" x="408"/>
        <item m="1" x="867"/>
        <item m="1" x="2506"/>
        <item m="1" x="114"/>
        <item m="1" x="2237"/>
        <item m="1" x="1402"/>
        <item m="1" x="164"/>
        <item m="1" x="645"/>
        <item m="1" x="1638"/>
        <item m="1" x="1139"/>
        <item m="1" x="1146"/>
        <item m="1" x="554"/>
        <item m="1" x="2634"/>
        <item m="1" x="994"/>
        <item m="1" x="2465"/>
        <item m="1" x="1406"/>
        <item m="1" x="1236"/>
        <item m="1" x="1959"/>
        <item m="1" x="1247"/>
        <item m="1" x="1481"/>
        <item m="1" x="1876"/>
        <item m="1" x="1141"/>
        <item m="1" x="1065"/>
        <item m="1" x="646"/>
        <item sd="0" m="1" x="2731"/>
        <item m="1" x="1573"/>
        <item m="1" x="647"/>
        <item m="1" x="2239"/>
        <item m="1" x="126"/>
        <item m="1" x="96"/>
        <item m="1" x="1329"/>
        <item m="1" x="760"/>
        <item m="1" x="1270"/>
        <item m="1" x="2558"/>
        <item m="1" x="869"/>
        <item m="1" x="1145"/>
        <item m="1" x="1510"/>
        <item x="20"/>
        <item m="1" x="1175"/>
        <item m="1" x="1795"/>
        <item m="1" x="1124"/>
        <item m="1" x="1802"/>
        <item sd="0" x="7"/>
        <item x="37"/>
        <item m="1" x="1298"/>
        <item m="1" x="1339"/>
        <item m="1" x="1816"/>
        <item m="1" x="1762"/>
        <item m="1" x="1532"/>
        <item m="1" x="2240"/>
        <item m="1" x="871"/>
        <item m="1" x="2718"/>
        <item m="1" x="91"/>
        <item m="1" x="2241"/>
        <item m="1" x="2030"/>
        <item m="1" x="1672"/>
        <item m="1" x="761"/>
        <item m="1" x="2089"/>
        <item m="1" x="2227"/>
        <item m="1" x="762"/>
        <item m="1" x="1148"/>
        <item m="1" x="316"/>
        <item m="1" x="2633"/>
        <item m="1" x="1242"/>
        <item m="1" x="260"/>
        <item m="1" x="1412"/>
        <item m="1" x="1384"/>
        <item m="1" x="763"/>
        <item m="1" x="1682"/>
        <item m="1" x="385"/>
        <item m="1" x="591"/>
        <item m="1" x="1565"/>
        <item m="1" x="2243"/>
        <item m="1" x="1153"/>
        <item m="1" x="500"/>
        <item m="1" x="2552"/>
        <item m="1" x="217"/>
        <item m="1" x="1229"/>
        <item m="1" x="373"/>
        <item m="1" x="433"/>
        <item m="1" x="2632"/>
        <item m="1" x="1092"/>
        <item m="1" x="1241"/>
        <item m="1" x="1743"/>
        <item sd="0" m="1" x="244"/>
        <item m="1" x="444"/>
        <item m="1" x="2047"/>
        <item m="1" x="1403"/>
        <item m="1" x="1644"/>
        <item m="1" x="1158"/>
        <item m="1" x="1612"/>
        <item m="1" x="372"/>
        <item m="1" x="2588"/>
        <item m="1" x="1872"/>
        <item m="1" x="1478"/>
        <item m="1" x="2244"/>
        <item m="1" x="1865"/>
        <item m="1" x="319"/>
        <item m="1" x="303"/>
        <item m="1" x="1879"/>
        <item m="1" x="2351"/>
        <item m="1" x="1875"/>
        <item sd="0" m="1" x="2090"/>
        <item m="1" x="2245"/>
        <item m="1" x="2072"/>
        <item m="1" x="2374"/>
        <item m="1" x="2091"/>
        <item m="1" x="311"/>
        <item m="1" x="2246"/>
        <item m="1" x="2247"/>
        <item m="1" x="333"/>
        <item m="1" x="765"/>
        <item m="1" x="1318"/>
        <item m="1" x="2248"/>
        <item m="1" x="1276"/>
        <item m="1" x="650"/>
        <item m="1" x="2557"/>
        <item m="1" x="997"/>
        <item m="1" x="1130"/>
        <item m="1" x="2249"/>
        <item m="1" x="1362"/>
        <item m="1" x="1836"/>
        <item m="1" x="131"/>
        <item m="1" x="202"/>
        <item m="1" x="2250"/>
        <item m="1" x="321"/>
        <item m="1" x="146"/>
        <item m="1" x="2697"/>
        <item m="1" x="652"/>
        <item m="1" x="740"/>
        <item m="1" x="920"/>
        <item m="1" x="291"/>
        <item m="1" x="1170"/>
        <item m="1" x="513"/>
        <item m="1" x="2251"/>
        <item m="1" x="1899"/>
        <item m="1" x="766"/>
        <item sd="0" m="1" x="456"/>
        <item m="1" x="1171"/>
        <item m="1" x="2687"/>
        <item m="1" x="1172"/>
        <item m="1" x="1439"/>
        <item m="1" x="2252"/>
        <item m="1" x="1544"/>
        <item m="1" x="2143"/>
        <item m="1" x="653"/>
        <item m="1" x="615"/>
        <item m="1" x="2615"/>
        <item m="1" x="550"/>
        <item m="1" x="1174"/>
        <item m="1" x="2253"/>
        <item m="1" x="2254"/>
        <item sd="0" m="1" x="445"/>
        <item m="1" x="290"/>
        <item m="1" x="1305"/>
        <item m="1" x="1930"/>
        <item m="1" x="767"/>
        <item m="1" x="992"/>
        <item m="1" x="2565"/>
        <item m="1" x="2658"/>
        <item m="1" x="1915"/>
        <item m="1" x="1221"/>
        <item m="1" x="411"/>
        <item m="1" x="2257"/>
        <item m="1" x="1211"/>
        <item m="1" x="2258"/>
        <item m="1" x="1931"/>
        <item m="1" x="84"/>
        <item m="1" x="1745"/>
        <item m="1" x="1135"/>
        <item m="1" x="2092"/>
        <item m="1" x="654"/>
        <item m="1" x="1413"/>
        <item m="1" x="1131"/>
        <item m="1" x="1215"/>
        <item m="1" x="947"/>
        <item m="1" x="1668"/>
        <item m="1" x="1179"/>
        <item m="1" x="85"/>
        <item m="1" x="553"/>
        <item m="1" x="768"/>
        <item m="1" x="1194"/>
        <item sd="0" x="31"/>
        <item m="1" x="1140"/>
        <item m="1" x="655"/>
        <item m="1" x="233"/>
        <item m="1" x="769"/>
        <item x="27"/>
        <item m="1" x="1627"/>
        <item m="1" x="945"/>
        <item m="1" x="1746"/>
        <item m="1" x="322"/>
        <item m="1" x="1747"/>
        <item m="1" x="1664"/>
        <item m="1" x="1515"/>
        <item m="1" x="1600"/>
        <item m="1" x="1181"/>
        <item m="1" x="1877"/>
        <item m="1" x="2073"/>
        <item m="1" x="891"/>
        <item m="1" x="574"/>
        <item m="1" x="2262"/>
        <item m="1" x="1748"/>
        <item m="1" x="570"/>
        <item m="1" x="2093"/>
        <item m="1" x="2263"/>
        <item m="1" x="1183"/>
        <item m="1" x="2642"/>
        <item m="1" x="171"/>
        <item sd="0" m="1" x="256"/>
        <item m="1" x="1405"/>
        <item m="1" x="1531"/>
        <item m="1" x="488"/>
        <item m="1" x="443"/>
        <item m="1" x="122"/>
        <item m="1" x="1186"/>
        <item m="1" x="2264"/>
        <item m="1" x="326"/>
        <item m="1" x="2265"/>
        <item m="1" x="327"/>
        <item m="1" x="978"/>
        <item m="1" x="2266"/>
        <item m="1" x="248"/>
        <item m="1" x="534"/>
        <item m="1" x="1506"/>
        <item m="1" x="2077"/>
        <item m="1" x="1498"/>
        <item m="1" x="1287"/>
        <item m="1" x="156"/>
        <item m="1" x="394"/>
        <item m="1" x="1361"/>
        <item m="1" x="1592"/>
        <item m="1" x="1492"/>
        <item m="1" x="1468"/>
        <item m="1" x="2580"/>
        <item m="1" x="1568"/>
        <item m="1" x="2026"/>
        <item m="1" x="664"/>
        <item m="1" x="1955"/>
        <item m="1" x="2267"/>
        <item m="1" x="295"/>
        <item m="1" x="1191"/>
        <item m="1" x="1729"/>
        <item m="1" x="771"/>
        <item m="1" x="1195"/>
        <item m="1" x="1571"/>
        <item m="1" x="2094"/>
        <item m="1" x="2015"/>
        <item m="1" x="2524"/>
        <item m="1" x="2271"/>
        <item m="1" x="1789"/>
        <item m="1" x="306"/>
        <item m="1" x="1954"/>
        <item m="1" x="865"/>
        <item m="1" x="1835"/>
        <item m="1" x="801"/>
        <item m="1" x="1790"/>
        <item m="1" x="2272"/>
        <item m="1" x="1774"/>
        <item m="1" x="1653"/>
        <item m="1" x="1441"/>
        <item m="1" x="2095"/>
        <item m="1" x="2274"/>
        <item m="1" x="1793"/>
        <item m="1" x="990"/>
        <item m="1" x="2273"/>
        <item m="1" x="1819"/>
        <item m="1" x="2275"/>
        <item m="1" x="2076"/>
        <item m="1" x="2276"/>
        <item m="1" x="1204"/>
        <item m="1" x="1526"/>
        <item m="1" x="2145"/>
        <item m="1" x="1503"/>
        <item m="1" x="560"/>
        <item m="1" x="1550"/>
        <item m="1" x="872"/>
        <item m="1" x="2277"/>
        <item m="1" x="1425"/>
        <item m="1" x="1340"/>
        <item m="1" x="1167"/>
        <item m="1" x="2278"/>
        <item m="1" x="2279"/>
        <item m="1" x="772"/>
        <item m="1" x="728"/>
        <item m="1" x="658"/>
        <item m="1" x="1176"/>
        <item m="1" x="1315"/>
        <item m="1" x="2096"/>
        <item m="1" x="123"/>
        <item m="1" x="1337"/>
        <item m="1" x="270"/>
        <item m="1" x="2280"/>
        <item m="1" x="125"/>
        <item m="1" x="2074"/>
        <item m="1" x="2281"/>
        <item m="1" x="2282"/>
        <item m="1" x="659"/>
        <item m="1" x="1450"/>
        <item m="1" x="2283"/>
        <item m="1" x="925"/>
        <item m="1" x="1470"/>
        <item m="1" x="1209"/>
        <item m="1" x="660"/>
        <item m="1" x="2550"/>
        <item m="1" x="2648"/>
        <item m="1" x="2345"/>
        <item m="1" x="2097"/>
        <item m="1" x="2048"/>
        <item x="0"/>
        <item m="1" x="1497"/>
        <item m="1" x="2627"/>
        <item m="1" x="1763"/>
        <item m="1" x="1212"/>
        <item m="1" x="410"/>
        <item m="1" x="1961"/>
        <item m="1" x="917"/>
        <item m="1" x="988"/>
        <item m="1" x="1197"/>
        <item m="1" x="2284"/>
        <item m="1" x="1213"/>
        <item m="1" x="773"/>
        <item m="1" x="1214"/>
        <item m="1" x="1686"/>
        <item m="1" x="218"/>
        <item m="1" x="1509"/>
        <item m="1" x="724"/>
        <item m="1" x="1557"/>
        <item m="1" x="330"/>
        <item m="1" x="1216"/>
        <item m="1" x="457"/>
        <item m="1" x="1162"/>
        <item m="1" x="2285"/>
        <item m="1" x="2155"/>
        <item m="1" x="2286"/>
        <item m="1" x="2579"/>
        <item m="1" x="1219"/>
        <item m="1" x="2287"/>
        <item m="1" x="2098"/>
        <item m="1" x="2288"/>
        <item m="1" x="1466"/>
        <item m="1" x="2612"/>
        <item m="1" x="2049"/>
        <item m="1" x="176"/>
        <item m="1" x="1749"/>
        <item m="1" x="1455"/>
        <item m="1" x="458"/>
        <item m="1" x="1933"/>
        <item m="1" x="1658"/>
        <item m="1" x="775"/>
        <item m="1" x="459"/>
        <item m="1" x="129"/>
        <item m="1" x="219"/>
        <item m="1" x="2180"/>
        <item m="1" x="750"/>
        <item m="1" x="1044"/>
        <item m="1" x="661"/>
        <item m="1" x="663"/>
        <item m="1" x="809"/>
        <item m="1" x="130"/>
        <item m="1" x="585"/>
        <item m="1" x="1624"/>
        <item m="1" x="943"/>
        <item m="1" x="80"/>
        <item m="1" x="1817"/>
        <item m="1" x="2289"/>
        <item m="1" x="1997"/>
        <item m="1" x="960"/>
        <item m="1" x="665"/>
        <item m="1" x="505"/>
        <item m="1" x="2100"/>
        <item m="1" x="332"/>
        <item m="1" x="776"/>
        <item m="1" x="2290"/>
        <item m="1" x="2291"/>
        <item m="1" x="1169"/>
        <item m="1" x="1022"/>
        <item m="1" x="2101"/>
        <item m="1" x="2710"/>
        <item m="1" x="2292"/>
        <item m="1" x="182"/>
        <item m="1" x="48"/>
        <item m="1" x="2269"/>
        <item m="1" x="607"/>
        <item m="1" x="2388"/>
        <item m="1" x="252"/>
        <item m="1" x="2692"/>
        <item m="1" x="320"/>
        <item m="1" x="863"/>
        <item m="1" x="2293"/>
        <item m="1" x="1436"/>
        <item m="1" x="2102"/>
        <item m="1" x="376"/>
        <item m="1" x="2513"/>
        <item m="1" x="359"/>
        <item m="1" x="2147"/>
        <item m="1" x="2154"/>
        <item m="1" x="662"/>
        <item m="1" x="334"/>
        <item m="1" x="235"/>
        <item m="1" x="2103"/>
        <item m="1" x="76"/>
        <item m="1" x="1919"/>
        <item m="1" x="405"/>
        <item m="1" x="2534"/>
        <item m="1" x="2104"/>
        <item m="1" x="2294"/>
        <item m="1" x="1972"/>
        <item m="1" x="1228"/>
        <item m="1" x="1788"/>
        <item x="46"/>
        <item m="1" x="1189"/>
        <item m="1" x="462"/>
        <item m="1" x="1901"/>
        <item m="1" x="777"/>
        <item m="1" x="2592"/>
        <item m="1" x="335"/>
        <item m="1" x="2295"/>
        <item m="1" x="2296"/>
        <item m="1" x="612"/>
        <item m="1" x="1027"/>
        <item m="1" x="363"/>
        <item m="1" x="1750"/>
        <item m="1" x="1230"/>
        <item m="1" x="1799"/>
        <item m="1" x="1231"/>
        <item m="1" x="2297"/>
        <item m="1" x="1936"/>
        <item m="1" x="579"/>
        <item m="1" x="220"/>
        <item m="1" x="666"/>
        <item m="1" x="391"/>
        <item m="1" x="2724"/>
        <item m="1" x="2701"/>
        <item m="1" x="2656"/>
        <item m="1" x="778"/>
        <item m="1" x="1675"/>
        <item m="1" x="2298"/>
        <item m="1" x="53"/>
        <item m="1" x="1820"/>
        <item m="1" x="1232"/>
        <item m="1" x="1853"/>
        <item m="1" x="1469"/>
        <item m="1" x="61"/>
        <item m="1" x="1884"/>
        <item m="1" x="1941"/>
        <item m="1" x="623"/>
        <item m="1" x="2386"/>
        <item m="1" x="1263"/>
        <item m="1" x="1971"/>
        <item m="1" x="1039"/>
        <item m="1" x="1233"/>
        <item m="1" x="530"/>
        <item m="1" x="1892"/>
        <item m="1" x="2300"/>
        <item m="1" x="1165"/>
        <item m="1" x="1507"/>
        <item m="1" x="779"/>
        <item m="1" x="2645"/>
        <item m="1" x="2106"/>
        <item m="1" x="358"/>
        <item m="1" x="2301"/>
        <item m="1" x="1386"/>
        <item m="1" x="1822"/>
        <item m="1" x="1235"/>
        <item m="1" x="318"/>
        <item m="1" x="2302"/>
        <item m="1" x="1009"/>
        <item m="1" x="1108"/>
        <item m="1" x="2303"/>
        <item m="1" x="2304"/>
        <item m="1" x="1437"/>
        <item m="1" x="581"/>
        <item m="1" x="1100"/>
        <item m="1" x="1071"/>
        <item m="1" x="2305"/>
        <item m="1" x="370"/>
        <item m="1" x="1259"/>
        <item m="1" x="59"/>
        <item m="1" x="1683"/>
        <item m="1" x="336"/>
        <item m="1" x="60"/>
        <item m="1" x="337"/>
        <item m="1" x="2306"/>
        <item m="1" x="1245"/>
        <item m="1" x="2307"/>
        <item m="1" x="268"/>
        <item m="1" x="512"/>
        <item m="1" x="1177"/>
        <item m="1" x="868"/>
        <item m="1" x="667"/>
        <item m="1" x="1516"/>
        <item m="1" x="494"/>
        <item m="1" x="1238"/>
        <item m="1" x="388"/>
        <item m="1" x="283"/>
        <item m="1" x="104"/>
        <item m="1" x="1513"/>
        <item m="1" x="2107"/>
        <item m="1" x="1539"/>
        <item m="1" x="537"/>
        <item m="1" x="1752"/>
        <item m="1" x="101"/>
        <item m="1" x="195"/>
        <item m="1" x="338"/>
        <item m="1" x="668"/>
        <item m="1" x="1193"/>
        <item m="1" x="438"/>
        <item m="1" x="221"/>
        <item x="32"/>
        <item m="1" x="2309"/>
        <item m="1" x="2310"/>
        <item m="1" x="1679"/>
        <item m="1" x="2311"/>
        <item m="1" x="948"/>
        <item m="1" x="1928"/>
        <item m="1" x="1551"/>
        <item m="1" x="288"/>
        <item m="1" x="273"/>
        <item m="1" x="1711"/>
        <item m="1" x="185"/>
        <item m="1" x="1461"/>
        <item m="1" x="1239"/>
        <item m="1" x="1937"/>
        <item m="1" x="903"/>
        <item m="1" x="692"/>
        <item m="1" x="506"/>
        <item m="1" x="2312"/>
        <item m="1" x="2313"/>
        <item m="1" x="669"/>
        <item m="1" x="876"/>
        <item m="1" x="2314"/>
        <item m="1" x="1244"/>
        <item m="1" x="2108"/>
        <item m="1" x="1420"/>
        <item m="1" x="2315"/>
        <item m="1" x="1992"/>
        <item m="1" x="826"/>
        <item m="1" x="2567"/>
        <item m="1" x="774"/>
        <item m="1" x="75"/>
        <item m="1" x="1246"/>
        <item m="1" x="2317"/>
        <item m="1" x="2318"/>
        <item m="1" x="672"/>
        <item m="1" x="2319"/>
        <item m="1" x="1645"/>
        <item m="1" x="2017"/>
        <item m="1" x="1248"/>
        <item m="1" x="1249"/>
        <item m="1" x="781"/>
        <item m="1" x="1250"/>
        <item m="1" x="1060"/>
        <item m="1" x="671"/>
        <item m="1" x="1252"/>
        <item m="1" x="1880"/>
        <item m="1" x="1286"/>
        <item x="6"/>
        <item m="1" x="348"/>
        <item m="1" x="2320"/>
        <item m="1" x="1243"/>
        <item m="1" x="354"/>
        <item m="1" x="2179"/>
        <item m="1" x="2321"/>
        <item m="1" x="1440"/>
        <item m="1" x="884"/>
        <item m="1" x="629"/>
        <item m="1" x="2152"/>
        <item m="1" x="764"/>
        <item m="1" x="782"/>
        <item m="1" x="2322"/>
        <item m="1" x="783"/>
        <item m="1" x="1371"/>
        <item m="1" x="2323"/>
        <item m="1" x="971"/>
        <item m="1" x="1304"/>
        <item m="1" x="2324"/>
        <item m="1" x="1921"/>
        <item m="1" x="368"/>
        <item m="1" x="279"/>
        <item m="1" x="57"/>
        <item m="1" x="2325"/>
        <item m="1" x="240"/>
        <item m="1" x="286"/>
        <item m="1" x="1589"/>
        <item m="1" x="1271"/>
        <item m="1" x="294"/>
        <item m="1" x="549"/>
        <item m="1" x="784"/>
        <item m="1" x="1602"/>
        <item m="1" x="2326"/>
        <item m="1" x="1546"/>
        <item m="1" x="1487"/>
        <item m="1" x="1419"/>
        <item m="1" x="281"/>
        <item m="1" x="566"/>
        <item m="1" x="341"/>
        <item m="1" x="2554"/>
        <item m="1" x="1740"/>
        <item m="1" x="460"/>
        <item m="1" x="1897"/>
        <item m="1" x="1255"/>
        <item m="1" x="785"/>
        <item m="1" x="786"/>
        <item m="1" x="2598"/>
        <item m="1" x="477"/>
        <item m="1" x="1753"/>
        <item m="1" x="2056"/>
        <item m="1" x="417"/>
        <item x="4"/>
        <item m="1" x="2075"/>
        <item m="1" x="1093"/>
        <item sd="0" m="1" x="2737"/>
        <item m="1" x="590"/>
        <item m="1" x="2707"/>
        <item m="1" x="1057"/>
        <item m="1" x="599"/>
        <item m="1" x="1654"/>
        <item m="1" x="1257"/>
        <item m="1" x="788"/>
        <item m="1" x="1754"/>
        <item m="1" x="536"/>
        <item m="1" x="1258"/>
        <item m="1" x="2327"/>
        <item m="1" x="789"/>
        <item m="1" x="567"/>
        <item m="1" x="2328"/>
        <item m="1" x="2329"/>
        <item m="1" x="439"/>
        <item m="1" x="406"/>
        <item m="1" x="269"/>
        <item m="1" x="1208"/>
        <item m="1" x="1261"/>
        <item m="1" x="1262"/>
        <item m="1" x="592"/>
        <item m="1" x="1522"/>
        <item m="1" x="791"/>
        <item m="1" x="1614"/>
        <item m="1" x="1871"/>
        <item m="1" x="2109"/>
        <item m="1" x="1825"/>
        <item m="1" x="559"/>
        <item m="1" x="1591"/>
        <item m="1" x="580"/>
        <item m="1" x="1369"/>
        <item m="1" x="548"/>
        <item m="1" x="1192"/>
        <item sd="0" m="1" x="2105"/>
        <item m="1" x="1256"/>
        <item m="1" x="673"/>
        <item m="1" x="899"/>
        <item m="1" x="1264"/>
        <item m="1" x="1265"/>
        <item m="1" x="1824"/>
        <item m="1" x="2110"/>
        <item sd="0" x="8"/>
        <item m="1" x="511"/>
        <item m="1" x="546"/>
        <item m="1" x="64"/>
        <item m="1" x="1201"/>
        <item m="1" x="1266"/>
        <item m="1" x="792"/>
        <item m="1" x="1982"/>
        <item x="44"/>
        <item m="1" x="1577"/>
        <item m="1" x="1613"/>
        <item m="1" x="2330"/>
        <item m="1" x="793"/>
        <item m="1" x="2464"/>
        <item m="1" x="2084"/>
        <item m="1" x="794"/>
        <item m="1" x="583"/>
        <item m="1" x="1433"/>
        <item m="1" x="1640"/>
        <item m="1" x="2614"/>
        <item m="1" x="503"/>
        <item m="1" x="1267"/>
        <item m="1" x="1036"/>
        <item m="1" x="1302"/>
        <item m="1" x="1225"/>
        <item m="1" x="404"/>
        <item m="1" x="1251"/>
        <item m="1" x="2013"/>
        <item m="1" x="510"/>
        <item m="1" x="555"/>
        <item m="1" x="1671"/>
        <item m="1" x="1906"/>
        <item m="1" x="2111"/>
        <item m="1" x="1125"/>
        <item m="1" x="461"/>
        <item m="1" x="1351"/>
        <item m="1" x="518"/>
        <item m="1" x="2331"/>
        <item m="1" x="1368"/>
        <item m="1" x="222"/>
        <item m="1" x="2332"/>
        <item m="1" x="795"/>
        <item m="1" x="674"/>
        <item m="1" x="1132"/>
        <item m="1" x="584"/>
        <item m="1" x="1826"/>
        <item m="1" x="2605"/>
        <item m="1" x="1317"/>
        <item m="1" x="1980"/>
        <item m="1" x="1939"/>
        <item m="1" x="1272"/>
        <item m="1" x="675"/>
        <item m="1" x="676"/>
        <item m="1" x="1951"/>
        <item m="1" x="2625"/>
        <item x="13"/>
        <item m="1" x="1474"/>
        <item m="1" x="2333"/>
        <item m="1" x="1277"/>
        <item m="1" x="1572"/>
        <item m="1" x="1278"/>
        <item m="1" x="2334"/>
        <item m="1" x="2335"/>
        <item m="1" x="1784"/>
        <item m="1" x="300"/>
        <item m="1" x="1723"/>
        <item m="1" x="1279"/>
        <item m="1" x="1410"/>
        <item m="1" x="152"/>
        <item m="1" x="1594"/>
        <item m="1" x="277"/>
        <item m="1" x="1074"/>
        <item m="1" x="132"/>
        <item m="1" x="1934"/>
        <item m="1" x="236"/>
        <item m="1" x="1283"/>
        <item m="1" x="2337"/>
        <item m="1" x="426"/>
        <item m="1" x="1606"/>
        <item m="1" x="1966"/>
        <item m="1" x="2391"/>
        <item m="1" x="2338"/>
        <item m="1" x="1354"/>
        <item m="1" x="1463"/>
        <item m="1" x="2340"/>
        <item m="1" x="657"/>
        <item m="1" x="2668"/>
        <item m="1" x="906"/>
        <item m="1" x="2341"/>
        <item sd="0" m="1" x="2739"/>
        <item x="45"/>
        <item m="1" x="463"/>
        <item m="1" x="924"/>
        <item m="1" x="1925"/>
        <item m="1" x="2342"/>
        <item m="1" x="2343"/>
        <item m="1" x="2344"/>
        <item m="1" x="963"/>
        <item m="1" x="2033"/>
        <item m="1" x="2346"/>
        <item sd="0" m="1" x="2223"/>
        <item m="1" x="2715"/>
        <item m="1" x="2613"/>
        <item m="1" x="677"/>
        <item m="1" x="1598"/>
        <item m="1" x="2021"/>
        <item m="1" x="2347"/>
        <item m="1" x="2348"/>
        <item m="1" x="1297"/>
        <item m="1" x="343"/>
        <item m="1" x="2551"/>
        <item m="1" x="353"/>
        <item m="1" x="1964"/>
        <item m="1" x="441"/>
        <item m="1" x="2050"/>
        <item m="1" x="901"/>
        <item m="1" x="1499"/>
        <item m="1" x="450"/>
        <item m="1" x="2654"/>
        <item m="1" x="1646"/>
        <item m="1" x="2466"/>
        <item m="1" x="1860"/>
        <item m="1" x="1299"/>
        <item m="1" x="2028"/>
        <item m="1" x="904"/>
        <item m="1" x="2350"/>
        <item m="1" x="135"/>
        <item m="1" x="2336"/>
        <item m="1" x="2349"/>
        <item m="1" x="2582"/>
        <item m="1" x="234"/>
        <item m="1" x="1524"/>
        <item m="1" x="1414"/>
        <item m="1" x="1301"/>
        <item m="1" x="133"/>
        <item m="1" x="507"/>
        <item m="1" x="527"/>
        <item m="1" x="2112"/>
        <item m="1" x="214"/>
        <item sd="0" m="1" x="213"/>
        <item m="1" x="1999"/>
        <item m="1" x="2352"/>
        <item m="1" x="1185"/>
        <item m="1" x="74"/>
        <item m="1" x="1311"/>
        <item m="1" x="2607"/>
        <item m="1" x="2151"/>
        <item m="1" x="1755"/>
        <item m="1" x="184"/>
        <item m="1" x="525"/>
        <item m="1" x="1312"/>
        <item m="1" x="1313"/>
        <item m="1" x="543"/>
        <item m="1" x="495"/>
        <item m="1" x="2008"/>
        <item m="1" x="1855"/>
        <item m="1" x="944"/>
        <item m="1" x="1081"/>
        <item m="1" x="223"/>
        <item m="1" x="2353"/>
        <item m="1" x="138"/>
        <item m="1" x="139"/>
        <item m="1" x="73"/>
        <item m="1" x="1007"/>
        <item m="1" x="2354"/>
        <item m="1" x="898"/>
        <item m="1" x="1756"/>
        <item m="1" x="2355"/>
        <item m="1" x="2356"/>
        <item m="1" x="1970"/>
        <item m="1" x="1985"/>
        <item m="1" x="1381"/>
        <item m="1" x="345"/>
        <item m="1" x="797"/>
        <item m="1" x="678"/>
        <item m="1" x="2358"/>
        <item m="1" x="2496"/>
        <item m="1" x="346"/>
        <item m="1" x="2661"/>
        <item m="1" x="237"/>
        <item m="1" x="1628"/>
        <item m="1" x="2359"/>
        <item m="1" x="140"/>
        <item m="1" x="1647"/>
        <item m="1" x="1316"/>
        <item m="1" x="1655"/>
        <item m="1" x="1632"/>
        <item m="1" x="1553"/>
        <item m="1" x="1942"/>
        <item m="1" x="1917"/>
        <item m="1" x="2683"/>
        <item m="1" x="836"/>
        <item m="1" x="2360"/>
        <item m="1" x="1949"/>
        <item m="1" x="712"/>
        <item m="1" x="2113"/>
        <item m="1" x="1285"/>
        <item m="1" x="271"/>
        <item m="1" x="1319"/>
        <item m="1" x="1011"/>
        <item m="1" x="2361"/>
        <item m="1" x="1357"/>
        <item m="1" x="349"/>
        <item m="1" x="2051"/>
        <item x="3"/>
        <item m="1" x="1963"/>
        <item m="1" x="619"/>
        <item m="1" x="2362"/>
        <item m="1" x="877"/>
        <item m="1" x="1893"/>
        <item m="1" x="1827"/>
        <item sd="0" m="1" x="245"/>
        <item m="1" x="996"/>
        <item m="1" x="384"/>
        <item m="1" x="2363"/>
        <item m="1" x="980"/>
        <item m="1" x="1548"/>
        <item m="1" x="2720"/>
        <item m="1" x="949"/>
        <item m="1" x="1102"/>
        <item m="1" x="689"/>
        <item m="1" x="639"/>
        <item m="1" x="1639"/>
        <item m="1" x="1321"/>
        <item m="1" x="1322"/>
        <item m="1" x="2366"/>
        <item m="1" x="528"/>
        <item m="1" x="1973"/>
        <item m="1" x="2553"/>
        <item m="1" x="2590"/>
        <item m="1" x="2583"/>
        <item m="1" x="342"/>
        <item m="1" x="1323"/>
        <item m="1" x="2052"/>
        <item m="1" x="1523"/>
        <item m="1" x="1786"/>
        <item m="1" x="1641"/>
        <item m="1" x="1829"/>
        <item m="1" x="681"/>
        <item m="1" x="350"/>
        <item m="1" x="2711"/>
        <item m="1" x="1324"/>
        <item m="1" x="390"/>
        <item m="1" x="1725"/>
        <item m="1" x="780"/>
        <item m="1" x="2621"/>
        <item m="1" x="955"/>
        <item m="1" x="1924"/>
        <item m="1" x="1950"/>
        <item m="1" x="787"/>
        <item sd="0" x="15"/>
        <item m="1" x="798"/>
        <item m="1" x="323"/>
        <item m="1" x="2364"/>
        <item m="1" x="973"/>
        <item m="1" x="142"/>
        <item m="1" x="2365"/>
        <item m="1" x="82"/>
        <item m="1" x="1372"/>
        <item m="1" x="1987"/>
        <item m="1" x="1831"/>
        <item m="1" x="1198"/>
        <item m="1" x="916"/>
        <item m="1" x="2685"/>
        <item m="1" x="1953"/>
        <item m="1" x="2703"/>
        <item m="1" x="682"/>
        <item m="1" x="264"/>
        <item m="1" x="2367"/>
        <item m="1" x="524"/>
        <item m="1" x="1328"/>
        <item m="1" x="1389"/>
        <item m="1" x="2369"/>
        <item m="1" x="1758"/>
        <item m="1" x="1821"/>
        <item m="1" x="965"/>
        <item m="1" x="1334"/>
        <item m="1" x="544"/>
        <item m="1" x="2053"/>
        <item m="1" x="2655"/>
        <item m="1" x="1807"/>
        <item m="1" x="2114"/>
        <item m="1" x="1345"/>
        <item m="1" x="2467"/>
        <item m="1" x="2370"/>
        <item m="1" x="964"/>
        <item m="1" x="209"/>
        <item m="1" x="2628"/>
        <item m="1" x="1588"/>
        <item m="1" x="1908"/>
        <item m="1" x="1385"/>
        <item m="1" x="1759"/>
        <item m="1" x="51"/>
        <item m="1" x="2371"/>
        <item m="1" x="1275"/>
        <item sd="0" m="1" x="2677"/>
        <item m="1" x="987"/>
        <item m="1" x="2010"/>
        <item m="1" x="683"/>
        <item m="1" x="1760"/>
        <item m="1" x="2373"/>
        <item m="1" x="864"/>
        <item m="1" x="2054"/>
        <item m="1" x="1945"/>
        <item m="1" x="684"/>
        <item m="1" x="572"/>
        <item m="1" x="145"/>
        <item m="1" x="479"/>
        <item m="1" x="1188"/>
        <item m="1" x="799"/>
        <item m="1" x="1833"/>
        <item m="1" x="2375"/>
        <item m="1" x="1761"/>
        <item m="1" x="1883"/>
        <item m="1" x="1048"/>
        <item m="1" x="2568"/>
        <item m="1" x="1891"/>
        <item m="1" x="2376"/>
        <item m="1" x="1716"/>
        <item m="1" x="1642"/>
        <item m="1" x="2377"/>
        <item m="1" x="2432"/>
        <item m="1" x="1542"/>
        <item m="1" x="2691"/>
        <item m="1" x="1370"/>
        <item m="1" x="1133"/>
        <item m="1" x="1636"/>
        <item m="1" x="1815"/>
        <item m="1" x="2665"/>
        <item m="1" x="1320"/>
        <item m="1" x="1447"/>
        <item m="1" x="466"/>
        <item m="1" x="1431"/>
        <item m="1" x="481"/>
        <item m="1" x="1307"/>
        <item m="1" x="1527"/>
        <item m="1" x="1077"/>
        <item m="1" x="297"/>
        <item m="1" x="2006"/>
        <item m="1" x="147"/>
        <item m="1" x="2378"/>
        <item m="1" x="1199"/>
        <item m="1" x="1452"/>
        <item m="1" x="999"/>
        <item m="1" x="2379"/>
        <item m="1" x="113"/>
        <item m="1" x="355"/>
        <item m="1" x="1196"/>
        <item m="1" x="1075"/>
        <item m="1" x="831"/>
        <item m="1" x="802"/>
        <item m="1" x="1202"/>
        <item m="1" x="2055"/>
        <item m="1" x="1536"/>
        <item m="1" x="568"/>
        <item m="1" x="1038"/>
        <item m="1" x="2025"/>
        <item m="1" x="317"/>
        <item m="1" x="1157"/>
        <item m="1" x="154"/>
        <item m="1" x="1300"/>
        <item m="1" x="1485"/>
        <item m="1" x="975"/>
        <item m="1" x="2555"/>
        <item m="1" x="2393"/>
        <item m="1" x="687"/>
        <item m="1" x="293"/>
        <item m="1" x="262"/>
        <item m="1" x="2673"/>
        <item m="1" x="1068"/>
        <item m="1" x="2394"/>
        <item m="1" x="2604"/>
        <item m="1" x="1059"/>
        <item m="1" x="2626"/>
        <item m="1" x="976"/>
        <item m="1" x="2620"/>
        <item m="1" x="1926"/>
        <item m="1" x="2395"/>
        <item m="1" x="2396"/>
        <item m="1" x="224"/>
        <item m="1" x="263"/>
        <item m="1" x="1530"/>
        <item m="1" x="1692"/>
        <item m="1" x="1227"/>
        <item m="1" x="83"/>
        <item m="1" x="2629"/>
        <item m="1" x="2397"/>
        <item m="1" x="2595"/>
        <item m="1" x="1427"/>
        <item m="1" x="1920"/>
        <item m="1" x="808"/>
        <item m="1" x="1428"/>
        <item m="1" x="810"/>
        <item m="1" x="2116"/>
        <item m="1" x="225"/>
        <item m="1" x="2398"/>
        <item m="1" x="1429"/>
        <item m="1" x="2399"/>
        <item m="1" x="688"/>
        <item m="1" x="377"/>
        <item m="1" x="2400"/>
        <item m="1" x="1430"/>
        <item m="1" x="1637"/>
        <item m="1" x="1488"/>
        <item m="1" x="1432"/>
        <item m="1" x="2401"/>
        <item m="1" x="2402"/>
        <item m="1" x="247"/>
        <item m="1" x="480"/>
        <item m="1" x="2623"/>
        <item m="1" x="1765"/>
        <item m="1" x="1518"/>
        <item m="1" x="957"/>
        <item m="1" x="2403"/>
        <item m="1" x="885"/>
        <item m="1" x="2405"/>
        <item m="1" x="2082"/>
        <item m="1" x="2060"/>
        <item m="1" x="467"/>
        <item m="1" x="1373"/>
        <item m="1" x="2406"/>
        <item m="1" x="1837"/>
        <item m="1" x="912"/>
        <item m="1" x="1576"/>
        <item m="1" x="1394"/>
        <item m="1" x="1448"/>
        <item m="1" x="1422"/>
        <item m="1" x="889"/>
        <item m="1" x="1449"/>
        <item m="1" x="1159"/>
        <item m="1" x="66"/>
        <item m="1" x="1894"/>
        <item m="1" x="314"/>
        <item m="1" x="163"/>
        <item m="1" x="1451"/>
        <item m="1" x="2491"/>
        <item m="1" x="381"/>
        <item m="1" x="2407"/>
        <item m="1" x="2408"/>
        <item m="1" x="2410"/>
        <item m="1" x="2675"/>
        <item m="1" x="1751"/>
        <item m="1" x="2409"/>
        <item m="1" x="382"/>
        <item m="1" x="1483"/>
        <item m="1" x="246"/>
        <item m="1" x="1454"/>
        <item m="1" x="1766"/>
        <item m="1" x="55"/>
        <item m="1" x="468"/>
        <item m="1" x="1220"/>
        <item m="1" x="395"/>
        <item m="1" x="1206"/>
        <item sd="0" m="1" x="2727"/>
        <item sd="0" m="1" x="308"/>
        <item m="1" x="1910"/>
        <item m="1" x="1457"/>
        <item m="1" x="1456"/>
        <item m="1" x="1458"/>
        <item m="1" x="624"/>
        <item m="1" x="1444"/>
        <item m="1" x="1787"/>
        <item m="1" x="2566"/>
        <item m="1" x="2411"/>
        <item m="1" x="367"/>
        <item m="1" x="2412"/>
        <item m="1" x="289"/>
        <item m="1" x="2413"/>
        <item m="1" x="1543"/>
        <item m="1" x="2414"/>
        <item m="1" x="1722"/>
        <item m="1" x="170"/>
        <item m="1" x="2404"/>
        <item m="1" x="160"/>
        <item m="1" x="1392"/>
        <item m="1" x="2693"/>
        <item m="1" x="2556"/>
        <item m="1" x="2415"/>
        <item m="1" x="733"/>
        <item m="1" x="1656"/>
        <item x="14"/>
        <item m="1" x="1912"/>
        <item m="1" x="1528"/>
        <item m="1" x="1284"/>
        <item m="1" x="165"/>
        <item m="1" x="2270"/>
        <item m="1" x="1914"/>
        <item m="1" x="2653"/>
        <item m="1" x="2118"/>
        <item m="1" x="1390"/>
        <item m="1" x="2034"/>
        <item m="1" x="816"/>
        <item m="1" x="166"/>
        <item m="1" x="1281"/>
        <item m="1" x="1395"/>
        <item m="1" x="1471"/>
        <item m="1" x="144"/>
        <item m="1" x="2019"/>
        <item m="1" x="586"/>
        <item m="1" x="2602"/>
        <item m="1" x="2417"/>
        <item m="1" x="2418"/>
        <item m="1" x="817"/>
        <item m="1" x="2636"/>
        <item m="1" x="1409"/>
        <item m="1" x="1472"/>
        <item m="1" x="690"/>
        <item m="1" x="1473"/>
        <item m="1" x="2419"/>
        <item m="1" x="2420"/>
        <item m="1" x="915"/>
        <item m="1" x="2421"/>
        <item m="1" x="2709"/>
        <item m="1" x="2422"/>
        <item m="1" x="2423"/>
        <item m="1" x="2260"/>
        <item m="1" x="862"/>
        <item m="1" x="2684"/>
        <item m="1" x="882"/>
        <item m="1" x="2424"/>
        <item m="1" x="1882"/>
        <item m="1" x="1347"/>
        <item m="1" x="691"/>
        <item m="1" x="2690"/>
        <item m="1" x="351"/>
        <item m="1" x="2139"/>
        <item m="1" x="2469"/>
        <item m="1" x="1034"/>
        <item m="1" x="501"/>
        <item m="1" x="818"/>
        <item m="1" x="819"/>
        <item m="1" x="914"/>
        <item m="1" x="63"/>
        <item m="1" x="2119"/>
        <item m="1" x="656"/>
        <item m="1" x="2425"/>
        <item m="1" x="149"/>
        <item m="1" x="387"/>
        <item m="1" x="557"/>
        <item m="1" x="1785"/>
        <item m="1" x="2061"/>
        <item m="1" x="440"/>
        <item m="1" x="2099"/>
        <item m="1" x="2426"/>
        <item m="1" x="995"/>
        <item m="1" x="1767"/>
        <item m="1" x="991"/>
        <item m="1" x="386"/>
        <item m="1" x="434"/>
        <item m="1" x="2428"/>
        <item m="1" x="2120"/>
        <item m="1" x="820"/>
        <item m="1" x="1994"/>
        <item m="1" x="487"/>
        <item m="1" x="95"/>
        <item m="1" x="482"/>
        <item m="1" x="87"/>
        <item m="1" x="1938"/>
        <item m="1" x="2062"/>
        <item m="1" x="371"/>
        <item m="1" x="210"/>
        <item m="1" x="2671"/>
        <item m="1" x="312"/>
        <item m="1" x="1923"/>
        <item m="1" x="120"/>
        <item m="1" x="2429"/>
        <item m="1" x="966"/>
        <item m="1" x="821"/>
        <item m="1" x="2068"/>
        <item m="1" x="1489"/>
        <item m="1" x="1490"/>
        <item m="1" x="1491"/>
        <item m="1" x="2430"/>
        <item m="1" x="1684"/>
        <item m="1" x="1379"/>
        <item m="1" x="1730"/>
        <item m="1" x="1800"/>
        <item m="1" x="162"/>
        <item m="1" x="1314"/>
        <item m="1" x="694"/>
        <item m="1" x="1493"/>
        <item m="1" x="1435"/>
        <item m="1" x="611"/>
        <item m="1" x="1018"/>
        <item m="1" x="2384"/>
        <item m="1" x="2616"/>
        <item m="1" x="2561"/>
        <item m="1" x="1290"/>
        <item m="1" x="1156"/>
        <item m="1" x="401"/>
        <item m="1" x="2142"/>
        <item m="1" x="383"/>
        <item m="1" x="2433"/>
        <item m="1" x="380"/>
        <item m="1" x="2434"/>
        <item m="1" x="1986"/>
        <item m="1" x="695"/>
        <item m="1" x="1688"/>
        <item m="1" x="907"/>
        <item m="1" x="2387"/>
        <item m="1" x="310"/>
        <item m="1" x="168"/>
        <item m="1" x="954"/>
        <item m="1" x="1342"/>
        <item m="1" x="328"/>
        <item m="1" x="822"/>
        <item m="1" x="403"/>
        <item m="1" x="1486"/>
        <item m="1" x="339"/>
        <item m="1" x="823"/>
        <item m="1" x="2435"/>
        <item m="1" x="502"/>
        <item m="1" x="565"/>
        <item m="1" x="1501"/>
        <item m="1" x="1023"/>
        <item m="1" x="2436"/>
        <item sd="0" m="1" x="2733"/>
        <item m="1" x="1217"/>
        <item m="1" x="800"/>
        <item m="1" x="1467"/>
        <item m="1" x="389"/>
        <item m="1" x="2063"/>
        <item m="1" x="2437"/>
        <item m="1" x="1064"/>
        <item m="1" x="853"/>
        <item m="1" x="936"/>
        <item m="1" x="1596"/>
        <item m="1" x="1502"/>
        <item m="1" x="2438"/>
        <item m="1" x="2129"/>
        <item m="1" x="174"/>
        <item m="1" x="2064"/>
        <item m="1" x="161"/>
        <item m="1" x="931"/>
        <item m="1" x="2584"/>
        <item m="1" x="923"/>
        <item m="1" x="2439"/>
        <item m="1" x="227"/>
        <item m="1" x="1517"/>
        <item m="1" x="2440"/>
        <item x="25"/>
        <item m="1" x="392"/>
        <item m="1" x="824"/>
        <item m="1" x="886"/>
        <item m="1" x="1396"/>
        <item m="1" x="1480"/>
        <item m="1" x="2065"/>
        <item m="1" x="1680"/>
        <item m="1" x="1511"/>
        <item m="1" x="393"/>
        <item m="1" x="2441"/>
        <item m="1" x="1792"/>
        <item m="1" x="172"/>
        <item m="1" x="1967"/>
        <item m="1" x="1512"/>
        <item m="1" x="825"/>
        <item m="1" x="71"/>
        <item m="1" x="1944"/>
        <item m="1" x="2594"/>
        <item m="1" x="2382"/>
        <item m="1" x="1665"/>
        <item m="1" x="2442"/>
        <item m="1" x="375"/>
        <item m="1" x="985"/>
        <item m="1" x="257"/>
        <item m="1" x="1119"/>
        <item m="1" x="2443"/>
        <item m="1" x="721"/>
        <item m="1" x="2444"/>
        <item m="1" x="1376"/>
        <item m="1" x="670"/>
        <item m="1" x="1768"/>
        <item m="1" x="2445"/>
        <item m="1" x="1943"/>
        <item m="1" x="67"/>
        <item m="1" x="1222"/>
        <item m="1" x="2070"/>
        <item m="1" x="180"/>
        <item m="1" x="124"/>
        <item m="1" x="1968"/>
        <item m="1" x="396"/>
        <item m="1" x="1525"/>
        <item m="1" x="1295"/>
        <item m="1" x="340"/>
        <item m="1" x="2447"/>
        <item m="1" x="422"/>
        <item m="1" x="2448"/>
        <item m="1" x="563"/>
        <item m="1" x="893"/>
        <item m="1" x="894"/>
        <item m="1" x="696"/>
        <item m="1" x="2450"/>
        <item m="1" x="1066"/>
        <item m="1" x="2066"/>
        <item m="1" x="2646"/>
        <item m="1" x="2570"/>
        <item m="1" x="1443"/>
        <item m="1" x="226"/>
        <item m="1" x="157"/>
        <item m="1" x="1383"/>
        <item m="1" x="940"/>
        <item m="1" x="2014"/>
        <item m="1" x="697"/>
        <item m="1" x="698"/>
        <item m="1" x="587"/>
        <item m="1" x="2451"/>
        <item m="1" x="1580"/>
        <item m="1" x="2532"/>
        <item m="1" x="253"/>
        <item m="1" x="1814"/>
        <item m="1" x="1118"/>
        <item m="1" x="1180"/>
        <item m="1" x="827"/>
        <item m="1" x="2121"/>
        <item m="1" x="1619"/>
        <item m="1" x="1035"/>
        <item m="1" x="2723"/>
        <item m="1" x="2639"/>
        <item m="1" x="2009"/>
        <item m="1" x="119"/>
        <item m="1" x="1534"/>
        <item m="1" x="2452"/>
        <item m="1" x="1291"/>
        <item m="1" x="398"/>
        <item m="1" x="1728"/>
        <item m="1" x="2316"/>
        <item m="1" x="1560"/>
        <item m="1" x="2619"/>
        <item m="1" x="469"/>
        <item m="1" x="1769"/>
        <item m="1" x="1889"/>
        <item m="1" x="699"/>
        <item sd="0" m="1" x="2732"/>
        <item m="1" x="569"/>
        <item m="1" x="803"/>
        <item x="17"/>
        <item m="1" x="2453"/>
        <item m="1" x="1995"/>
        <item m="1" x="2454"/>
        <item m="1" x="1296"/>
        <item m="1" x="1866"/>
        <item m="1" x="1731"/>
        <item m="1" x="1537"/>
        <item m="1" x="1609"/>
        <item m="1" x="2574"/>
        <item m="1" x="1538"/>
        <item m="1" x="483"/>
        <item m="1" x="1603"/>
        <item m="1" x="178"/>
        <item m="1" x="1791"/>
        <item m="1" x="1840"/>
        <item m="1" x="958"/>
        <item m="1" x="402"/>
        <item sd="0" m="1" x="258"/>
        <item sd="0" m="1" x="2725"/>
        <item m="1" x="1033"/>
        <item m="1" x="1798"/>
        <item m="1" x="1013"/>
        <item m="1" x="186"/>
        <item m="1" x="1916"/>
        <item m="1" x="968"/>
        <item m="1" x="2599"/>
        <item m="1" x="2140"/>
        <item m="1" x="796"/>
        <item m="1" x="1540"/>
        <item m="1" x="1541"/>
        <item m="1" x="701"/>
        <item m="1" x="1856"/>
        <item m="1" x="897"/>
        <item m="1" x="1857"/>
        <item m="1" x="2455"/>
        <item m="1" x="2660"/>
        <item m="1" x="1115"/>
        <item m="1" x="2471"/>
        <item m="1" x="1896"/>
        <item m="1" x="680"/>
        <item m="1" x="705"/>
        <item m="1" x="446"/>
        <item m="1" x="1350"/>
        <item m="1" x="600"/>
        <item m="1" x="1001"/>
        <item m="1" x="702"/>
        <item m="1" x="1545"/>
        <item x="2"/>
        <item m="1" x="531"/>
        <item m="1" x="634"/>
        <item m="1" x="814"/>
        <item sd="0" m="1" x="556"/>
        <item x="21"/>
        <item m="1" x="2679"/>
        <item sd="0" m="1" x="1190"/>
        <item m="1" x="1823"/>
        <item m="1" x="790"/>
        <item m="1" x="2696"/>
        <item m="1" x="1127"/>
        <item m="1" x="845"/>
        <item m="1" x="347"/>
        <item m="1" x="1559"/>
        <item m="1" x="1116"/>
        <item m="1" x="1839"/>
        <item m="1" x="1721"/>
        <item m="1" x="1144"/>
        <item m="1" x="1107"/>
        <item m="1" x="888"/>
        <item m="1" x="1332"/>
        <item m="1" x="1845"/>
        <item sd="0" m="1" x="522"/>
        <item m="1" x="1714"/>
        <item m="1" x="1841"/>
        <item m="1" x="627"/>
        <item m="1" x="409"/>
        <item m="1" x="1040"/>
        <item m="1" x="1862"/>
        <item m="1" x="1969"/>
        <item m="1" x="379"/>
        <item m="1" x="1988"/>
        <item m="1" x="703"/>
        <item m="1" x="187"/>
        <item m="1" x="470"/>
        <item m="1" x="2122"/>
        <item m="1" x="1838"/>
        <item m="1" x="1564"/>
        <item m="1" x="198"/>
        <item x="39"/>
        <item m="1" x="913"/>
        <item m="1" x="1867"/>
        <item m="1" x="2458"/>
        <item m="1" x="1529"/>
        <item m="1" x="2459"/>
        <item m="1" x="2460"/>
        <item m="1" x="2462"/>
        <item m="1" x="830"/>
        <item m="1" x="704"/>
        <item m="1" x="2609"/>
        <item m="1" x="305"/>
        <item m="1" x="953"/>
        <item m="1" x="977"/>
        <item m="1" x="2463"/>
        <item m="1" x="2591"/>
        <item m="1" x="2299"/>
        <item m="1" x="189"/>
        <item m="1" x="2381"/>
        <item m="1" x="2662"/>
        <item m="1" x="228"/>
        <item m="1" x="2457"/>
        <item m="1" x="2032"/>
        <item m="1" x="961"/>
        <item m="1" x="1610"/>
        <item m="1" x="229"/>
        <item m="1" x="1772"/>
        <item m="1" x="1567"/>
        <item m="1" x="362"/>
        <item m="1" x="1029"/>
        <item m="1" x="829"/>
        <item m="1" x="1582"/>
        <item m="1" x="447"/>
        <item m="1" x="1150"/>
        <item sd="0" m="1" x="2736"/>
        <item m="1" x="1178"/>
        <item m="1" x="1514"/>
        <item m="1" x="1583"/>
        <item m="1" x="1584"/>
        <item m="1" x="1134"/>
        <item m="1" x="707"/>
        <item m="1" x="1561"/>
        <item m="1" x="2472"/>
        <item m="1" x="2011"/>
        <item m="1" x="1585"/>
        <item m="1" x="1338"/>
        <item m="1" x="909"/>
        <item m="1" x="700"/>
        <item m="1" x="77"/>
        <item m="1" x="2562"/>
        <item m="1" x="1586"/>
        <item m="1" x="2473"/>
        <item m="1" x="1685"/>
        <item m="1" x="564"/>
        <item m="1" x="1110"/>
        <item x="30"/>
        <item m="1" x="2474"/>
        <item m="1" x="2576"/>
        <item m="1" x="2610"/>
        <item m="1" x="1696"/>
        <item m="1" x="1051"/>
        <item m="1" x="2475"/>
        <item m="1" x="2476"/>
        <item m="1" x="1629"/>
        <item m="1" x="2477"/>
        <item m="1" x="1922"/>
        <item m="1" x="2479"/>
        <item m="1" x="2478"/>
        <item m="1" x="1676"/>
        <item m="1" x="1965"/>
        <item m="1" x="2695"/>
        <item m="1" x="496"/>
        <item m="1" x="1990"/>
        <item m="1" x="2689"/>
        <item m="1" x="1590"/>
        <item m="1" x="1155"/>
        <item m="1" x="881"/>
        <item m="1" x="2480"/>
        <item x="11"/>
        <item m="1" x="1960"/>
        <item m="1" x="2481"/>
        <item m="1" x="520"/>
        <item m="1" x="1028"/>
        <item m="1" x="352"/>
        <item m="1" x="2482"/>
        <item m="1" x="504"/>
        <item m="1" x="1496"/>
        <item m="1" x="928"/>
        <item m="1" x="2468"/>
        <item m="1" x="1024"/>
        <item m="1" x="1854"/>
        <item m="1" x="2483"/>
        <item m="1" x="1593"/>
        <item m="1" x="2680"/>
        <item m="1" x="1061"/>
        <item m="1" x="243"/>
        <item m="1" x="191"/>
        <item m="1" x="1579"/>
        <item m="1" x="1595"/>
        <item m="1" x="192"/>
        <item m="1" x="298"/>
        <item m="1" x="1601"/>
        <item m="1" x="962"/>
        <item m="1" x="2485"/>
        <item m="1" x="2124"/>
        <item m="1" x="1421"/>
        <item m="1" x="2005"/>
        <item m="1" x="1648"/>
        <item m="1" x="2125"/>
        <item m="1" x="1184"/>
        <item m="1" x="2676"/>
        <item m="1" x="1604"/>
        <item m="1" x="1558"/>
        <item m="1" x="194"/>
        <item m="1" x="2126"/>
        <item m="1" x="307"/>
        <item m="1" x="588"/>
        <item m="1" x="1168"/>
        <item m="1" x="193"/>
        <item m="1" x="972"/>
        <item m="1" x="413"/>
        <item m="1" x="414"/>
        <item m="1" x="415"/>
        <item m="1" x="169"/>
        <item m="1" x="416"/>
        <item m="1" x="1445"/>
        <item m="1" x="833"/>
        <item m="1" x="2486"/>
        <item m="1" x="1570"/>
        <item m="1" x="855"/>
        <item m="1" x="1533"/>
        <item m="1" x="2487"/>
        <item m="1" x="1842"/>
        <item m="1" x="1773"/>
        <item m="1" x="2488"/>
        <item m="1" x="1563"/>
        <item m="1" x="902"/>
        <item m="1" x="435"/>
        <item m="1" x="860"/>
        <item m="1" x="1121"/>
        <item m="1" x="708"/>
        <item m="1" x="2490"/>
        <item m="1" x="542"/>
        <item m="1" x="1607"/>
        <item m="1" x="1608"/>
        <item m="1" x="1335"/>
        <item sd="0" m="1" x="2719"/>
        <item m="1" x="1864"/>
        <item m="1" x="742"/>
        <item m="1" x="2368"/>
        <item m="1" x="832"/>
        <item m="1" x="1117"/>
        <item m="1" x="239"/>
        <item m="1" x="1426"/>
        <item m="1" x="2492"/>
        <item m="1" x="2493"/>
        <item m="1" x="196"/>
        <item m="1" x="2494"/>
        <item m="1" x="278"/>
        <item sd="0" m="1" x="2740"/>
        <item m="1" x="2069"/>
        <item m="1" x="1797"/>
        <item m="1" x="143"/>
        <item m="1" x="1611"/>
        <item x="42"/>
        <item m="1" x="608"/>
        <item m="1" x="1848"/>
        <item m="1" x="602"/>
        <item m="1" x="1858"/>
        <item m="1" x="1849"/>
        <item m="1" x="1976"/>
        <item m="1" x="1929"/>
        <item m="1" x="603"/>
        <item m="1" x="770"/>
        <item m="1" x="1850"/>
        <item m="1" x="601"/>
        <item m="1" x="606"/>
        <item m="1" x="610"/>
        <item m="1" x="1852"/>
        <item m="1" x="515"/>
        <item sd="0" x="29"/>
        <item m="1" x="1661"/>
        <item x="41"/>
        <item m="1" x="596"/>
        <item m="1" x="1662"/>
        <item m="1" x="514"/>
        <item m="1" x="595"/>
        <item m="1" x="1977"/>
        <item m="1" x="1358"/>
        <item m="1" x="1847"/>
        <item m="1" x="605"/>
        <item m="1" x="1846"/>
        <item m="1" x="609"/>
        <item sd="0" m="1" x="604"/>
        <item x="28"/>
        <item sd="0" m="1" x="2730"/>
        <item sd="0" m="1" x="2735"/>
        <item sd="0" x="26"/>
        <item m="1" x="857"/>
        <item m="1" x="1861"/>
        <item m="1" x="2027"/>
        <item m="1" x="2035"/>
        <item m="1" x="1881"/>
        <item m="1" x="92"/>
        <item m="1" x="1666"/>
        <item m="1" x="1974"/>
        <item m="1" x="1017"/>
        <item m="1" x="805"/>
        <item m="1" x="2699"/>
        <item m="1" x="2427"/>
        <item m="1" x="2446"/>
        <item m="1" x="151"/>
        <item m="1" x="709"/>
        <item m="1" x="1659"/>
        <item m="1" x="421"/>
        <item m="1" x="2067"/>
        <item m="1" x="2495"/>
        <item m="1" x="921"/>
        <item m="1" x="2238"/>
        <item sd="0" m="1" x="2738"/>
        <item m="1" x="1423"/>
        <item m="1" x="582"/>
        <item m="1" x="2123"/>
        <item m="1" x="70"/>
        <item m="1" x="2497"/>
        <item m="1" x="325"/>
        <item m="1" x="2156"/>
        <item m="1" x="2498"/>
        <item m="1" x="2461"/>
        <item m="1" x="1234"/>
        <item m="1" x="934"/>
        <item m="1" x="2672"/>
        <item m="1" x="1067"/>
        <item m="1" x="2256"/>
        <item m="1" x="1308"/>
        <item m="1" x="1669"/>
        <item m="1" x="1446"/>
        <item m="1" x="1154"/>
        <item m="1" x="2127"/>
        <item m="1" x="423"/>
        <item m="1" x="1400"/>
        <item m="1" x="424"/>
        <item m="1" x="1958"/>
        <item m="1" x="197"/>
        <item m="1" x="2499"/>
        <item m="1" x="1673"/>
        <item m="1" x="517"/>
        <item m="1" x="1477"/>
        <item m="1" x="2500"/>
        <item m="1" x="1808"/>
        <item m="1" x="892"/>
        <item m="1" x="1138"/>
        <item m="1" x="275"/>
        <item m="1" x="834"/>
        <item m="1" x="79"/>
        <item m="1" x="910"/>
        <item m="1" x="136"/>
        <item m="1" x="203"/>
        <item m="1" x="2575"/>
        <item m="1" x="2585"/>
        <item m="1" x="939"/>
        <item m="1" x="1366"/>
        <item m="1" x="1136"/>
        <item m="1" x="1605"/>
        <item m="1" x="1226"/>
        <item m="1" x="484"/>
        <item m="1" x="1677"/>
        <item m="1" x="2714"/>
        <item m="1" x="993"/>
        <item m="1" x="1387"/>
        <item m="1" x="1678"/>
        <item m="1" x="1895"/>
        <item m="1" x="1365"/>
        <item m="1" x="1649"/>
        <item m="1" x="1620"/>
        <item m="1" x="1599"/>
        <item m="1" x="1122"/>
        <item m="1" x="489"/>
        <item m="1" x="1352"/>
        <item m="1" x="1616"/>
        <item m="1" x="835"/>
        <item m="1" x="2515"/>
        <item m="1" x="230"/>
        <item m="1" x="533"/>
        <item m="1" x="2501"/>
        <item m="1" x="261"/>
        <item m="1" x="201"/>
        <item m="1" x="285"/>
        <item m="1" x="2502"/>
        <item m="1" x="1187"/>
        <item m="1" x="552"/>
        <item m="1" x="2503"/>
        <item m="1" x="630"/>
        <item m="1" x="859"/>
        <item m="1" x="1975"/>
        <item m="1" x="2504"/>
        <item m="1" x="2713"/>
        <item m="1" x="2694"/>
        <item m="1" x="1076"/>
        <item m="1" x="905"/>
        <item m="1" x="2514"/>
        <item m="1" x="1828"/>
        <item m="1" x="1164"/>
        <item m="1" x="1415"/>
        <item m="1" x="2587"/>
        <item m="1" x="2698"/>
        <item m="1" x="1697"/>
        <item m="1" x="1401"/>
        <item m="1" x="1292"/>
        <item m="1" x="2505"/>
        <item m="1" x="2702"/>
        <item m="1" x="280"/>
        <item m="1" x="879"/>
        <item m="1" x="937"/>
        <item x="34"/>
        <item m="1" x="365"/>
        <item m="1" x="1566"/>
        <item m="1" x="710"/>
        <item m="1" x="490"/>
        <item sd="0" m="1" x="493"/>
        <item m="1" x="711"/>
        <item m="1" x="400"/>
        <item m="1" x="2507"/>
        <item m="1" x="2624"/>
        <item m="1" x="632"/>
        <item m="1" x="2189"/>
        <item m="1" x="1631"/>
        <item m="1" x="2706"/>
        <item m="1" x="729"/>
        <item m="1" x="2617"/>
        <item x="24"/>
        <item m="1" x="1331"/>
        <item m="1" x="838"/>
        <item m="1" x="2022"/>
        <item m="1" x="1689"/>
        <item m="1" x="1690"/>
        <item m="1" x="2308"/>
        <item m="1" x="1794"/>
        <item m="1" x="1173"/>
        <item m="1" x="651"/>
        <item m="1" x="2652"/>
        <item m="1" x="1101"/>
        <item m="1" x="2128"/>
        <item m="1" x="613"/>
        <item m="1" x="137"/>
        <item m="1" x="813"/>
        <item m="1" x="2603"/>
        <item m="1" x="1343"/>
        <item m="1" x="2509"/>
        <item m="1" x="839"/>
        <item m="1" x="1691"/>
        <item m="1" x="121"/>
        <item m="1" x="425"/>
        <item m="1" x="2431"/>
        <item m="1" x="1890"/>
        <item m="1" x="1776"/>
        <item m="1" x="1904"/>
        <item m="1" x="2144"/>
        <item m="1" x="62"/>
        <item m="1" x="1055"/>
        <item m="1" x="840"/>
        <item m="1" x="2383"/>
        <item m="1" x="1578"/>
        <item m="1" x="2510"/>
        <item m="1" x="1660"/>
        <item m="1" x="485"/>
        <item m="1" x="1207"/>
        <item m="1" x="1693"/>
        <item m="1" x="1663"/>
        <item m="1" x="1657"/>
        <item m="1" x="858"/>
        <item m="1" x="2511"/>
        <item m="1" x="2001"/>
        <item m="1" x="841"/>
        <item m="1" x="1411"/>
        <item m="1" x="837"/>
        <item m="1" x="2597"/>
        <item m="1" x="1694"/>
        <item m="1" x="1801"/>
        <item m="1" x="1695"/>
        <item m="1" x="1681"/>
        <item m="1" x="1587"/>
        <item m="1" x="1160"/>
        <item m="1" x="1569"/>
        <item m="1" x="998"/>
        <item m="1" x="856"/>
        <item m="1" x="1166"/>
        <item m="1" x="2512"/>
        <item m="1" x="150"/>
        <item m="1" x="2149"/>
        <item m="1" x="1223"/>
        <item m="1" x="212"/>
        <item m="1" x="918"/>
        <item m="1" x="1989"/>
        <item m="1" x="1979"/>
        <item m="1" x="2268"/>
        <item m="1" x="56"/>
        <item m="1" x="1562"/>
        <item m="1" x="1581"/>
        <item m="1" x="2390"/>
        <item m="1" x="969"/>
        <item m="1" x="473"/>
        <item m="1" x="843"/>
        <item m="1" x="1625"/>
        <item m="1" x="935"/>
        <item m="1" x="2023"/>
        <item m="1" x="1462"/>
        <item m="1" x="2666"/>
        <item m="1" x="2024"/>
        <item x="9"/>
        <item m="1" x="1698"/>
        <item m="1" x="1375"/>
        <item m="1" x="1699"/>
        <item m="1" x="179"/>
        <item m="1" x="2148"/>
        <item m="1" x="589"/>
        <item m="1" x="558"/>
        <item m="1" x="1019"/>
        <item m="1" x="69"/>
        <item m="1" x="199"/>
        <item m="1" x="844"/>
        <item m="1" x="714"/>
        <item m="1" x="2449"/>
        <item m="1" x="715"/>
        <item m="1" x="1670"/>
        <item m="1" x="1407"/>
        <item m="1" x="2130"/>
        <item m="1" x="1702"/>
        <item m="1" x="427"/>
        <item m="1" x="190"/>
        <item m="1" x="1479"/>
        <item m="1" x="679"/>
        <item m="1" x="716"/>
        <item m="1" x="65"/>
        <item m="1" x="1703"/>
        <item m="1" x="1851"/>
        <item m="1" x="717"/>
        <item m="1" x="486"/>
        <item m="1" x="231"/>
        <item m="1" x="2079"/>
        <item m="1" x="2131"/>
        <item m="1" x="1626"/>
        <item m="1" x="2516"/>
        <item m="1" x="1374"/>
        <item m="1" x="1280"/>
        <item m="1" x="927"/>
        <item m="1" x="299"/>
        <item sd="0" m="1" x="2734"/>
        <item m="1" x="1843"/>
        <item m="1" x="1991"/>
        <item m="1" x="200"/>
        <item m="1" x="1859"/>
        <item m="1" x="86"/>
        <item m="1" x="1268"/>
        <item m="1" x="1417"/>
        <item m="1" x="1706"/>
        <item m="1" x="1269"/>
        <item m="1" x="2132"/>
        <item m="1" x="989"/>
        <item m="1" x="1704"/>
        <item m="1" x="637"/>
        <item m="1" x="706"/>
        <item sd="0" m="1" x="640"/>
        <item m="1" x="842"/>
        <item m="1" x="105"/>
        <item m="1" x="173"/>
        <item m="1" x="1495"/>
        <item m="1" x="896"/>
        <item m="1" x="2517"/>
        <item m="1" x="2518"/>
        <item m="1" x="982"/>
        <item m="1" x="2519"/>
        <item m="1" x="718"/>
        <item m="1" x="1705"/>
        <item m="1" x="1519"/>
        <item m="1" x="2644"/>
        <item m="1" x="2640"/>
        <item m="1" x="2520"/>
        <item m="1" x="1025"/>
        <item m="1" x="1182"/>
        <item m="1" x="1946"/>
        <item m="1" x="1635"/>
        <item m="1" x="984"/>
        <item m="1" x="1274"/>
        <item m="1" x="2521"/>
        <item m="1" x="1633"/>
        <item m="1" x="2522"/>
        <item m="1" x="861"/>
        <item m="1" x="1707"/>
        <item m="1" x="1834"/>
        <item m="1" x="1634"/>
        <item m="1" x="2700"/>
        <item m="1" x="127"/>
        <item m="1" x="1032"/>
        <item m="1" x="2203"/>
        <item m="1" x="1404"/>
        <item m="1" x="1494"/>
        <item m="1" x="1770"/>
        <item m="1" x="1983"/>
        <item m="1" x="2523"/>
        <item m="1" x="1709"/>
        <item m="1" x="1777"/>
        <item m="1" x="2525"/>
        <item m="1" x="719"/>
        <item m="1" x="1927"/>
        <item m="1" x="1996"/>
        <item m="1" x="846"/>
        <item m="1" x="2526"/>
        <item m="1" x="2392"/>
        <item m="1" x="519"/>
        <item m="1" x="1086"/>
        <item m="1" x="2059"/>
        <item m="1" x="598"/>
        <item m="1" x="757"/>
        <item m="1" x="535"/>
        <item m="1" x="2133"/>
        <item m="1" x="2527"/>
        <item m="1" x="204"/>
        <item m="1" x="720"/>
        <item x="35"/>
        <item m="1" x="1713"/>
        <item m="1" x="1014"/>
        <item m="1" x="1424"/>
        <item m="1" x="941"/>
        <item m="1" x="2712"/>
        <item m="1" x="420"/>
        <item m="1" x="2528"/>
        <item m="1" x="1391"/>
        <item m="1" x="2012"/>
        <item m="1" x="2573"/>
        <item m="1" x="938"/>
        <item m="1" x="2134"/>
        <item m="1" x="267"/>
        <item m="1" x="2529"/>
        <item m="1" x="1293"/>
        <item m="1" x="614"/>
        <item sd="0" m="1" x="2722"/>
        <item m="1" x="2593"/>
        <item m="1" x="1416"/>
        <item m="1" x="324"/>
        <item m="1" x="428"/>
        <item m="1" x="2530"/>
        <item m="1" x="2029"/>
        <item m="1" x="723"/>
        <item m="1" x="2259"/>
        <item m="1" x="541"/>
        <item m="1" x="1618"/>
        <item m="1" x="1674"/>
        <item m="1" x="1778"/>
        <item m="1" x="911"/>
        <item m="1" x="2531"/>
        <item m="1" x="847"/>
        <item x="23"/>
        <item m="1" x="478"/>
        <item m="1" x="848"/>
        <item m="1" x="929"/>
        <item m="1" x="1844"/>
        <item m="1" x="1715"/>
        <item m="1" x="1710"/>
        <item m="1" x="1004"/>
        <item m="1" x="726"/>
        <item m="1" x="2135"/>
        <item m="1" x="1353"/>
        <item m="1" x="1717"/>
        <item m="1" x="1779"/>
        <item sd="0" m="1" x="465"/>
        <item m="1" x="1260"/>
        <item m="1" x="974"/>
        <item m="1" x="2533"/>
        <item m="1" x="188"/>
        <item m="1" x="2647"/>
        <item m="1" x="2686"/>
        <item m="1" x="866"/>
        <item m="1" x="1811"/>
        <item m="1" x="812"/>
        <item x="43"/>
        <item m="1" x="1718"/>
        <item m="1" x="1719"/>
        <item m="1" x="1398"/>
        <item m="1" x="1720"/>
        <item sd="0" m="1" x="2728"/>
        <item m="1" x="128"/>
        <item m="1" x="205"/>
        <item m="1" x="686"/>
        <item m="1" x="2622"/>
        <item m="1" x="1780"/>
        <item m="1" x="685"/>
        <item m="1" x="2416"/>
        <item m="1" x="2705"/>
        <item m="1" x="1333"/>
        <item m="1" x="1667"/>
        <item m="1" x="2136"/>
        <item m="1" x="1781"/>
        <item m="1" x="329"/>
        <item m="1" x="1724"/>
        <item m="1" x="206"/>
        <item m="1" x="153"/>
        <item m="1" x="2643"/>
        <item m="1" x="849"/>
        <item m="1" x="854"/>
        <item m="1" x="2631"/>
        <item m="1" x="471"/>
        <item m="1" x="2535"/>
        <item m="1" x="1902"/>
        <item m="1" x="722"/>
        <item m="1" x="540"/>
        <item m="1" x="2255"/>
        <item m="1" x="850"/>
        <item m="1" x="183"/>
        <item m="1" x="693"/>
        <item m="1" x="644"/>
        <item m="1" x="1726"/>
        <item m="1" x="967"/>
        <item sd="0" m="1" x="2117"/>
        <item m="1" x="397"/>
        <item m="1" x="1504"/>
        <item sd="0" x="40"/>
        <item sd="0" m="1" x="2729"/>
        <item m="1" x="1273"/>
        <item m="1" x="2536"/>
        <item m="1" x="2470"/>
        <item m="1" x="429"/>
        <item m="1" x="2537"/>
        <item m="1" x="2538"/>
        <item m="1" x="2569"/>
        <item m="1" x="2539"/>
        <item m="1" x="1460"/>
        <item m="1" x="2058"/>
        <item m="1" x="2540"/>
        <item m="1" x="942"/>
        <item m="1" x="2031"/>
        <item m="1" x="1597"/>
        <item m="1" x="2541"/>
        <item m="1" x="1325"/>
        <item m="1" x="2071"/>
        <item m="1" x="828"/>
        <item m="1" x="430"/>
        <item m="1" x="1356"/>
        <item m="1" x="1031"/>
        <item x="16"/>
        <item m="1" x="1957"/>
        <item m="1" x="1434"/>
        <item m="1" x="874"/>
        <item m="1" x="2542"/>
        <item m="1" x="2543"/>
        <item m="1" x="249"/>
        <item m="1" x="207"/>
        <item m="1" x="2544"/>
        <item m="1" x="2545"/>
        <item m="1" x="2137"/>
        <item m="1" x="2138"/>
        <item m="1" x="1002"/>
        <item m="1" x="134"/>
        <item m="1" x="1732"/>
        <item m="1" x="1326"/>
        <item m="1" x="155"/>
        <item m="1" x="211"/>
        <item m="1" x="1161"/>
        <item x="36"/>
        <item m="1" x="141"/>
        <item m="1" x="2548"/>
        <item m="1" x="508"/>
        <item m="1" x="930"/>
        <item m="1" x="571"/>
        <item m="1" x="2372"/>
        <item m="1" x="2357"/>
        <item m="1" x="241"/>
        <item m="1" x="1733"/>
        <item m="1" x="1734"/>
        <item m="1" x="431"/>
        <item m="1" x="851"/>
        <item m="1" x="2546"/>
        <item m="1" x="532"/>
        <item m="1" x="1521"/>
        <item m="1" x="1554"/>
        <item m="1" x="2547"/>
        <item m="1" x="1782"/>
        <item m="1" x="1903"/>
        <item m="1" x="2549"/>
        <item m="1" x="1735"/>
        <item m="1" x="1650"/>
        <item m="1" x="1736"/>
        <item m="1" x="2708"/>
        <item t="default" sd="0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4"/>
    <field x="0"/>
  </rowFields>
  <rowItems count="2">
    <i>
      <x v="2674"/>
    </i>
    <i t="grand">
      <x/>
    </i>
  </rowItems>
  <colItems count="1">
    <i/>
  </colItems>
  <pageFields count="1">
    <pageField fld="3" hier="-1"/>
  </pageFields>
  <dataFields count="1">
    <dataField name="Total" fld="9" baseField="0" baseItem="0" numFmtId="44"/>
  </dataFields>
  <formats count="9">
    <format dxfId="204">
      <pivotArea collapsedLevelsAreSubtotals="1" fieldPosition="0">
        <references count="1">
          <reference field="4" count="1">
            <x v="275"/>
          </reference>
        </references>
      </pivotArea>
    </format>
    <format dxfId="203">
      <pivotArea collapsedLevelsAreSubtotals="1" fieldPosition="0">
        <references count="1">
          <reference field="4" count="1">
            <x v="664"/>
          </reference>
        </references>
      </pivotArea>
    </format>
    <format dxfId="202">
      <pivotArea collapsedLevelsAreSubtotals="1" fieldPosition="0">
        <references count="1">
          <reference field="4" count="1">
            <x v="789"/>
          </reference>
        </references>
      </pivotArea>
    </format>
    <format dxfId="201">
      <pivotArea collapsedLevelsAreSubtotals="1" fieldPosition="0">
        <references count="1">
          <reference field="4" count="1">
            <x v="1446"/>
          </reference>
        </references>
      </pivotArea>
    </format>
    <format dxfId="200">
      <pivotArea collapsedLevelsAreSubtotals="1" fieldPosition="0">
        <references count="1">
          <reference field="4" count="1">
            <x v="1688"/>
          </reference>
        </references>
      </pivotArea>
    </format>
    <format dxfId="199">
      <pivotArea collapsedLevelsAreSubtotals="1" fieldPosition="0">
        <references count="1">
          <reference field="4" count="1">
            <x v="1989"/>
          </reference>
        </references>
      </pivotArea>
    </format>
    <format dxfId="198">
      <pivotArea dataOnly="0" labelOnly="1" fieldPosition="0">
        <references count="1">
          <reference field="4" count="6">
            <x v="275"/>
            <x v="664"/>
            <x v="789"/>
            <x v="1446"/>
            <x v="1688"/>
            <x v="1989"/>
          </reference>
        </references>
      </pivotArea>
    </format>
    <format dxfId="197">
      <pivotArea field="4" type="button" dataOnly="0" labelOnly="1" outline="0" axis="axisRow" fieldPosition="0"/>
    </format>
    <format dxfId="196">
      <pivotArea dataOnly="0" labelOnly="1" outline="0" axis="axisValues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A87823-8168-1E41-963B-FEB6390C24FC}" name="PivotTable6" cacheId="42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D4:E6" firstHeaderRow="1" firstDataRow="1" firstDataCol="1" rowPageCount="1" colPageCount="1"/>
  <pivotFields count="15">
    <pivotField showAll="0"/>
    <pivotField numFmtId="165" showAll="0"/>
    <pivotField axis="axisRow" showAll="0" measureFilter="1" sortType="ascending">
      <items count="537">
        <item m="1" x="433"/>
        <item x="0"/>
        <item x="1"/>
        <item x="2"/>
        <item m="1" x="209"/>
        <item x="3"/>
        <item m="1" x="352"/>
        <item m="1" x="358"/>
        <item m="1" x="215"/>
        <item m="1" x="182"/>
        <item m="1" x="297"/>
        <item m="1" x="373"/>
        <item m="1" x="192"/>
        <item m="1" x="381"/>
        <item m="1" x="202"/>
        <item m="1" x="303"/>
        <item x="4"/>
        <item x="5"/>
        <item x="6"/>
        <item m="1" x="533"/>
        <item m="1" x="295"/>
        <item m="1" x="184"/>
        <item m="1" x="488"/>
        <item x="7"/>
        <item m="1" x="510"/>
        <item x="8"/>
        <item x="9"/>
        <item x="10"/>
        <item m="1" x="426"/>
        <item x="11"/>
        <item x="12"/>
        <item x="13"/>
        <item x="14"/>
        <item m="1" x="413"/>
        <item m="1" x="518"/>
        <item m="1" x="385"/>
        <item m="1" x="392"/>
        <item x="15"/>
        <item x="16"/>
        <item m="1" x="504"/>
        <item x="17"/>
        <item m="1" x="447"/>
        <item m="1" x="481"/>
        <item x="18"/>
        <item x="19"/>
        <item m="1" x="347"/>
        <item m="1" x="354"/>
        <item m="1" x="411"/>
        <item m="1" x="418"/>
        <item m="1" x="186"/>
        <item x="20"/>
        <item m="1" x="277"/>
        <item m="1" x="214"/>
        <item x="21"/>
        <item m="1" x="479"/>
        <item m="1" x="436"/>
        <item x="22"/>
        <item m="1" x="367"/>
        <item m="1" x="267"/>
        <item x="23"/>
        <item m="1" x="219"/>
        <item x="24"/>
        <item m="1" x="265"/>
        <item m="1" x="357"/>
        <item x="25"/>
        <item x="26"/>
        <item x="27"/>
        <item m="1" x="228"/>
        <item m="1" x="485"/>
        <item x="28"/>
        <item m="1" x="469"/>
        <item m="1" x="394"/>
        <item x="29"/>
        <item m="1" x="435"/>
        <item x="30"/>
        <item m="1" x="248"/>
        <item x="31"/>
        <item x="32"/>
        <item x="33"/>
        <item x="34"/>
        <item x="35"/>
        <item m="1" x="482"/>
        <item x="36"/>
        <item m="1" x="226"/>
        <item m="1" x="235"/>
        <item x="37"/>
        <item m="1" x="283"/>
        <item x="38"/>
        <item m="1" x="213"/>
        <item m="1" x="274"/>
        <item m="1" x="425"/>
        <item m="1" x="205"/>
        <item m="1" x="345"/>
        <item m="1" x="532"/>
        <item m="1" x="346"/>
        <item m="1" x="443"/>
        <item m="1" x="331"/>
        <item m="1" x="396"/>
        <item m="1" x="253"/>
        <item x="39"/>
        <item m="1" x="501"/>
        <item m="1" x="387"/>
        <item x="40"/>
        <item m="1" x="355"/>
        <item x="41"/>
        <item x="42"/>
        <item x="43"/>
        <item x="44"/>
        <item x="45"/>
        <item m="1" x="289"/>
        <item m="1" x="475"/>
        <item m="1" x="521"/>
        <item m="1" x="200"/>
        <item m="1" x="376"/>
        <item m="1" x="221"/>
        <item m="1" x="270"/>
        <item x="46"/>
        <item m="1" x="431"/>
        <item m="1" x="292"/>
        <item m="1" x="414"/>
        <item m="1" x="375"/>
        <item m="1" x="471"/>
        <item x="47"/>
        <item m="1" x="393"/>
        <item x="48"/>
        <item m="1" x="494"/>
        <item x="49"/>
        <item x="50"/>
        <item m="1" x="183"/>
        <item x="51"/>
        <item m="1" x="416"/>
        <item x="52"/>
        <item m="1" x="290"/>
        <item m="1" x="341"/>
        <item m="1" x="439"/>
        <item m="1" x="257"/>
        <item m="1" x="340"/>
        <item m="1" x="256"/>
        <item x="53"/>
        <item m="1" x="203"/>
        <item x="54"/>
        <item x="55"/>
        <item x="56"/>
        <item m="1" x="529"/>
        <item x="57"/>
        <item m="1" x="461"/>
        <item m="1" x="415"/>
        <item x="58"/>
        <item m="1" x="238"/>
        <item x="59"/>
        <item x="60"/>
        <item m="1" x="452"/>
        <item m="1" x="457"/>
        <item x="61"/>
        <item m="1" x="508"/>
        <item m="1" x="208"/>
        <item m="1" x="321"/>
        <item m="1" x="390"/>
        <item x="62"/>
        <item m="1" x="293"/>
        <item m="1" x="232"/>
        <item m="1" x="366"/>
        <item m="1" x="310"/>
        <item x="63"/>
        <item m="1" x="400"/>
        <item m="1" x="446"/>
        <item m="1" x="251"/>
        <item x="64"/>
        <item x="65"/>
        <item m="1" x="349"/>
        <item x="66"/>
        <item x="67"/>
        <item m="1" x="259"/>
        <item m="1" x="519"/>
        <item x="68"/>
        <item m="1" x="490"/>
        <item x="69"/>
        <item m="1" x="344"/>
        <item m="1" x="255"/>
        <item x="70"/>
        <item x="71"/>
        <item m="1" x="406"/>
        <item x="72"/>
        <item m="1" x="458"/>
        <item x="73"/>
        <item m="1" x="196"/>
        <item m="1" x="314"/>
        <item m="1" x="419"/>
        <item x="74"/>
        <item x="75"/>
        <item x="76"/>
        <item m="1" x="404"/>
        <item m="1" x="302"/>
        <item m="1" x="372"/>
        <item m="1" x="316"/>
        <item x="77"/>
        <item m="1" x="279"/>
        <item m="1" x="276"/>
        <item m="1" x="361"/>
        <item m="1" x="468"/>
        <item m="1" x="371"/>
        <item m="1" x="258"/>
        <item m="1" x="260"/>
        <item m="1" x="430"/>
        <item m="1" x="187"/>
        <item x="78"/>
        <item x="79"/>
        <item x="80"/>
        <item m="1" x="227"/>
        <item m="1" x="427"/>
        <item x="81"/>
        <item m="1" x="395"/>
        <item m="1" x="407"/>
        <item m="1" x="473"/>
        <item m="1" x="445"/>
        <item m="1" x="405"/>
        <item m="1" x="252"/>
        <item m="1" x="464"/>
        <item x="82"/>
        <item m="1" x="230"/>
        <item x="83"/>
        <item m="1" x="514"/>
        <item m="1" x="456"/>
        <item m="1" x="517"/>
        <item m="1" x="325"/>
        <item m="1" x="422"/>
        <item m="1" x="505"/>
        <item m="1" x="241"/>
        <item x="84"/>
        <item m="1" x="195"/>
        <item m="1" x="233"/>
        <item x="85"/>
        <item m="1" x="286"/>
        <item m="1" x="250"/>
        <item x="86"/>
        <item m="1" x="189"/>
        <item m="1" x="470"/>
        <item x="87"/>
        <item x="88"/>
        <item x="89"/>
        <item m="1" x="465"/>
        <item x="90"/>
        <item x="91"/>
        <item m="1" x="489"/>
        <item m="1" x="268"/>
        <item m="1" x="300"/>
        <item m="1" x="360"/>
        <item x="92"/>
        <item m="1" x="315"/>
        <item m="1" x="263"/>
        <item m="1" x="278"/>
        <item m="1" x="199"/>
        <item m="1" x="486"/>
        <item m="1" x="454"/>
        <item m="1" x="211"/>
        <item m="1" x="317"/>
        <item x="93"/>
        <item m="1" x="298"/>
        <item m="1" x="288"/>
        <item x="94"/>
        <item m="1" x="448"/>
        <item x="95"/>
        <item m="1" x="307"/>
        <item m="1" x="294"/>
        <item m="1" x="450"/>
        <item m="1" x="190"/>
        <item m="1" x="512"/>
        <item x="96"/>
        <item x="97"/>
        <item x="98"/>
        <item m="1" x="516"/>
        <item m="1" x="365"/>
        <item m="1" x="242"/>
        <item m="1" x="377"/>
        <item m="1" x="491"/>
        <item x="99"/>
        <item m="1" x="472"/>
        <item x="100"/>
        <item m="1" x="384"/>
        <item x="101"/>
        <item x="102"/>
        <item m="1" x="309"/>
        <item m="1" x="311"/>
        <item x="103"/>
        <item x="104"/>
        <item m="1" x="291"/>
        <item m="1" x="338"/>
        <item m="1" x="285"/>
        <item m="1" x="306"/>
        <item x="105"/>
        <item m="1" x="386"/>
        <item m="1" x="197"/>
        <item m="1" x="528"/>
        <item m="1" x="223"/>
        <item m="1" x="275"/>
        <item m="1" x="194"/>
        <item x="106"/>
        <item m="1" x="403"/>
        <item m="1" x="525"/>
        <item m="1" x="324"/>
        <item m="1" x="201"/>
        <item m="1" x="243"/>
        <item x="107"/>
        <item m="1" x="434"/>
        <item m="1" x="362"/>
        <item x="108"/>
        <item m="1" x="363"/>
        <item m="1" x="437"/>
        <item m="1" x="339"/>
        <item m="1" x="329"/>
        <item m="1" x="284"/>
        <item m="1" x="441"/>
        <item x="109"/>
        <item m="1" x="244"/>
        <item x="110"/>
        <item m="1" x="225"/>
        <item m="1" x="442"/>
        <item m="1" x="402"/>
        <item m="1" x="333"/>
        <item m="1" x="224"/>
        <item x="111"/>
        <item m="1" x="217"/>
        <item m="1" x="188"/>
        <item x="112"/>
        <item m="1" x="383"/>
        <item x="113"/>
        <item m="1" x="212"/>
        <item m="1" x="313"/>
        <item x="114"/>
        <item m="1" x="507"/>
        <item x="115"/>
        <item x="116"/>
        <item m="1" x="493"/>
        <item x="117"/>
        <item m="1" x="330"/>
        <item m="1" x="389"/>
        <item m="1" x="234"/>
        <item m="1" x="408"/>
        <item x="118"/>
        <item x="119"/>
        <item m="1" x="220"/>
        <item m="1" x="506"/>
        <item m="1" x="391"/>
        <item x="120"/>
        <item m="1" x="266"/>
        <item m="1" x="509"/>
        <item m="1" x="374"/>
        <item x="121"/>
        <item m="1" x="359"/>
        <item m="1" x="305"/>
        <item m="1" x="282"/>
        <item x="122"/>
        <item m="1" x="280"/>
        <item x="123"/>
        <item x="124"/>
        <item m="1" x="356"/>
        <item m="1" x="327"/>
        <item m="1" x="398"/>
        <item m="1" x="246"/>
        <item m="1" x="498"/>
        <item x="125"/>
        <item x="126"/>
        <item m="1" x="451"/>
        <item x="127"/>
        <item m="1" x="530"/>
        <item m="1" x="388"/>
        <item x="128"/>
        <item m="1" x="206"/>
        <item m="1" x="191"/>
        <item m="1" x="322"/>
        <item x="129"/>
        <item m="1" x="417"/>
        <item m="1" x="308"/>
        <item m="1" x="534"/>
        <item m="1" x="440"/>
        <item m="1" x="254"/>
        <item x="130"/>
        <item m="1" x="455"/>
        <item m="1" x="523"/>
        <item x="131"/>
        <item m="1" x="296"/>
        <item x="132"/>
        <item x="133"/>
        <item m="1" x="474"/>
        <item m="1" x="334"/>
        <item m="1" x="531"/>
        <item m="1" x="229"/>
        <item x="134"/>
        <item x="135"/>
        <item m="1" x="535"/>
        <item m="1" x="476"/>
        <item x="136"/>
        <item x="137"/>
        <item m="1" x="239"/>
        <item m="1" x="478"/>
        <item x="138"/>
        <item x="139"/>
        <item x="140"/>
        <item m="1" x="423"/>
        <item m="1" x="401"/>
        <item m="1" x="193"/>
        <item x="141"/>
        <item m="1" x="397"/>
        <item m="1" x="526"/>
        <item x="142"/>
        <item m="1" x="271"/>
        <item x="143"/>
        <item m="1" x="428"/>
        <item x="144"/>
        <item x="145"/>
        <item x="146"/>
        <item x="147"/>
        <item x="148"/>
        <item m="1" x="247"/>
        <item x="149"/>
        <item m="1" x="502"/>
        <item m="1" x="207"/>
        <item m="1" x="222"/>
        <item m="1" x="462"/>
        <item m="1" x="520"/>
        <item m="1" x="410"/>
        <item m="1" x="336"/>
        <item m="1" x="511"/>
        <item m="1" x="328"/>
        <item m="1" x="424"/>
        <item m="1" x="421"/>
        <item m="1" x="499"/>
        <item m="1" x="515"/>
        <item m="1" x="527"/>
        <item m="1" x="379"/>
        <item x="150"/>
        <item m="1" x="369"/>
        <item x="151"/>
        <item m="1" x="237"/>
        <item m="1" x="323"/>
        <item x="152"/>
        <item x="153"/>
        <item x="154"/>
        <item m="1" x="348"/>
        <item m="1" x="236"/>
        <item x="155"/>
        <item x="156"/>
        <item m="1" x="483"/>
        <item m="1" x="420"/>
        <item m="1" x="503"/>
        <item m="1" x="332"/>
        <item m="1" x="204"/>
        <item m="1" x="460"/>
        <item x="157"/>
        <item x="158"/>
        <item m="1" x="326"/>
        <item m="1" x="513"/>
        <item x="159"/>
        <item m="1" x="351"/>
        <item m="1" x="216"/>
        <item m="1" x="262"/>
        <item m="1" x="320"/>
        <item m="1" x="453"/>
        <item m="1" x="272"/>
        <item m="1" x="500"/>
        <item x="160"/>
        <item m="1" x="484"/>
        <item m="1" x="231"/>
        <item m="1" x="399"/>
        <item x="161"/>
        <item m="1" x="304"/>
        <item m="1" x="382"/>
        <item m="1" x="318"/>
        <item m="1" x="319"/>
        <item m="1" x="429"/>
        <item m="1" x="378"/>
        <item m="1" x="269"/>
        <item m="1" x="496"/>
        <item m="1" x="281"/>
        <item m="1" x="495"/>
        <item m="1" x="301"/>
        <item x="162"/>
        <item x="163"/>
        <item m="1" x="353"/>
        <item m="1" x="210"/>
        <item m="1" x="343"/>
        <item m="1" x="312"/>
        <item m="1" x="497"/>
        <item m="1" x="185"/>
        <item m="1" x="350"/>
        <item m="1" x="249"/>
        <item m="1" x="368"/>
        <item m="1" x="438"/>
        <item m="1" x="264"/>
        <item m="1" x="342"/>
        <item m="1" x="198"/>
        <item m="1" x="240"/>
        <item m="1" x="467"/>
        <item x="164"/>
        <item m="1" x="337"/>
        <item m="1" x="524"/>
        <item m="1" x="299"/>
        <item x="165"/>
        <item m="1" x="459"/>
        <item m="1" x="218"/>
        <item m="1" x="466"/>
        <item m="1" x="492"/>
        <item x="166"/>
        <item m="1" x="477"/>
        <item m="1" x="449"/>
        <item m="1" x="409"/>
        <item m="1" x="480"/>
        <item x="167"/>
        <item m="1" x="522"/>
        <item x="168"/>
        <item m="1" x="261"/>
        <item m="1" x="245"/>
        <item m="1" x="412"/>
        <item m="1" x="432"/>
        <item x="169"/>
        <item m="1" x="444"/>
        <item m="1" x="370"/>
        <item x="170"/>
        <item x="171"/>
        <item x="172"/>
        <item m="1" x="287"/>
        <item m="1" x="273"/>
        <item x="173"/>
        <item m="1" x="487"/>
        <item x="174"/>
        <item m="1" x="463"/>
        <item x="175"/>
        <item m="1" x="335"/>
        <item x="176"/>
        <item m="1" x="380"/>
        <item m="1" x="364"/>
        <item x="177"/>
        <item x="178"/>
        <item x="179"/>
        <item x="180"/>
        <item m="1" x="181"/>
        <item t="default"/>
      </items>
    </pivotField>
    <pivotField axis="axisPage" multipleItemSelectionAllowed="1" showAll="0">
      <items count="41">
        <item h="1" x="2"/>
        <item h="1" x="7"/>
        <item h="1" x="3"/>
        <item h="1" m="1" x="35"/>
        <item x="20"/>
        <item h="1" m="1" x="32"/>
        <item h="1" x="5"/>
        <item h="1" x="6"/>
        <item h="1" x="11"/>
        <item h="1" x="15"/>
        <item h="1" m="1" x="30"/>
        <item h="1" x="1"/>
        <item h="1" x="16"/>
        <item h="1" x="21"/>
        <item h="1" x="19"/>
        <item h="1" x="8"/>
        <item h="1" x="0"/>
        <item h="1" x="9"/>
        <item h="1" x="13"/>
        <item h="1" x="4"/>
        <item h="1" x="10"/>
        <item h="1" m="1" x="38"/>
        <item h="1" m="1" x="33"/>
        <item h="1" m="1" x="26"/>
        <item h="1" x="12"/>
        <item h="1" m="1" x="28"/>
        <item h="1" m="1" x="36"/>
        <item h="1" m="1" x="37"/>
        <item h="1" m="1" x="29"/>
        <item h="1" m="1" x="39"/>
        <item h="1" m="1" x="23"/>
        <item h="1" m="1" x="31"/>
        <item h="1" m="1" x="25"/>
        <item h="1" x="17"/>
        <item h="1" m="1" x="34"/>
        <item h="1" x="14"/>
        <item h="1" m="1" x="24"/>
        <item h="1" m="1" x="27"/>
        <item h="1" x="18"/>
        <item h="1" x="22"/>
        <item t="default"/>
      </items>
    </pivotField>
    <pivotField showAll="0"/>
    <pivotField numFmtId="4" showAll="0"/>
    <pivotField numFmtId="4" showAll="0"/>
    <pivotField dataField="1" numFmtId="4" showAll="0"/>
    <pivotField numFmtId="4" showAll="0"/>
    <pivotField numFmtId="4" showAll="0"/>
    <pivotField numFmtId="166" showAll="0"/>
    <pivotField showAll="0"/>
    <pivotField showAll="0"/>
    <pivotField showAll="0"/>
    <pivotField showAll="0"/>
  </pivotFields>
  <rowFields count="1">
    <field x="2"/>
  </rowFields>
  <rowItems count="2">
    <i>
      <x v="522"/>
    </i>
    <i t="grand">
      <x/>
    </i>
  </rowItems>
  <colItems count="1">
    <i/>
  </colItems>
  <pageFields count="1">
    <pageField fld="3" hier="-1"/>
  </pageFields>
  <dataFields count="1">
    <dataField name="Total" fld="7" baseField="0" baseItem="0" numFmtId="44"/>
  </dataFields>
  <formats count="2">
    <format dxfId="206">
      <pivotArea field="2" type="button" dataOnly="0" labelOnly="1" outline="0" axis="axisRow" fieldPosition="0"/>
    </format>
    <format dxfId="205">
      <pivotArea dataOnly="0" labelOnly="1" outline="0" axis="axisValues" fieldPosition="0"/>
    </format>
  </formats>
  <pivotTableStyleInfo name="PivotStyleLight16" showRowHeaders="1" showColHeaders="1" showRowStripes="1" showColStripes="0" showLastColumn="1"/>
  <filters count="1">
    <filter fld="2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FCA6F-24E4-D64E-A5FE-D1E7AE08A566}" name="PivotTable6" cacheId="42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D4:E5" firstHeaderRow="1" firstDataRow="1" firstDataCol="1" rowPageCount="1" colPageCount="1"/>
  <pivotFields count="15">
    <pivotField showAll="0"/>
    <pivotField numFmtId="165" showAll="0"/>
    <pivotField axis="axisRow" showAll="0" measureFilter="1" sortType="ascending">
      <items count="537">
        <item m="1" x="433"/>
        <item x="0"/>
        <item x="1"/>
        <item x="2"/>
        <item m="1" x="209"/>
        <item x="3"/>
        <item m="1" x="352"/>
        <item m="1" x="358"/>
        <item m="1" x="215"/>
        <item m="1" x="182"/>
        <item m="1" x="297"/>
        <item m="1" x="373"/>
        <item m="1" x="192"/>
        <item m="1" x="381"/>
        <item m="1" x="202"/>
        <item m="1" x="303"/>
        <item x="4"/>
        <item x="5"/>
        <item x="6"/>
        <item m="1" x="533"/>
        <item m="1" x="295"/>
        <item m="1" x="184"/>
        <item m="1" x="488"/>
        <item x="7"/>
        <item m="1" x="510"/>
        <item x="8"/>
        <item x="9"/>
        <item x="10"/>
        <item m="1" x="426"/>
        <item x="11"/>
        <item x="12"/>
        <item x="13"/>
        <item x="14"/>
        <item m="1" x="413"/>
        <item m="1" x="518"/>
        <item m="1" x="385"/>
        <item m="1" x="392"/>
        <item x="15"/>
        <item x="16"/>
        <item m="1" x="504"/>
        <item x="17"/>
        <item m="1" x="447"/>
        <item m="1" x="481"/>
        <item x="18"/>
        <item x="19"/>
        <item m="1" x="347"/>
        <item m="1" x="354"/>
        <item m="1" x="411"/>
        <item m="1" x="418"/>
        <item m="1" x="186"/>
        <item x="20"/>
        <item m="1" x="277"/>
        <item m="1" x="214"/>
        <item x="21"/>
        <item m="1" x="479"/>
        <item m="1" x="436"/>
        <item x="22"/>
        <item m="1" x="367"/>
        <item m="1" x="267"/>
        <item x="23"/>
        <item m="1" x="219"/>
        <item x="24"/>
        <item m="1" x="265"/>
        <item m="1" x="357"/>
        <item x="25"/>
        <item x="26"/>
        <item x="27"/>
        <item m="1" x="228"/>
        <item m="1" x="485"/>
        <item x="28"/>
        <item m="1" x="469"/>
        <item m="1" x="394"/>
        <item x="29"/>
        <item m="1" x="435"/>
        <item x="30"/>
        <item m="1" x="248"/>
        <item x="31"/>
        <item x="32"/>
        <item x="33"/>
        <item x="34"/>
        <item x="35"/>
        <item m="1" x="482"/>
        <item x="36"/>
        <item m="1" x="226"/>
        <item m="1" x="235"/>
        <item x="37"/>
        <item m="1" x="283"/>
        <item x="38"/>
        <item m="1" x="213"/>
        <item m="1" x="274"/>
        <item m="1" x="425"/>
        <item m="1" x="205"/>
        <item m="1" x="345"/>
        <item m="1" x="532"/>
        <item m="1" x="346"/>
        <item m="1" x="443"/>
        <item m="1" x="331"/>
        <item m="1" x="396"/>
        <item m="1" x="253"/>
        <item x="39"/>
        <item m="1" x="501"/>
        <item m="1" x="387"/>
        <item x="40"/>
        <item m="1" x="355"/>
        <item x="41"/>
        <item x="42"/>
        <item x="43"/>
        <item x="44"/>
        <item x="45"/>
        <item m="1" x="289"/>
        <item m="1" x="475"/>
        <item m="1" x="521"/>
        <item m="1" x="200"/>
        <item m="1" x="376"/>
        <item m="1" x="221"/>
        <item m="1" x="270"/>
        <item x="46"/>
        <item m="1" x="431"/>
        <item m="1" x="292"/>
        <item m="1" x="414"/>
        <item m="1" x="375"/>
        <item m="1" x="471"/>
        <item x="47"/>
        <item m="1" x="393"/>
        <item x="48"/>
        <item m="1" x="494"/>
        <item x="49"/>
        <item x="50"/>
        <item m="1" x="183"/>
        <item x="51"/>
        <item m="1" x="416"/>
        <item x="52"/>
        <item m="1" x="290"/>
        <item m="1" x="341"/>
        <item m="1" x="439"/>
        <item m="1" x="257"/>
        <item m="1" x="340"/>
        <item m="1" x="256"/>
        <item x="53"/>
        <item m="1" x="203"/>
        <item x="54"/>
        <item x="55"/>
        <item x="56"/>
        <item m="1" x="529"/>
        <item x="57"/>
        <item m="1" x="461"/>
        <item m="1" x="415"/>
        <item x="58"/>
        <item m="1" x="238"/>
        <item x="59"/>
        <item x="60"/>
        <item m="1" x="452"/>
        <item m="1" x="457"/>
        <item x="61"/>
        <item m="1" x="508"/>
        <item m="1" x="208"/>
        <item m="1" x="321"/>
        <item m="1" x="390"/>
        <item x="62"/>
        <item m="1" x="293"/>
        <item m="1" x="232"/>
        <item m="1" x="366"/>
        <item m="1" x="310"/>
        <item x="63"/>
        <item m="1" x="400"/>
        <item m="1" x="446"/>
        <item m="1" x="251"/>
        <item x="64"/>
        <item x="65"/>
        <item m="1" x="349"/>
        <item x="66"/>
        <item x="67"/>
        <item m="1" x="259"/>
        <item m="1" x="519"/>
        <item x="68"/>
        <item m="1" x="490"/>
        <item x="69"/>
        <item m="1" x="344"/>
        <item m="1" x="255"/>
        <item x="70"/>
        <item x="71"/>
        <item m="1" x="406"/>
        <item x="72"/>
        <item m="1" x="458"/>
        <item x="73"/>
        <item m="1" x="196"/>
        <item m="1" x="314"/>
        <item m="1" x="419"/>
        <item x="74"/>
        <item x="75"/>
        <item x="76"/>
        <item m="1" x="404"/>
        <item m="1" x="302"/>
        <item m="1" x="372"/>
        <item m="1" x="316"/>
        <item x="77"/>
        <item m="1" x="279"/>
        <item m="1" x="276"/>
        <item m="1" x="361"/>
        <item m="1" x="468"/>
        <item m="1" x="371"/>
        <item m="1" x="258"/>
        <item m="1" x="260"/>
        <item m="1" x="430"/>
        <item m="1" x="187"/>
        <item x="78"/>
        <item x="79"/>
        <item x="80"/>
        <item m="1" x="227"/>
        <item m="1" x="427"/>
        <item x="81"/>
        <item m="1" x="395"/>
        <item m="1" x="407"/>
        <item m="1" x="473"/>
        <item m="1" x="445"/>
        <item m="1" x="405"/>
        <item m="1" x="252"/>
        <item m="1" x="464"/>
        <item x="82"/>
        <item m="1" x="230"/>
        <item x="83"/>
        <item m="1" x="514"/>
        <item m="1" x="456"/>
        <item m="1" x="517"/>
        <item m="1" x="325"/>
        <item m="1" x="422"/>
        <item m="1" x="505"/>
        <item m="1" x="241"/>
        <item x="84"/>
        <item m="1" x="195"/>
        <item m="1" x="233"/>
        <item x="85"/>
        <item m="1" x="286"/>
        <item m="1" x="250"/>
        <item x="86"/>
        <item m="1" x="189"/>
        <item m="1" x="470"/>
        <item x="87"/>
        <item x="88"/>
        <item x="89"/>
        <item m="1" x="465"/>
        <item x="90"/>
        <item x="91"/>
        <item m="1" x="489"/>
        <item m="1" x="268"/>
        <item m="1" x="300"/>
        <item m="1" x="360"/>
        <item x="92"/>
        <item m="1" x="315"/>
        <item m="1" x="263"/>
        <item m="1" x="278"/>
        <item m="1" x="199"/>
        <item m="1" x="486"/>
        <item m="1" x="454"/>
        <item m="1" x="211"/>
        <item m="1" x="317"/>
        <item x="93"/>
        <item m="1" x="298"/>
        <item m="1" x="288"/>
        <item x="94"/>
        <item m="1" x="448"/>
        <item x="95"/>
        <item m="1" x="307"/>
        <item m="1" x="294"/>
        <item m="1" x="450"/>
        <item m="1" x="190"/>
        <item m="1" x="512"/>
        <item x="96"/>
        <item x="97"/>
        <item x="98"/>
        <item m="1" x="516"/>
        <item m="1" x="365"/>
        <item m="1" x="242"/>
        <item m="1" x="377"/>
        <item m="1" x="491"/>
        <item x="99"/>
        <item m="1" x="472"/>
        <item x="100"/>
        <item m="1" x="384"/>
        <item x="101"/>
        <item x="102"/>
        <item m="1" x="309"/>
        <item m="1" x="311"/>
        <item x="103"/>
        <item x="104"/>
        <item m="1" x="291"/>
        <item m="1" x="338"/>
        <item m="1" x="285"/>
        <item m="1" x="306"/>
        <item x="105"/>
        <item m="1" x="386"/>
        <item m="1" x="197"/>
        <item m="1" x="528"/>
        <item m="1" x="223"/>
        <item m="1" x="275"/>
        <item m="1" x="194"/>
        <item x="106"/>
        <item m="1" x="403"/>
        <item m="1" x="525"/>
        <item m="1" x="324"/>
        <item m="1" x="201"/>
        <item m="1" x="243"/>
        <item x="107"/>
        <item m="1" x="434"/>
        <item m="1" x="362"/>
        <item x="108"/>
        <item m="1" x="363"/>
        <item m="1" x="437"/>
        <item m="1" x="339"/>
        <item m="1" x="329"/>
        <item m="1" x="284"/>
        <item m="1" x="441"/>
        <item x="109"/>
        <item m="1" x="244"/>
        <item x="110"/>
        <item m="1" x="225"/>
        <item m="1" x="442"/>
        <item m="1" x="402"/>
        <item m="1" x="333"/>
        <item m="1" x="224"/>
        <item x="111"/>
        <item m="1" x="217"/>
        <item m="1" x="188"/>
        <item x="112"/>
        <item m="1" x="383"/>
        <item x="113"/>
        <item m="1" x="212"/>
        <item m="1" x="313"/>
        <item x="114"/>
        <item m="1" x="507"/>
        <item x="115"/>
        <item x="116"/>
        <item m="1" x="493"/>
        <item x="117"/>
        <item m="1" x="330"/>
        <item m="1" x="389"/>
        <item m="1" x="234"/>
        <item m="1" x="408"/>
        <item x="118"/>
        <item x="119"/>
        <item m="1" x="220"/>
        <item m="1" x="506"/>
        <item m="1" x="391"/>
        <item x="120"/>
        <item m="1" x="266"/>
        <item m="1" x="509"/>
        <item m="1" x="374"/>
        <item x="121"/>
        <item m="1" x="359"/>
        <item m="1" x="305"/>
        <item m="1" x="282"/>
        <item x="122"/>
        <item m="1" x="280"/>
        <item x="123"/>
        <item x="124"/>
        <item m="1" x="356"/>
        <item m="1" x="327"/>
        <item m="1" x="398"/>
        <item m="1" x="246"/>
        <item m="1" x="498"/>
        <item x="125"/>
        <item x="126"/>
        <item m="1" x="451"/>
        <item x="127"/>
        <item m="1" x="530"/>
        <item m="1" x="388"/>
        <item x="128"/>
        <item m="1" x="206"/>
        <item m="1" x="191"/>
        <item m="1" x="322"/>
        <item x="129"/>
        <item m="1" x="417"/>
        <item m="1" x="308"/>
        <item m="1" x="534"/>
        <item m="1" x="440"/>
        <item m="1" x="254"/>
        <item x="130"/>
        <item m="1" x="455"/>
        <item m="1" x="523"/>
        <item x="131"/>
        <item m="1" x="296"/>
        <item x="132"/>
        <item x="133"/>
        <item m="1" x="474"/>
        <item m="1" x="334"/>
        <item m="1" x="531"/>
        <item m="1" x="229"/>
        <item x="134"/>
        <item x="135"/>
        <item m="1" x="535"/>
        <item m="1" x="476"/>
        <item x="136"/>
        <item x="137"/>
        <item m="1" x="239"/>
        <item m="1" x="478"/>
        <item x="138"/>
        <item x="139"/>
        <item x="140"/>
        <item m="1" x="423"/>
        <item m="1" x="401"/>
        <item m="1" x="193"/>
        <item x="141"/>
        <item m="1" x="397"/>
        <item m="1" x="526"/>
        <item x="142"/>
        <item m="1" x="271"/>
        <item x="143"/>
        <item m="1" x="428"/>
        <item x="144"/>
        <item x="145"/>
        <item x="146"/>
        <item x="147"/>
        <item x="148"/>
        <item m="1" x="247"/>
        <item x="149"/>
        <item m="1" x="502"/>
        <item m="1" x="207"/>
        <item m="1" x="222"/>
        <item m="1" x="462"/>
        <item m="1" x="520"/>
        <item m="1" x="410"/>
        <item m="1" x="336"/>
        <item m="1" x="511"/>
        <item m="1" x="328"/>
        <item m="1" x="424"/>
        <item m="1" x="421"/>
        <item m="1" x="499"/>
        <item m="1" x="515"/>
        <item m="1" x="527"/>
        <item m="1" x="379"/>
        <item x="150"/>
        <item m="1" x="369"/>
        <item x="151"/>
        <item m="1" x="237"/>
        <item m="1" x="323"/>
        <item x="152"/>
        <item x="153"/>
        <item x="154"/>
        <item m="1" x="348"/>
        <item m="1" x="236"/>
        <item x="155"/>
        <item x="156"/>
        <item m="1" x="483"/>
        <item m="1" x="420"/>
        <item m="1" x="503"/>
        <item m="1" x="332"/>
        <item m="1" x="204"/>
        <item m="1" x="460"/>
        <item x="157"/>
        <item x="158"/>
        <item m="1" x="326"/>
        <item m="1" x="513"/>
        <item x="159"/>
        <item m="1" x="351"/>
        <item m="1" x="216"/>
        <item m="1" x="262"/>
        <item m="1" x="320"/>
        <item m="1" x="453"/>
        <item m="1" x="272"/>
        <item m="1" x="500"/>
        <item x="160"/>
        <item m="1" x="484"/>
        <item m="1" x="231"/>
        <item m="1" x="399"/>
        <item x="161"/>
        <item m="1" x="304"/>
        <item m="1" x="382"/>
        <item m="1" x="318"/>
        <item m="1" x="319"/>
        <item m="1" x="429"/>
        <item m="1" x="378"/>
        <item m="1" x="269"/>
        <item m="1" x="496"/>
        <item m="1" x="281"/>
        <item m="1" x="495"/>
        <item m="1" x="301"/>
        <item x="162"/>
        <item x="163"/>
        <item m="1" x="353"/>
        <item m="1" x="210"/>
        <item m="1" x="343"/>
        <item m="1" x="312"/>
        <item m="1" x="497"/>
        <item m="1" x="185"/>
        <item m="1" x="350"/>
        <item m="1" x="249"/>
        <item m="1" x="368"/>
        <item m="1" x="438"/>
        <item m="1" x="264"/>
        <item m="1" x="342"/>
        <item m="1" x="198"/>
        <item m="1" x="240"/>
        <item m="1" x="467"/>
        <item x="164"/>
        <item m="1" x="337"/>
        <item m="1" x="524"/>
        <item m="1" x="299"/>
        <item x="165"/>
        <item m="1" x="459"/>
        <item m="1" x="218"/>
        <item m="1" x="466"/>
        <item m="1" x="492"/>
        <item x="166"/>
        <item m="1" x="477"/>
        <item m="1" x="449"/>
        <item m="1" x="409"/>
        <item m="1" x="480"/>
        <item x="167"/>
        <item m="1" x="522"/>
        <item x="168"/>
        <item m="1" x="261"/>
        <item m="1" x="245"/>
        <item m="1" x="412"/>
        <item m="1" x="432"/>
        <item x="169"/>
        <item m="1" x="444"/>
        <item m="1" x="370"/>
        <item x="170"/>
        <item x="171"/>
        <item x="172"/>
        <item m="1" x="287"/>
        <item m="1" x="273"/>
        <item x="173"/>
        <item m="1" x="487"/>
        <item x="174"/>
        <item m="1" x="463"/>
        <item x="175"/>
        <item m="1" x="335"/>
        <item x="176"/>
        <item m="1" x="380"/>
        <item m="1" x="364"/>
        <item x="177"/>
        <item x="178"/>
        <item x="179"/>
        <item x="180"/>
        <item m="1" x="181"/>
        <item t="default"/>
      </items>
    </pivotField>
    <pivotField axis="axisPage" multipleItemSelectionAllowed="1" showAll="0">
      <items count="41">
        <item h="1" x="2"/>
        <item h="1" x="7"/>
        <item h="1" x="3"/>
        <item h="1" m="1" x="35"/>
        <item h="1" x="20"/>
        <item m="1" x="32"/>
        <item h="1" x="5"/>
        <item h="1" x="6"/>
        <item h="1" x="11"/>
        <item h="1" x="15"/>
        <item h="1" m="1" x="30"/>
        <item h="1" x="1"/>
        <item h="1" x="16"/>
        <item h="1" x="21"/>
        <item h="1" x="19"/>
        <item h="1" x="8"/>
        <item h="1" x="0"/>
        <item h="1" x="9"/>
        <item h="1" x="13"/>
        <item h="1" x="4"/>
        <item h="1" x="10"/>
        <item h="1" m="1" x="38"/>
        <item h="1" m="1" x="33"/>
        <item h="1" m="1" x="26"/>
        <item h="1" x="12"/>
        <item h="1" m="1" x="28"/>
        <item h="1" m="1" x="36"/>
        <item h="1" m="1" x="37"/>
        <item h="1" m="1" x="29"/>
        <item h="1" m="1" x="39"/>
        <item h="1" m="1" x="23"/>
        <item h="1" m="1" x="31"/>
        <item h="1" m="1" x="25"/>
        <item h="1" x="17"/>
        <item h="1" m="1" x="34"/>
        <item h="1" x="14"/>
        <item h="1" m="1" x="24"/>
        <item h="1" m="1" x="27"/>
        <item h="1" x="18"/>
        <item h="1" x="22"/>
        <item t="default"/>
      </items>
    </pivotField>
    <pivotField showAll="0"/>
    <pivotField numFmtId="4" showAll="0"/>
    <pivotField numFmtId="4" showAll="0"/>
    <pivotField dataField="1" numFmtId="4" showAll="0"/>
    <pivotField numFmtId="4" showAll="0"/>
    <pivotField numFmtId="4" showAll="0"/>
    <pivotField numFmtId="166" showAll="0"/>
    <pivotField showAll="0"/>
    <pivotField showAll="0"/>
    <pivotField showAll="0"/>
    <pivotField showAll="0"/>
  </pivotFields>
  <rowFields count="1">
    <field x="2"/>
  </rowFields>
  <rowItems count="1">
    <i t="grand">
      <x/>
    </i>
  </rowItems>
  <colItems count="1">
    <i/>
  </colItems>
  <pageFields count="1">
    <pageField fld="3" hier="-1"/>
  </pageFields>
  <dataFields count="1">
    <dataField name="Total" fld="7" baseField="0" baseItem="0" numFmtId="44"/>
  </dataFields>
  <formats count="2">
    <format dxfId="186">
      <pivotArea field="2" type="button" dataOnly="0" labelOnly="1" outline="0" axis="axisRow" fieldPosition="0"/>
    </format>
    <format dxfId="185">
      <pivotArea dataOnly="0" labelOnly="1" outline="0" axis="axisValues" fieldPosition="0"/>
    </format>
  </formats>
  <pivotTableStyleInfo name="PivotStyleLight16" showRowHeaders="1" showColHeaders="1" showRowStripes="1" showColStripes="0" showLastColumn="1"/>
  <filters count="1">
    <filter fld="2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E5F596-01D7-9245-89B6-5766B8F5E5BE}" name="PivotTable5" cacheId="4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A4:B12" firstHeaderRow="1" firstDataRow="1" firstDataCol="1" rowPageCount="1" colPageCount="1"/>
  <pivotFields count="15">
    <pivotField axis="axisRow" showAll="0">
      <items count="71">
        <item x="56"/>
        <item x="64"/>
        <item x="57"/>
        <item x="65"/>
        <item x="25"/>
        <item x="34"/>
        <item x="36"/>
        <item x="30"/>
        <item x="21"/>
        <item x="52"/>
        <item x="13"/>
        <item x="44"/>
        <item x="14"/>
        <item x="22"/>
        <item x="16"/>
        <item x="29"/>
        <item x="2"/>
        <item x="8"/>
        <item x="51"/>
        <item x="20"/>
        <item x="26"/>
        <item x="35"/>
        <item x="19"/>
        <item x="6"/>
        <item x="61"/>
        <item x="4"/>
        <item x="43"/>
        <item x="11"/>
        <item x="54"/>
        <item x="33"/>
        <item x="38"/>
        <item x="39"/>
        <item x="63"/>
        <item x="17"/>
        <item x="55"/>
        <item x="0"/>
        <item x="1"/>
        <item m="1" x="67"/>
        <item x="46"/>
        <item x="45"/>
        <item x="24"/>
        <item x="18"/>
        <item x="50"/>
        <item x="58"/>
        <item x="59"/>
        <item x="7"/>
        <item x="47"/>
        <item x="31"/>
        <item x="53"/>
        <item x="48"/>
        <item x="23"/>
        <item x="27"/>
        <item x="32"/>
        <item x="37"/>
        <item x="49"/>
        <item m="1" x="68"/>
        <item m="1" x="69"/>
        <item x="3"/>
        <item x="9"/>
        <item x="60"/>
        <item x="28"/>
        <item x="10"/>
        <item x="66"/>
        <item x="62"/>
        <item x="40"/>
        <item x="41"/>
        <item x="42"/>
        <item x="12"/>
        <item x="15"/>
        <item x="5"/>
        <item t="default"/>
      </items>
    </pivotField>
    <pivotField showAll="0"/>
    <pivotField showAll="0"/>
    <pivotField axis="axisPage" multipleItemSelectionAllowed="1" showAll="0">
      <items count="49">
        <item x="10"/>
        <item h="1" x="15"/>
        <item h="1" x="17"/>
        <item h="1" x="5"/>
        <item h="1" x="7"/>
        <item h="1" m="1" x="18"/>
        <item h="1" x="6"/>
        <item h="1" x="12"/>
        <item h="1" x="14"/>
        <item h="1" m="1" x="36"/>
        <item h="1" x="3"/>
        <item h="1" x="8"/>
        <item h="1" x="9"/>
        <item h="1" m="1" x="41"/>
        <item h="1" m="1" x="42"/>
        <item h="1" x="13"/>
        <item h="1" x="0"/>
        <item h="1" m="1" x="23"/>
        <item h="1" m="1" x="45"/>
        <item h="1" m="1" x="47"/>
        <item h="1" x="1"/>
        <item h="1" m="1" x="39"/>
        <item h="1" x="4"/>
        <item h="1" m="1" x="44"/>
        <item h="1" m="1" x="46"/>
        <item h="1" x="2"/>
        <item h="1" m="1" x="40"/>
        <item h="1" x="11"/>
        <item h="1" m="1" x="34"/>
        <item h="1" m="1" x="21"/>
        <item h="1" m="1" x="31"/>
        <item h="1" m="1" x="33"/>
        <item h="1" m="1" x="22"/>
        <item h="1" m="1" x="20"/>
        <item h="1" m="1" x="26"/>
        <item h="1" m="1" x="27"/>
        <item h="1" m="1" x="19"/>
        <item h="1" x="16"/>
        <item h="1" m="1" x="43"/>
        <item h="1" m="1" x="24"/>
        <item h="1" m="1" x="25"/>
        <item h="1" m="1" x="28"/>
        <item h="1" m="1" x="29"/>
        <item h="1" m="1" x="30"/>
        <item h="1" m="1" x="32"/>
        <item h="1" m="1" x="35"/>
        <item h="1" m="1" x="37"/>
        <item h="1" m="1" x="38"/>
        <item t="default"/>
      </items>
    </pivotField>
    <pivotField axis="axisRow" showAll="0" sortType="ascending">
      <items count="2742">
        <item m="1" x="956"/>
        <item m="1" x="1464"/>
        <item m="1" x="2141"/>
        <item m="1" x="272"/>
        <item m="1" x="870"/>
        <item m="1" x="575"/>
        <item m="1" x="2057"/>
        <item m="1" x="1442"/>
        <item m="1" x="361"/>
        <item m="1" x="118"/>
        <item m="1" x="1346"/>
        <item m="1" x="725"/>
        <item m="1" x="1254"/>
        <item m="1" x="282"/>
        <item m="1" x="2036"/>
        <item m="1" x="2157"/>
        <item m="1" x="1796"/>
        <item m="1" x="951"/>
        <item m="1" x="1887"/>
        <item m="1" x="1870"/>
        <item m="1" x="2717"/>
        <item x="5"/>
        <item m="1" x="491"/>
        <item m="1" x="1549"/>
        <item m="1" x="1484"/>
        <item m="1" x="727"/>
        <item m="1" x="1288"/>
        <item m="1" x="1739"/>
        <item m="1" x="804"/>
        <item m="1" x="451"/>
        <item m="1" x="1888"/>
        <item x="12"/>
        <item m="1" x="2159"/>
        <item m="1" x="1623"/>
        <item m="1" x="2037"/>
        <item m="1" x="78"/>
        <item m="1" x="2611"/>
        <item m="1" x="1378"/>
        <item m="1" x="1556"/>
        <item m="1" x="959"/>
        <item m="1" x="177"/>
        <item m="1" x="2038"/>
        <item m="1" x="1737"/>
        <item m="1" x="2160"/>
        <item m="1" x="2161"/>
        <item m="1" x="357"/>
        <item m="1" x="1142"/>
        <item m="1" x="1003"/>
        <item m="1" x="2688"/>
        <item m="1" x="2162"/>
        <item m="1" x="1096"/>
        <item m="1" x="1016"/>
        <item m="1" x="2039"/>
        <item m="1" x="88"/>
        <item m="1" x="1738"/>
        <item m="1" x="2163"/>
        <item m="1" x="1459"/>
        <item m="1" x="2164"/>
        <item m="1" x="2153"/>
        <item m="1" x="89"/>
        <item m="1" x="2165"/>
        <item m="1" x="730"/>
        <item m="1" x="1630"/>
        <item m="1" x="1005"/>
        <item m="1" x="2166"/>
        <item m="1" x="1348"/>
        <item m="1" x="1006"/>
        <item m="1" x="731"/>
        <item m="1" x="1651"/>
        <item m="1" x="2167"/>
        <item m="1" x="1008"/>
        <item m="1" x="2168"/>
        <item m="1" x="1367"/>
        <item m="1" x="2146"/>
        <item m="1" x="90"/>
        <item m="1" x="2169"/>
        <item m="1" x="266"/>
        <item m="1" x="922"/>
        <item m="1" x="442"/>
        <item m="1" x="364"/>
        <item m="1" x="732"/>
        <item m="1" x="1555"/>
        <item m="1" x="2170"/>
        <item m="1" x="418"/>
        <item m="1" x="887"/>
        <item m="1" x="265"/>
        <item m="1" x="292"/>
        <item m="1" x="2171"/>
        <item m="1" x="68"/>
        <item m="1" x="521"/>
        <item m="1" x="616"/>
        <item m="1" x="2484"/>
        <item m="1" x="617"/>
        <item m="1" x="284"/>
        <item m="1" x="2172"/>
        <item m="1" x="2659"/>
        <item m="1" x="1617"/>
        <item m="1" x="1363"/>
        <item m="1" x="2173"/>
        <item m="1" x="232"/>
        <item m="1" x="2174"/>
        <item m="1" x="2175"/>
        <item m="1" x="2176"/>
        <item m="1" x="2040"/>
        <item m="1" x="562"/>
        <item m="1" x="1476"/>
        <item m="1" x="242"/>
        <item m="1" x="181"/>
        <item m="1" x="1465"/>
        <item m="1" x="2678"/>
        <item m="1" x="1482"/>
        <item m="1" x="815"/>
        <item m="1" x="1128"/>
        <item m="1" x="2489"/>
        <item m="1" x="2177"/>
        <item m="1" x="2385"/>
        <item m="1" x="1129"/>
        <item m="1" x="2178"/>
        <item m="1" x="2181"/>
        <item m="1" x="1012"/>
        <item m="1" x="890"/>
        <item m="1" x="2182"/>
        <item m="1" x="1874"/>
        <item m="1" x="2183"/>
        <item m="1" x="1727"/>
        <item m="1" x="2184"/>
        <item m="1" x="1408"/>
        <item m="1" x="238"/>
        <item m="1" x="2185"/>
        <item m="1" x="93"/>
        <item m="1" x="1041"/>
        <item m="1" x="734"/>
        <item m="1" x="1042"/>
        <item m="1" x="1309"/>
        <item m="1" x="1399"/>
        <item m="1" x="1547"/>
        <item m="1" x="2186"/>
        <item m="1" x="344"/>
        <item m="1" x="94"/>
        <item m="1" x="2187"/>
        <item m="1" x="2188"/>
        <item m="1" x="983"/>
        <item m="1" x="2041"/>
        <item m="1" x="547"/>
        <item m="1" x="1359"/>
        <item m="1" x="1303"/>
        <item m="1" x="1552"/>
        <item m="1" x="981"/>
        <item m="1" x="54"/>
        <item m="1" x="255"/>
        <item m="1" x="497"/>
        <item m="1" x="2190"/>
        <item m="1" x="2191"/>
        <item m="1" x="2192"/>
        <item m="1" x="2650"/>
        <item m="1" x="621"/>
        <item m="1" x="1045"/>
        <item m="1" x="880"/>
        <item m="1" x="1046"/>
        <item m="1" x="274"/>
        <item m="1" x="1047"/>
        <item m="1" x="2193"/>
        <item m="1" x="1049"/>
        <item m="1" x="1050"/>
        <item m="1" x="1962"/>
        <item m="1" x="735"/>
        <item m="1" x="2194"/>
        <item m="1" x="2083"/>
        <item m="1" x="2682"/>
        <item m="1" x="287"/>
        <item m="1" x="432"/>
        <item m="1" x="472"/>
        <item m="1" x="1868"/>
        <item m="1" x="419"/>
        <item m="1" x="2389"/>
        <item m="1" x="1052"/>
        <item m="1" x="1053"/>
        <item m="1" x="2618"/>
        <item m="1" x="2637"/>
        <item m="1" x="2641"/>
        <item m="1" x="366"/>
        <item m="1" x="296"/>
        <item m="1" x="1218"/>
        <item m="1" x="1151"/>
        <item m="1" x="620"/>
        <item m="1" x="1344"/>
        <item m="1" x="1203"/>
        <item m="1" x="2195"/>
        <item m="1" x="736"/>
        <item m="1" x="538"/>
        <item m="1" x="2196"/>
        <item m="1" x="1200"/>
        <item m="1" x="1873"/>
        <item m="1" x="1744"/>
        <item m="1" x="2197"/>
        <item m="1" x="1505"/>
        <item m="1" x="622"/>
        <item m="1" x="2261"/>
        <item m="1" x="2000"/>
        <item m="1" x="374"/>
        <item m="1" x="1741"/>
        <item m="1" x="1948"/>
        <item m="1" x="1056"/>
        <item m="1" x="304"/>
        <item m="1" x="498"/>
        <item m="1" x="737"/>
        <item m="1" x="2042"/>
        <item m="1" x="2198"/>
        <item m="1" x="1643"/>
        <item m="1" x="1475"/>
        <item m="1" x="738"/>
        <item m="1" x="1058"/>
        <item m="1" x="1863"/>
        <item m="1" x="2635"/>
        <item m="1" x="97"/>
        <item m="1" x="739"/>
        <item m="1" x="516"/>
        <item m="1" x="807"/>
        <item m="1" x="2651"/>
        <item m="1" x="2115"/>
        <item m="1" x="625"/>
        <item m="1" x="1978"/>
        <item m="1" x="2043"/>
        <item m="1" x="895"/>
        <item m="1" x="626"/>
        <item m="1" x="1063"/>
        <item m="1" x="1253"/>
        <item m="1" x="1393"/>
        <item m="1" x="1020"/>
        <item m="1" x="492"/>
        <item m="1" x="1804"/>
        <item m="1" x="2085"/>
        <item m="1" x="1900"/>
        <item m="1" x="1886"/>
        <item m="1" x="573"/>
        <item m="1" x="2638"/>
        <item m="1" x="628"/>
        <item m="1" x="2508"/>
        <item m="1" x="464"/>
        <item m="1" x="1224"/>
        <item m="1" x="2002"/>
        <item m="1" x="1500"/>
        <item m="1" x="2199"/>
        <item m="1" x="448"/>
        <item m="1" x="412"/>
        <item m="1" x="98"/>
        <item m="1" x="1575"/>
        <item m="1" x="2601"/>
        <item m="1" x="1508"/>
        <item m="1" x="741"/>
        <item m="1" x="2200"/>
        <item m="1" x="175"/>
        <item m="1" x="1349"/>
        <item m="1" x="1622"/>
        <item m="1" x="2080"/>
        <item m="1" x="806"/>
        <item m="1" x="1981"/>
        <item m="1" x="594"/>
        <item m="1" x="2201"/>
        <item m="1" x="1947"/>
        <item m="1" x="1069"/>
        <item sd="0" m="1" x="47"/>
        <item m="1" x="1382"/>
        <item m="1" x="1701"/>
        <item m="1" x="2681"/>
        <item m="1" x="1355"/>
        <item m="1" x="2202"/>
        <item m="1" x="1364"/>
        <item m="1" x="743"/>
        <item m="1" x="1072"/>
        <item m="1" x="1327"/>
        <item m="1" x="1240"/>
        <item m="1" x="250"/>
        <item m="1" x="2704"/>
        <item sd="0" m="1" x="301"/>
        <item sd="0" m="1" x="2726"/>
        <item m="1" x="2572"/>
        <item m="1" x="744"/>
        <item m="1" x="2018"/>
        <item m="1" x="1073"/>
        <item m="1" x="745"/>
        <item m="1" x="746"/>
        <item m="1" x="2204"/>
        <item m="1" x="1137"/>
        <item m="1" x="2205"/>
        <item m="1" x="529"/>
        <item m="1" x="577"/>
        <item m="1" x="215"/>
        <item m="1" x="499"/>
        <item m="1" x="1418"/>
        <item m="1" x="1940"/>
        <item m="1" x="474"/>
        <item m="1" x="986"/>
        <item m="1" x="72"/>
        <item m="1" x="1388"/>
        <item m="1" x="2206"/>
        <item m="1" x="99"/>
        <item m="1" x="1330"/>
        <item m="1" x="1237"/>
        <item m="1" x="1282"/>
        <item m="1" x="1294"/>
        <item m="1" x="2207"/>
        <item m="1" x="2208"/>
        <item m="1" x="811"/>
        <item m="1" x="747"/>
        <item m="1" x="1310"/>
        <item m="1" x="2081"/>
        <item m="1" x="1771"/>
        <item m="1" x="449"/>
        <item m="1" x="1341"/>
        <item m="1" x="1878"/>
        <item m="1" x="159"/>
        <item m="1" x="576"/>
        <item m="1" x="551"/>
        <item m="1" x="2209"/>
        <item m="1" x="2003"/>
        <item m="1" x="1078"/>
        <item m="1" x="2210"/>
        <item m="1" x="1453"/>
        <item m="1" x="1935"/>
        <item m="1" x="251"/>
        <item m="1" x="1574"/>
        <item m="1" x="1306"/>
        <item m="1" x="1905"/>
        <item m="1" x="1652"/>
        <item m="1" x="313"/>
        <item sd="0" m="1" x="631"/>
        <item m="1" x="1079"/>
        <item m="1" x="526"/>
        <item m="1" x="1757"/>
        <item m="1" x="2211"/>
        <item m="1" x="1037"/>
        <item m="1" x="561"/>
        <item m="1" x="926"/>
        <item m="1" x="2577"/>
        <item m="1" x="2212"/>
        <item m="1" x="1360"/>
        <item m="1" x="2086"/>
        <item m="1" x="1377"/>
        <item m="1" x="2213"/>
        <item m="1" x="100"/>
        <item m="1" x="476"/>
        <item m="1" x="1336"/>
        <item m="1" x="1907"/>
        <item m="1" x="1956"/>
        <item m="1" x="1909"/>
        <item m="1" x="452"/>
        <item m="1" x="109"/>
        <item m="1" x="399"/>
        <item m="1" x="1083"/>
        <item m="1" x="2214"/>
        <item m="1" x="1085"/>
        <item m="1" x="748"/>
        <item m="1" x="2215"/>
        <item m="1" x="2589"/>
        <item m="1" x="1087"/>
        <item m="1" x="254"/>
        <item m="1" x="2563"/>
        <item m="1" x="749"/>
        <item m="1" x="1088"/>
        <item m="1" x="2581"/>
        <item m="1" x="81"/>
        <item m="1" x="1095"/>
        <item m="1" x="158"/>
        <item m="1" x="950"/>
        <item m="1" x="979"/>
        <item m="1" x="1098"/>
        <item sd="0" m="1" x="2571"/>
        <item m="1" x="1084"/>
        <item x="38"/>
        <item m="1" x="2630"/>
        <item m="1" x="103"/>
        <item m="1" x="2716"/>
        <item m="1" x="633"/>
        <item m="1" x="1438"/>
        <item m="1" x="1147"/>
        <item m="1" x="1520"/>
        <item m="1" x="1149"/>
        <item m="1" x="102"/>
        <item m="1" x="1091"/>
        <item m="1" x="115"/>
        <item sd="0" m="1" x="116"/>
        <item m="1" x="1152"/>
        <item m="1" x="618"/>
        <item m="1" x="1380"/>
        <item m="1" x="117"/>
        <item m="1" x="649"/>
        <item m="1" x="648"/>
        <item m="1" x="1089"/>
        <item m="1" x="2670"/>
        <item m="1" x="2216"/>
        <item m="1" x="1090"/>
        <item m="1" x="2004"/>
        <item m="1" x="1021"/>
        <item m="1" x="523"/>
        <item m="1" x="578"/>
        <item m="1" x="1764"/>
        <item m="1" x="908"/>
        <item m="1" x="2560"/>
        <item m="1" x="1803"/>
        <item m="1" x="2242"/>
        <item m="1" x="49"/>
        <item m="1" x="2044"/>
        <item m="1" x="1397"/>
        <item m="1" x="2649"/>
        <item m="1" x="2217"/>
        <item m="1" x="1163"/>
        <item m="1" x="148"/>
        <item m="1" x="2596"/>
        <item m="1" x="167"/>
        <item m="1" x="970"/>
        <item m="1" x="1094"/>
        <item m="1" x="2218"/>
        <item m="1" x="1898"/>
        <item m="1" x="2219"/>
        <item m="1" x="883"/>
        <item m="1" x="873"/>
        <item m="1" x="2600"/>
        <item m="1" x="2380"/>
        <item m="1" x="1932"/>
        <item m="1" x="1062"/>
        <item m="1" x="2220"/>
        <item m="1" x="1952"/>
        <item m="1" x="1082"/>
        <item m="1" x="1289"/>
        <item sd="0" m="1" x="2721"/>
        <item m="1" x="106"/>
        <item m="1" x="360"/>
        <item m="1" x="1998"/>
        <item m="1" x="2339"/>
        <item m="1" x="2667"/>
        <item m="1" x="545"/>
        <item m="1" x="2087"/>
        <item m="1" x="751"/>
        <item m="1" x="107"/>
        <item m="1" x="509"/>
        <item m="1" x="259"/>
        <item m="1" x="1097"/>
        <item m="1" x="1080"/>
        <item x="10"/>
        <item m="1" x="2559"/>
        <item m="1" x="1621"/>
        <item m="1" x="753"/>
        <item m="1" x="331"/>
        <item m="1" x="932"/>
        <item x="22"/>
        <item x="1"/>
        <item m="1" x="2221"/>
        <item m="1" x="2222"/>
        <item m="1" x="369"/>
        <item m="1" x="453"/>
        <item m="1" x="58"/>
        <item m="1" x="437"/>
        <item m="1" x="1687"/>
        <item m="1" x="1099"/>
        <item m="1" x="2224"/>
        <item m="1" x="2045"/>
        <item m="1" x="2608"/>
        <item m="1" x="1783"/>
        <item m="1" x="1885"/>
        <item m="1" x="636"/>
        <item m="1" x="108"/>
        <item m="1" x="52"/>
        <item m="1" x="1103"/>
        <item x="18"/>
        <item m="1" x="1993"/>
        <item m="1" x="2016"/>
        <item m="1" x="1911"/>
        <item m="1" x="593"/>
        <item m="1" x="754"/>
        <item m="1" x="755"/>
        <item m="1" x="407"/>
        <item m="1" x="356"/>
        <item m="1" x="1104"/>
        <item m="1" x="2225"/>
        <item m="1" x="1105"/>
        <item m="1" x="756"/>
        <item m="1" x="2158"/>
        <item m="1" x="752"/>
        <item m="1" x="2046"/>
        <item m="1" x="2226"/>
        <item m="1" x="1913"/>
        <item m="1" x="2150"/>
        <item m="1" x="919"/>
        <item m="1" x="2020"/>
        <item m="1" x="208"/>
        <item m="1" x="1708"/>
        <item m="1" x="1111"/>
        <item m="1" x="454"/>
        <item m="1" x="1112"/>
        <item m="1" x="309"/>
        <item m="1" x="1869"/>
        <item m="1" x="302"/>
        <item m="1" x="852"/>
        <item m="1" x="1205"/>
        <item m="1" x="1113"/>
        <item m="1" x="713"/>
        <item m="1" x="638"/>
        <item m="1" x="1210"/>
        <item m="1" x="1070"/>
        <item m="1" x="1805"/>
        <item m="1" x="1806"/>
        <item m="1" x="216"/>
        <item m="1" x="1809"/>
        <item m="1" x="875"/>
        <item m="1" x="2669"/>
        <item m="1" x="1126"/>
        <item m="1" x="110"/>
        <item m="1" x="1054"/>
        <item m="1" x="1830"/>
        <item m="1" x="1832"/>
        <item m="1" x="1818"/>
        <item m="1" x="1106"/>
        <item x="19"/>
        <item m="1" x="1043"/>
        <item m="1" x="1712"/>
        <item x="33"/>
        <item m="1" x="1615"/>
        <item m="1" x="1810"/>
        <item m="1" x="1114"/>
        <item m="1" x="1143"/>
        <item m="1" x="1535"/>
        <item m="1" x="1812"/>
        <item m="1" x="2088"/>
        <item m="1" x="1813"/>
        <item m="1" x="111"/>
        <item m="1" x="2228"/>
        <item m="1" x="1000"/>
        <item m="1" x="2229"/>
        <item m="1" x="2578"/>
        <item m="1" x="2230"/>
        <item m="1" x="1030"/>
        <item m="1" x="2564"/>
        <item m="1" x="946"/>
        <item m="1" x="2231"/>
        <item m="1" x="50"/>
        <item m="1" x="378"/>
        <item m="1" x="2232"/>
        <item m="1" x="2456"/>
        <item m="1" x="276"/>
        <item m="1" x="758"/>
        <item m="1" x="1010"/>
        <item m="1" x="1120"/>
        <item m="1" x="900"/>
        <item m="1" x="2663"/>
        <item m="1" x="2233"/>
        <item m="1" x="1015"/>
        <item m="1" x="1026"/>
        <item m="1" x="641"/>
        <item m="1" x="642"/>
        <item m="1" x="597"/>
        <item m="1" x="2606"/>
        <item m="1" x="643"/>
        <item m="1" x="1918"/>
        <item m="1" x="635"/>
        <item m="1" x="1123"/>
        <item m="1" x="2234"/>
        <item m="1" x="112"/>
        <item m="1" x="1742"/>
        <item m="1" x="878"/>
        <item m="1" x="2235"/>
        <item m="1" x="1984"/>
        <item m="1" x="2007"/>
        <item m="1" x="2236"/>
        <item m="1" x="759"/>
        <item m="1" x="933"/>
        <item m="1" x="436"/>
        <item m="1" x="2664"/>
        <item m="1" x="2078"/>
        <item m="1" x="1775"/>
        <item m="1" x="2586"/>
        <item m="1" x="475"/>
        <item m="1" x="1109"/>
        <item m="1" x="2674"/>
        <item m="1" x="2657"/>
        <item m="1" x="1700"/>
        <item m="1" x="539"/>
        <item m="1" x="455"/>
        <item m="1" x="952"/>
        <item m="1" x="315"/>
        <item m="1" x="408"/>
        <item m="1" x="867"/>
        <item m="1" x="2506"/>
        <item m="1" x="114"/>
        <item m="1" x="2237"/>
        <item m="1" x="1402"/>
        <item m="1" x="164"/>
        <item m="1" x="645"/>
        <item m="1" x="1638"/>
        <item m="1" x="1139"/>
        <item m="1" x="1146"/>
        <item m="1" x="554"/>
        <item m="1" x="2634"/>
        <item m="1" x="994"/>
        <item m="1" x="2465"/>
        <item m="1" x="1406"/>
        <item m="1" x="1236"/>
        <item m="1" x="1959"/>
        <item m="1" x="1247"/>
        <item m="1" x="1481"/>
        <item m="1" x="1876"/>
        <item m="1" x="1141"/>
        <item m="1" x="1065"/>
        <item m="1" x="646"/>
        <item sd="0" m="1" x="2731"/>
        <item m="1" x="1573"/>
        <item m="1" x="647"/>
        <item m="1" x="2239"/>
        <item m="1" x="126"/>
        <item m="1" x="96"/>
        <item m="1" x="1329"/>
        <item m="1" x="760"/>
        <item m="1" x="1270"/>
        <item m="1" x="2558"/>
        <item m="1" x="869"/>
        <item m="1" x="1145"/>
        <item m="1" x="1510"/>
        <item x="20"/>
        <item m="1" x="1175"/>
        <item m="1" x="1795"/>
        <item m="1" x="1124"/>
        <item m="1" x="1802"/>
        <item sd="0" x="7"/>
        <item x="37"/>
        <item m="1" x="1298"/>
        <item m="1" x="1339"/>
        <item m="1" x="1816"/>
        <item m="1" x="1762"/>
        <item m="1" x="1532"/>
        <item m="1" x="2240"/>
        <item m="1" x="871"/>
        <item m="1" x="2718"/>
        <item m="1" x="91"/>
        <item m="1" x="2241"/>
        <item m="1" x="2030"/>
        <item m="1" x="1672"/>
        <item m="1" x="761"/>
        <item m="1" x="2089"/>
        <item m="1" x="2227"/>
        <item m="1" x="762"/>
        <item m="1" x="1148"/>
        <item m="1" x="316"/>
        <item m="1" x="2633"/>
        <item m="1" x="1242"/>
        <item m="1" x="260"/>
        <item m="1" x="1412"/>
        <item m="1" x="1384"/>
        <item m="1" x="763"/>
        <item m="1" x="1682"/>
        <item m="1" x="385"/>
        <item m="1" x="591"/>
        <item m="1" x="1565"/>
        <item m="1" x="2243"/>
        <item m="1" x="1153"/>
        <item m="1" x="500"/>
        <item m="1" x="2552"/>
        <item m="1" x="217"/>
        <item m="1" x="1229"/>
        <item m="1" x="373"/>
        <item m="1" x="433"/>
        <item m="1" x="2632"/>
        <item m="1" x="1092"/>
        <item m="1" x="1241"/>
        <item m="1" x="1743"/>
        <item sd="0" m="1" x="244"/>
        <item m="1" x="444"/>
        <item m="1" x="2047"/>
        <item m="1" x="1403"/>
        <item m="1" x="1644"/>
        <item m="1" x="1158"/>
        <item m="1" x="1612"/>
        <item m="1" x="372"/>
        <item m="1" x="2588"/>
        <item m="1" x="1872"/>
        <item m="1" x="1478"/>
        <item m="1" x="2244"/>
        <item m="1" x="1865"/>
        <item m="1" x="319"/>
        <item m="1" x="303"/>
        <item m="1" x="1879"/>
        <item m="1" x="2351"/>
        <item m="1" x="1875"/>
        <item sd="0" m="1" x="2090"/>
        <item m="1" x="2245"/>
        <item m="1" x="2072"/>
        <item m="1" x="2374"/>
        <item m="1" x="2091"/>
        <item m="1" x="311"/>
        <item m="1" x="2246"/>
        <item m="1" x="2247"/>
        <item m="1" x="333"/>
        <item m="1" x="765"/>
        <item m="1" x="1318"/>
        <item m="1" x="2248"/>
        <item m="1" x="1276"/>
        <item m="1" x="650"/>
        <item m="1" x="2557"/>
        <item m="1" x="997"/>
        <item m="1" x="1130"/>
        <item m="1" x="2249"/>
        <item m="1" x="1362"/>
        <item m="1" x="1836"/>
        <item m="1" x="131"/>
        <item m="1" x="202"/>
        <item m="1" x="2250"/>
        <item m="1" x="321"/>
        <item m="1" x="146"/>
        <item m="1" x="2697"/>
        <item m="1" x="652"/>
        <item m="1" x="740"/>
        <item m="1" x="920"/>
        <item m="1" x="291"/>
        <item m="1" x="1170"/>
        <item m="1" x="513"/>
        <item m="1" x="2251"/>
        <item m="1" x="1899"/>
        <item m="1" x="766"/>
        <item sd="0" m="1" x="456"/>
        <item m="1" x="1171"/>
        <item m="1" x="2687"/>
        <item m="1" x="1172"/>
        <item m="1" x="1439"/>
        <item m="1" x="2252"/>
        <item m="1" x="1544"/>
        <item m="1" x="2143"/>
        <item m="1" x="653"/>
        <item m="1" x="615"/>
        <item m="1" x="2615"/>
        <item m="1" x="550"/>
        <item m="1" x="1174"/>
        <item m="1" x="2253"/>
        <item m="1" x="2254"/>
        <item sd="0" m="1" x="445"/>
        <item m="1" x="290"/>
        <item m="1" x="1305"/>
        <item m="1" x="1930"/>
        <item m="1" x="767"/>
        <item m="1" x="992"/>
        <item m="1" x="2565"/>
        <item m="1" x="2658"/>
        <item m="1" x="1915"/>
        <item m="1" x="1221"/>
        <item m="1" x="411"/>
        <item m="1" x="2257"/>
        <item m="1" x="1211"/>
        <item m="1" x="2258"/>
        <item m="1" x="1931"/>
        <item m="1" x="84"/>
        <item m="1" x="1745"/>
        <item m="1" x="1135"/>
        <item m="1" x="2092"/>
        <item m="1" x="654"/>
        <item m="1" x="1413"/>
        <item m="1" x="1131"/>
        <item m="1" x="1215"/>
        <item m="1" x="947"/>
        <item m="1" x="1668"/>
        <item m="1" x="1179"/>
        <item m="1" x="85"/>
        <item m="1" x="553"/>
        <item m="1" x="768"/>
        <item m="1" x="1194"/>
        <item sd="0" x="31"/>
        <item m="1" x="1140"/>
        <item m="1" x="655"/>
        <item m="1" x="233"/>
        <item m="1" x="769"/>
        <item x="27"/>
        <item m="1" x="1627"/>
        <item m="1" x="945"/>
        <item m="1" x="1746"/>
        <item m="1" x="322"/>
        <item m="1" x="1747"/>
        <item m="1" x="1664"/>
        <item m="1" x="1515"/>
        <item m="1" x="1600"/>
        <item m="1" x="1181"/>
        <item m="1" x="1877"/>
        <item m="1" x="2073"/>
        <item m="1" x="891"/>
        <item m="1" x="574"/>
        <item m="1" x="2262"/>
        <item m="1" x="1748"/>
        <item m="1" x="570"/>
        <item m="1" x="2093"/>
        <item m="1" x="2263"/>
        <item m="1" x="1183"/>
        <item m="1" x="2642"/>
        <item m="1" x="171"/>
        <item sd="0" m="1" x="256"/>
        <item m="1" x="1405"/>
        <item m="1" x="1531"/>
        <item m="1" x="488"/>
        <item m="1" x="443"/>
        <item m="1" x="122"/>
        <item m="1" x="1186"/>
        <item m="1" x="2264"/>
        <item m="1" x="326"/>
        <item m="1" x="2265"/>
        <item m="1" x="327"/>
        <item m="1" x="978"/>
        <item m="1" x="2266"/>
        <item m="1" x="248"/>
        <item m="1" x="534"/>
        <item m="1" x="1506"/>
        <item m="1" x="2077"/>
        <item m="1" x="1498"/>
        <item m="1" x="1287"/>
        <item m="1" x="156"/>
        <item m="1" x="394"/>
        <item m="1" x="1361"/>
        <item m="1" x="1592"/>
        <item m="1" x="1492"/>
        <item m="1" x="1468"/>
        <item m="1" x="2580"/>
        <item m="1" x="1568"/>
        <item m="1" x="2026"/>
        <item m="1" x="664"/>
        <item m="1" x="1955"/>
        <item m="1" x="2267"/>
        <item m="1" x="295"/>
        <item m="1" x="1191"/>
        <item m="1" x="1729"/>
        <item m="1" x="771"/>
        <item m="1" x="1195"/>
        <item m="1" x="1571"/>
        <item m="1" x="2094"/>
        <item m="1" x="2015"/>
        <item m="1" x="2524"/>
        <item m="1" x="2271"/>
        <item m="1" x="1789"/>
        <item m="1" x="306"/>
        <item m="1" x="1954"/>
        <item m="1" x="865"/>
        <item m="1" x="1835"/>
        <item m="1" x="801"/>
        <item m="1" x="1790"/>
        <item m="1" x="2272"/>
        <item m="1" x="1774"/>
        <item m="1" x="1653"/>
        <item m="1" x="1441"/>
        <item m="1" x="2095"/>
        <item m="1" x="2274"/>
        <item m="1" x="1793"/>
        <item m="1" x="990"/>
        <item m="1" x="2273"/>
        <item m="1" x="1819"/>
        <item m="1" x="2275"/>
        <item m="1" x="2076"/>
        <item m="1" x="2276"/>
        <item m="1" x="1204"/>
        <item m="1" x="1526"/>
        <item m="1" x="2145"/>
        <item m="1" x="1503"/>
        <item m="1" x="560"/>
        <item m="1" x="1550"/>
        <item m="1" x="872"/>
        <item m="1" x="2277"/>
        <item m="1" x="1425"/>
        <item m="1" x="1340"/>
        <item m="1" x="1167"/>
        <item m="1" x="2278"/>
        <item m="1" x="2279"/>
        <item m="1" x="772"/>
        <item m="1" x="728"/>
        <item m="1" x="658"/>
        <item m="1" x="1176"/>
        <item m="1" x="1315"/>
        <item m="1" x="2096"/>
        <item m="1" x="123"/>
        <item m="1" x="1337"/>
        <item m="1" x="270"/>
        <item m="1" x="2280"/>
        <item m="1" x="125"/>
        <item m="1" x="2074"/>
        <item m="1" x="2281"/>
        <item m="1" x="2282"/>
        <item m="1" x="659"/>
        <item m="1" x="1450"/>
        <item m="1" x="2283"/>
        <item m="1" x="925"/>
        <item m="1" x="1470"/>
        <item m="1" x="1209"/>
        <item m="1" x="660"/>
        <item m="1" x="2550"/>
        <item m="1" x="2648"/>
        <item m="1" x="2345"/>
        <item m="1" x="2097"/>
        <item m="1" x="2048"/>
        <item x="0"/>
        <item m="1" x="1497"/>
        <item m="1" x="2627"/>
        <item m="1" x="1763"/>
        <item m="1" x="1212"/>
        <item m="1" x="410"/>
        <item m="1" x="1961"/>
        <item m="1" x="917"/>
        <item m="1" x="988"/>
        <item m="1" x="1197"/>
        <item m="1" x="2284"/>
        <item m="1" x="1213"/>
        <item m="1" x="773"/>
        <item m="1" x="1214"/>
        <item m="1" x="1686"/>
        <item m="1" x="218"/>
        <item m="1" x="1509"/>
        <item m="1" x="724"/>
        <item m="1" x="1557"/>
        <item m="1" x="330"/>
        <item m="1" x="1216"/>
        <item m="1" x="457"/>
        <item m="1" x="1162"/>
        <item m="1" x="2285"/>
        <item m="1" x="2155"/>
        <item m="1" x="2286"/>
        <item m="1" x="2579"/>
        <item m="1" x="1219"/>
        <item m="1" x="2287"/>
        <item m="1" x="2098"/>
        <item m="1" x="2288"/>
        <item m="1" x="1466"/>
        <item m="1" x="2612"/>
        <item m="1" x="2049"/>
        <item m="1" x="176"/>
        <item m="1" x="1749"/>
        <item m="1" x="1455"/>
        <item m="1" x="458"/>
        <item m="1" x="1933"/>
        <item m="1" x="1658"/>
        <item m="1" x="775"/>
        <item m="1" x="459"/>
        <item m="1" x="129"/>
        <item m="1" x="219"/>
        <item m="1" x="2180"/>
        <item m="1" x="750"/>
        <item m="1" x="1044"/>
        <item m="1" x="661"/>
        <item m="1" x="663"/>
        <item m="1" x="809"/>
        <item m="1" x="130"/>
        <item m="1" x="585"/>
        <item m="1" x="1624"/>
        <item m="1" x="943"/>
        <item m="1" x="80"/>
        <item m="1" x="1817"/>
        <item m="1" x="2289"/>
        <item m="1" x="1997"/>
        <item m="1" x="960"/>
        <item m="1" x="665"/>
        <item m="1" x="505"/>
        <item m="1" x="2100"/>
        <item m="1" x="332"/>
        <item m="1" x="776"/>
        <item m="1" x="2290"/>
        <item m="1" x="2291"/>
        <item m="1" x="1169"/>
        <item m="1" x="1022"/>
        <item m="1" x="2101"/>
        <item m="1" x="2710"/>
        <item m="1" x="2292"/>
        <item m="1" x="182"/>
        <item m="1" x="48"/>
        <item m="1" x="2269"/>
        <item m="1" x="607"/>
        <item m="1" x="2388"/>
        <item m="1" x="252"/>
        <item m="1" x="2692"/>
        <item m="1" x="320"/>
        <item m="1" x="863"/>
        <item m="1" x="2293"/>
        <item m="1" x="1436"/>
        <item m="1" x="2102"/>
        <item m="1" x="376"/>
        <item m="1" x="2513"/>
        <item m="1" x="359"/>
        <item m="1" x="2147"/>
        <item m="1" x="2154"/>
        <item m="1" x="662"/>
        <item m="1" x="334"/>
        <item m="1" x="235"/>
        <item m="1" x="2103"/>
        <item m="1" x="76"/>
        <item m="1" x="1919"/>
        <item m="1" x="405"/>
        <item m="1" x="2534"/>
        <item m="1" x="2104"/>
        <item m="1" x="2294"/>
        <item m="1" x="1972"/>
        <item m="1" x="1228"/>
        <item m="1" x="1788"/>
        <item x="46"/>
        <item m="1" x="1189"/>
        <item m="1" x="462"/>
        <item m="1" x="1901"/>
        <item m="1" x="777"/>
        <item m="1" x="2592"/>
        <item m="1" x="335"/>
        <item m="1" x="2295"/>
        <item m="1" x="2296"/>
        <item m="1" x="612"/>
        <item m="1" x="1027"/>
        <item m="1" x="363"/>
        <item m="1" x="1750"/>
        <item m="1" x="1230"/>
        <item m="1" x="1799"/>
        <item m="1" x="1231"/>
        <item m="1" x="2297"/>
        <item m="1" x="1936"/>
        <item m="1" x="579"/>
        <item m="1" x="220"/>
        <item m="1" x="666"/>
        <item m="1" x="391"/>
        <item m="1" x="2724"/>
        <item m="1" x="2701"/>
        <item m="1" x="2656"/>
        <item m="1" x="778"/>
        <item m="1" x="1675"/>
        <item m="1" x="2298"/>
        <item m="1" x="53"/>
        <item m="1" x="1820"/>
        <item m="1" x="1232"/>
        <item m="1" x="1853"/>
        <item m="1" x="1469"/>
        <item m="1" x="61"/>
        <item m="1" x="1884"/>
        <item m="1" x="1941"/>
        <item m="1" x="623"/>
        <item m="1" x="2386"/>
        <item m="1" x="1263"/>
        <item m="1" x="1971"/>
        <item m="1" x="1039"/>
        <item m="1" x="1233"/>
        <item m="1" x="530"/>
        <item m="1" x="1892"/>
        <item m="1" x="2300"/>
        <item m="1" x="1165"/>
        <item m="1" x="1507"/>
        <item m="1" x="779"/>
        <item m="1" x="2645"/>
        <item m="1" x="2106"/>
        <item m="1" x="358"/>
        <item m="1" x="2301"/>
        <item m="1" x="1386"/>
        <item m="1" x="1822"/>
        <item m="1" x="1235"/>
        <item m="1" x="318"/>
        <item m="1" x="2302"/>
        <item m="1" x="1009"/>
        <item m="1" x="1108"/>
        <item m="1" x="2303"/>
        <item m="1" x="2304"/>
        <item m="1" x="1437"/>
        <item m="1" x="581"/>
        <item m="1" x="1100"/>
        <item m="1" x="1071"/>
        <item m="1" x="2305"/>
        <item m="1" x="370"/>
        <item m="1" x="1259"/>
        <item m="1" x="59"/>
        <item m="1" x="1683"/>
        <item m="1" x="336"/>
        <item m="1" x="60"/>
        <item m="1" x="337"/>
        <item m="1" x="2306"/>
        <item m="1" x="1245"/>
        <item m="1" x="2307"/>
        <item m="1" x="268"/>
        <item m="1" x="512"/>
        <item m="1" x="1177"/>
        <item m="1" x="868"/>
        <item m="1" x="667"/>
        <item m="1" x="1516"/>
        <item m="1" x="494"/>
        <item m="1" x="1238"/>
        <item m="1" x="388"/>
        <item m="1" x="283"/>
        <item m="1" x="104"/>
        <item m="1" x="1513"/>
        <item m="1" x="2107"/>
        <item m="1" x="1539"/>
        <item m="1" x="537"/>
        <item m="1" x="1752"/>
        <item m="1" x="101"/>
        <item m="1" x="195"/>
        <item m="1" x="338"/>
        <item m="1" x="668"/>
        <item m="1" x="1193"/>
        <item m="1" x="438"/>
        <item m="1" x="221"/>
        <item x="32"/>
        <item m="1" x="2309"/>
        <item m="1" x="2310"/>
        <item m="1" x="1679"/>
        <item m="1" x="2311"/>
        <item m="1" x="948"/>
        <item m="1" x="1928"/>
        <item m="1" x="1551"/>
        <item m="1" x="288"/>
        <item m="1" x="273"/>
        <item m="1" x="1711"/>
        <item m="1" x="185"/>
        <item m="1" x="1461"/>
        <item m="1" x="1239"/>
        <item m="1" x="1937"/>
        <item m="1" x="903"/>
        <item m="1" x="692"/>
        <item m="1" x="506"/>
        <item m="1" x="2312"/>
        <item m="1" x="2313"/>
        <item m="1" x="669"/>
        <item m="1" x="876"/>
        <item m="1" x="2314"/>
        <item m="1" x="1244"/>
        <item m="1" x="2108"/>
        <item m="1" x="1420"/>
        <item m="1" x="2315"/>
        <item m="1" x="1992"/>
        <item m="1" x="826"/>
        <item m="1" x="2567"/>
        <item m="1" x="774"/>
        <item m="1" x="75"/>
        <item m="1" x="1246"/>
        <item m="1" x="2317"/>
        <item m="1" x="2318"/>
        <item m="1" x="672"/>
        <item m="1" x="2319"/>
        <item m="1" x="1645"/>
        <item m="1" x="2017"/>
        <item m="1" x="1248"/>
        <item m="1" x="1249"/>
        <item m="1" x="781"/>
        <item m="1" x="1250"/>
        <item m="1" x="1060"/>
        <item m="1" x="671"/>
        <item m="1" x="1252"/>
        <item m="1" x="1880"/>
        <item m="1" x="1286"/>
        <item x="6"/>
        <item m="1" x="348"/>
        <item m="1" x="2320"/>
        <item m="1" x="1243"/>
        <item m="1" x="354"/>
        <item m="1" x="2179"/>
        <item m="1" x="2321"/>
        <item m="1" x="1440"/>
        <item m="1" x="884"/>
        <item m="1" x="629"/>
        <item m="1" x="2152"/>
        <item m="1" x="764"/>
        <item m="1" x="782"/>
        <item m="1" x="2322"/>
        <item m="1" x="783"/>
        <item m="1" x="1371"/>
        <item m="1" x="2323"/>
        <item m="1" x="971"/>
        <item m="1" x="1304"/>
        <item m="1" x="2324"/>
        <item m="1" x="1921"/>
        <item m="1" x="368"/>
        <item m="1" x="279"/>
        <item m="1" x="57"/>
        <item m="1" x="2325"/>
        <item m="1" x="240"/>
        <item m="1" x="286"/>
        <item m="1" x="1589"/>
        <item m="1" x="1271"/>
        <item m="1" x="294"/>
        <item m="1" x="549"/>
        <item m="1" x="784"/>
        <item m="1" x="1602"/>
        <item m="1" x="2326"/>
        <item m="1" x="1546"/>
        <item m="1" x="1487"/>
        <item m="1" x="1419"/>
        <item m="1" x="281"/>
        <item m="1" x="566"/>
        <item m="1" x="341"/>
        <item m="1" x="2554"/>
        <item m="1" x="1740"/>
        <item m="1" x="460"/>
        <item m="1" x="1897"/>
        <item m="1" x="1255"/>
        <item m="1" x="785"/>
        <item m="1" x="786"/>
        <item m="1" x="2598"/>
        <item m="1" x="477"/>
        <item m="1" x="1753"/>
        <item m="1" x="2056"/>
        <item m="1" x="417"/>
        <item x="4"/>
        <item m="1" x="2075"/>
        <item m="1" x="1093"/>
        <item sd="0" m="1" x="2737"/>
        <item m="1" x="590"/>
        <item m="1" x="2707"/>
        <item m="1" x="1057"/>
        <item m="1" x="599"/>
        <item m="1" x="1654"/>
        <item m="1" x="1257"/>
        <item m="1" x="788"/>
        <item m="1" x="1754"/>
        <item m="1" x="536"/>
        <item m="1" x="1258"/>
        <item m="1" x="2327"/>
        <item m="1" x="789"/>
        <item m="1" x="567"/>
        <item m="1" x="2328"/>
        <item m="1" x="2329"/>
        <item m="1" x="439"/>
        <item m="1" x="406"/>
        <item m="1" x="269"/>
        <item m="1" x="1208"/>
        <item m="1" x="1261"/>
        <item m="1" x="1262"/>
        <item m="1" x="592"/>
        <item m="1" x="1522"/>
        <item m="1" x="791"/>
        <item m="1" x="1614"/>
        <item m="1" x="1871"/>
        <item m="1" x="2109"/>
        <item m="1" x="1825"/>
        <item m="1" x="559"/>
        <item m="1" x="1591"/>
        <item m="1" x="580"/>
        <item m="1" x="1369"/>
        <item m="1" x="548"/>
        <item m="1" x="1192"/>
        <item sd="0" m="1" x="2105"/>
        <item m="1" x="1256"/>
        <item m="1" x="673"/>
        <item m="1" x="899"/>
        <item m="1" x="1264"/>
        <item m="1" x="1265"/>
        <item m="1" x="1824"/>
        <item m="1" x="2110"/>
        <item x="8"/>
        <item m="1" x="511"/>
        <item m="1" x="546"/>
        <item m="1" x="64"/>
        <item m="1" x="1201"/>
        <item m="1" x="1266"/>
        <item m="1" x="792"/>
        <item m="1" x="1982"/>
        <item x="44"/>
        <item m="1" x="1577"/>
        <item m="1" x="1613"/>
        <item m="1" x="2330"/>
        <item m="1" x="793"/>
        <item m="1" x="2464"/>
        <item m="1" x="2084"/>
        <item m="1" x="794"/>
        <item m="1" x="583"/>
        <item m="1" x="1433"/>
        <item m="1" x="1640"/>
        <item m="1" x="2614"/>
        <item m="1" x="503"/>
        <item m="1" x="1267"/>
        <item m="1" x="1036"/>
        <item m="1" x="1302"/>
        <item m="1" x="1225"/>
        <item m="1" x="404"/>
        <item m="1" x="1251"/>
        <item m="1" x="2013"/>
        <item m="1" x="510"/>
        <item m="1" x="555"/>
        <item m="1" x="1671"/>
        <item m="1" x="1906"/>
        <item m="1" x="2111"/>
        <item m="1" x="1125"/>
        <item m="1" x="461"/>
        <item m="1" x="1351"/>
        <item m="1" x="518"/>
        <item m="1" x="2331"/>
        <item m="1" x="1368"/>
        <item m="1" x="222"/>
        <item m="1" x="2332"/>
        <item m="1" x="795"/>
        <item m="1" x="674"/>
        <item m="1" x="1132"/>
        <item m="1" x="584"/>
        <item m="1" x="1826"/>
        <item m="1" x="2605"/>
        <item m="1" x="1317"/>
        <item m="1" x="1980"/>
        <item m="1" x="1939"/>
        <item m="1" x="1272"/>
        <item m="1" x="675"/>
        <item m="1" x="676"/>
        <item m="1" x="1951"/>
        <item m="1" x="2625"/>
        <item x="13"/>
        <item m="1" x="1474"/>
        <item m="1" x="2333"/>
        <item m="1" x="1277"/>
        <item m="1" x="1572"/>
        <item m="1" x="1278"/>
        <item m="1" x="2334"/>
        <item m="1" x="2335"/>
        <item m="1" x="1784"/>
        <item m="1" x="300"/>
        <item m="1" x="1723"/>
        <item m="1" x="1279"/>
        <item m="1" x="1410"/>
        <item m="1" x="152"/>
        <item m="1" x="1594"/>
        <item m="1" x="277"/>
        <item m="1" x="1074"/>
        <item m="1" x="132"/>
        <item m="1" x="1934"/>
        <item m="1" x="236"/>
        <item m="1" x="1283"/>
        <item m="1" x="2337"/>
        <item m="1" x="426"/>
        <item m="1" x="1606"/>
        <item m="1" x="1966"/>
        <item m="1" x="2391"/>
        <item m="1" x="2338"/>
        <item m="1" x="1354"/>
        <item m="1" x="1463"/>
        <item m="1" x="2340"/>
        <item m="1" x="657"/>
        <item m="1" x="2668"/>
        <item m="1" x="906"/>
        <item m="1" x="2341"/>
        <item sd="0" m="1" x="2739"/>
        <item x="45"/>
        <item m="1" x="463"/>
        <item m="1" x="924"/>
        <item m="1" x="1925"/>
        <item m="1" x="2342"/>
        <item m="1" x="2343"/>
        <item m="1" x="2344"/>
        <item m="1" x="963"/>
        <item m="1" x="2033"/>
        <item m="1" x="2346"/>
        <item sd="0" m="1" x="2223"/>
        <item m="1" x="2715"/>
        <item m="1" x="2613"/>
        <item m="1" x="677"/>
        <item m="1" x="1598"/>
        <item m="1" x="2021"/>
        <item m="1" x="2347"/>
        <item m="1" x="2348"/>
        <item m="1" x="1297"/>
        <item m="1" x="343"/>
        <item m="1" x="2551"/>
        <item m="1" x="353"/>
        <item m="1" x="1964"/>
        <item m="1" x="441"/>
        <item m="1" x="2050"/>
        <item m="1" x="901"/>
        <item m="1" x="1499"/>
        <item m="1" x="450"/>
        <item m="1" x="2654"/>
        <item m="1" x="1646"/>
        <item m="1" x="2466"/>
        <item m="1" x="1860"/>
        <item m="1" x="1299"/>
        <item m="1" x="2028"/>
        <item m="1" x="904"/>
        <item m="1" x="2350"/>
        <item m="1" x="135"/>
        <item m="1" x="2336"/>
        <item m="1" x="2349"/>
        <item m="1" x="2582"/>
        <item m="1" x="234"/>
        <item m="1" x="1524"/>
        <item m="1" x="1414"/>
        <item m="1" x="1301"/>
        <item m="1" x="133"/>
        <item m="1" x="507"/>
        <item m="1" x="527"/>
        <item m="1" x="2112"/>
        <item m="1" x="214"/>
        <item sd="0" m="1" x="213"/>
        <item m="1" x="1999"/>
        <item m="1" x="2352"/>
        <item m="1" x="1185"/>
        <item m="1" x="74"/>
        <item m="1" x="1311"/>
        <item m="1" x="2607"/>
        <item m="1" x="2151"/>
        <item m="1" x="1755"/>
        <item m="1" x="184"/>
        <item m="1" x="525"/>
        <item m="1" x="1312"/>
        <item m="1" x="1313"/>
        <item m="1" x="543"/>
        <item m="1" x="495"/>
        <item m="1" x="2008"/>
        <item m="1" x="1855"/>
        <item m="1" x="944"/>
        <item m="1" x="1081"/>
        <item m="1" x="223"/>
        <item m="1" x="2353"/>
        <item m="1" x="138"/>
        <item m="1" x="139"/>
        <item m="1" x="73"/>
        <item m="1" x="1007"/>
        <item m="1" x="2354"/>
        <item m="1" x="898"/>
        <item m="1" x="1756"/>
        <item m="1" x="2355"/>
        <item m="1" x="2356"/>
        <item m="1" x="1970"/>
        <item m="1" x="1985"/>
        <item m="1" x="1381"/>
        <item m="1" x="345"/>
        <item m="1" x="797"/>
        <item m="1" x="678"/>
        <item m="1" x="2358"/>
        <item m="1" x="2496"/>
        <item m="1" x="346"/>
        <item m="1" x="2661"/>
        <item m="1" x="237"/>
        <item m="1" x="1628"/>
        <item m="1" x="2359"/>
        <item m="1" x="140"/>
        <item m="1" x="1647"/>
        <item m="1" x="1316"/>
        <item m="1" x="1655"/>
        <item m="1" x="1632"/>
        <item m="1" x="1553"/>
        <item m="1" x="1942"/>
        <item m="1" x="1917"/>
        <item m="1" x="2683"/>
        <item m="1" x="836"/>
        <item m="1" x="2360"/>
        <item m="1" x="1949"/>
        <item m="1" x="712"/>
        <item m="1" x="2113"/>
        <item m="1" x="1285"/>
        <item m="1" x="271"/>
        <item m="1" x="1319"/>
        <item m="1" x="1011"/>
        <item m="1" x="2361"/>
        <item m="1" x="1357"/>
        <item m="1" x="349"/>
        <item m="1" x="2051"/>
        <item x="3"/>
        <item m="1" x="1963"/>
        <item m="1" x="619"/>
        <item m="1" x="2362"/>
        <item m="1" x="877"/>
        <item m="1" x="1893"/>
        <item m="1" x="1827"/>
        <item sd="0" m="1" x="245"/>
        <item m="1" x="996"/>
        <item m="1" x="384"/>
        <item m="1" x="2363"/>
        <item m="1" x="980"/>
        <item m="1" x="1548"/>
        <item m="1" x="2720"/>
        <item m="1" x="949"/>
        <item m="1" x="1102"/>
        <item m="1" x="689"/>
        <item m="1" x="639"/>
        <item m="1" x="1639"/>
        <item m="1" x="1321"/>
        <item m="1" x="1322"/>
        <item m="1" x="2366"/>
        <item m="1" x="528"/>
        <item m="1" x="1973"/>
        <item m="1" x="2553"/>
        <item m="1" x="2590"/>
        <item m="1" x="2583"/>
        <item m="1" x="342"/>
        <item m="1" x="1323"/>
        <item m="1" x="2052"/>
        <item m="1" x="1523"/>
        <item m="1" x="1786"/>
        <item m="1" x="1641"/>
        <item m="1" x="1829"/>
        <item m="1" x="681"/>
        <item m="1" x="350"/>
        <item m="1" x="2711"/>
        <item m="1" x="1324"/>
        <item m="1" x="390"/>
        <item m="1" x="1725"/>
        <item m="1" x="780"/>
        <item m="1" x="2621"/>
        <item m="1" x="955"/>
        <item m="1" x="1924"/>
        <item m="1" x="1950"/>
        <item m="1" x="787"/>
        <item sd="0" x="15"/>
        <item m="1" x="798"/>
        <item m="1" x="323"/>
        <item m="1" x="2364"/>
        <item m="1" x="973"/>
        <item m="1" x="142"/>
        <item m="1" x="2365"/>
        <item m="1" x="82"/>
        <item m="1" x="1372"/>
        <item m="1" x="1987"/>
        <item m="1" x="1831"/>
        <item m="1" x="1198"/>
        <item m="1" x="916"/>
        <item m="1" x="2685"/>
        <item m="1" x="1953"/>
        <item m="1" x="2703"/>
        <item m="1" x="682"/>
        <item m="1" x="264"/>
        <item m="1" x="2367"/>
        <item m="1" x="524"/>
        <item m="1" x="1328"/>
        <item m="1" x="1389"/>
        <item m="1" x="2369"/>
        <item m="1" x="1758"/>
        <item m="1" x="1821"/>
        <item m="1" x="965"/>
        <item m="1" x="1334"/>
        <item m="1" x="544"/>
        <item m="1" x="2053"/>
        <item m="1" x="2655"/>
        <item m="1" x="1807"/>
        <item m="1" x="2114"/>
        <item m="1" x="1345"/>
        <item m="1" x="2467"/>
        <item m="1" x="2370"/>
        <item m="1" x="964"/>
        <item m="1" x="209"/>
        <item m="1" x="2628"/>
        <item m="1" x="1588"/>
        <item m="1" x="1908"/>
        <item m="1" x="1385"/>
        <item m="1" x="1759"/>
        <item m="1" x="51"/>
        <item m="1" x="2371"/>
        <item m="1" x="1275"/>
        <item sd="0" m="1" x="2677"/>
        <item m="1" x="987"/>
        <item m="1" x="2010"/>
        <item m="1" x="683"/>
        <item m="1" x="1760"/>
        <item m="1" x="2373"/>
        <item m="1" x="864"/>
        <item m="1" x="2054"/>
        <item m="1" x="1945"/>
        <item m="1" x="684"/>
        <item m="1" x="572"/>
        <item m="1" x="145"/>
        <item m="1" x="479"/>
        <item m="1" x="1188"/>
        <item m="1" x="799"/>
        <item m="1" x="1833"/>
        <item m="1" x="2375"/>
        <item m="1" x="1761"/>
        <item m="1" x="1883"/>
        <item m="1" x="1048"/>
        <item m="1" x="2568"/>
        <item m="1" x="1891"/>
        <item m="1" x="2376"/>
        <item m="1" x="1716"/>
        <item m="1" x="1642"/>
        <item m="1" x="2377"/>
        <item m="1" x="2432"/>
        <item m="1" x="1542"/>
        <item m="1" x="2691"/>
        <item m="1" x="1370"/>
        <item m="1" x="1133"/>
        <item m="1" x="1636"/>
        <item m="1" x="1815"/>
        <item m="1" x="2665"/>
        <item m="1" x="1320"/>
        <item m="1" x="1447"/>
        <item m="1" x="466"/>
        <item m="1" x="1431"/>
        <item m="1" x="481"/>
        <item m="1" x="1307"/>
        <item m="1" x="1527"/>
        <item m="1" x="1077"/>
        <item m="1" x="297"/>
        <item m="1" x="2006"/>
        <item m="1" x="147"/>
        <item m="1" x="2378"/>
        <item m="1" x="1199"/>
        <item m="1" x="1452"/>
        <item m="1" x="999"/>
        <item m="1" x="2379"/>
        <item m="1" x="113"/>
        <item m="1" x="355"/>
        <item m="1" x="1196"/>
        <item m="1" x="1075"/>
        <item m="1" x="831"/>
        <item m="1" x="802"/>
        <item m="1" x="1202"/>
        <item m="1" x="2055"/>
        <item m="1" x="1536"/>
        <item m="1" x="568"/>
        <item m="1" x="1038"/>
        <item m="1" x="2025"/>
        <item m="1" x="317"/>
        <item m="1" x="1157"/>
        <item m="1" x="154"/>
        <item m="1" x="1300"/>
        <item m="1" x="1485"/>
        <item m="1" x="975"/>
        <item m="1" x="2555"/>
        <item m="1" x="2393"/>
        <item m="1" x="687"/>
        <item m="1" x="293"/>
        <item m="1" x="262"/>
        <item m="1" x="2673"/>
        <item m="1" x="1068"/>
        <item m="1" x="2394"/>
        <item m="1" x="2604"/>
        <item m="1" x="1059"/>
        <item m="1" x="2626"/>
        <item m="1" x="976"/>
        <item m="1" x="2620"/>
        <item m="1" x="1926"/>
        <item m="1" x="2395"/>
        <item m="1" x="2396"/>
        <item m="1" x="224"/>
        <item m="1" x="263"/>
        <item m="1" x="1530"/>
        <item m="1" x="1692"/>
        <item m="1" x="1227"/>
        <item m="1" x="83"/>
        <item m="1" x="2629"/>
        <item m="1" x="2397"/>
        <item m="1" x="2595"/>
        <item m="1" x="1427"/>
        <item m="1" x="1920"/>
        <item m="1" x="808"/>
        <item m="1" x="1428"/>
        <item m="1" x="810"/>
        <item m="1" x="2116"/>
        <item m="1" x="225"/>
        <item m="1" x="2398"/>
        <item m="1" x="1429"/>
        <item m="1" x="2399"/>
        <item m="1" x="688"/>
        <item m="1" x="377"/>
        <item m="1" x="2400"/>
        <item m="1" x="1430"/>
        <item m="1" x="1637"/>
        <item m="1" x="1488"/>
        <item m="1" x="1432"/>
        <item m="1" x="2401"/>
        <item m="1" x="2402"/>
        <item m="1" x="247"/>
        <item m="1" x="480"/>
        <item m="1" x="2623"/>
        <item m="1" x="1765"/>
        <item m="1" x="1518"/>
        <item m="1" x="957"/>
        <item m="1" x="2403"/>
        <item m="1" x="885"/>
        <item m="1" x="2405"/>
        <item m="1" x="2082"/>
        <item m="1" x="2060"/>
        <item m="1" x="467"/>
        <item m="1" x="1373"/>
        <item m="1" x="2406"/>
        <item m="1" x="1837"/>
        <item m="1" x="912"/>
        <item m="1" x="1576"/>
        <item m="1" x="1394"/>
        <item m="1" x="1448"/>
        <item m="1" x="1422"/>
        <item m="1" x="889"/>
        <item m="1" x="1449"/>
        <item m="1" x="1159"/>
        <item m="1" x="66"/>
        <item m="1" x="1894"/>
        <item m="1" x="314"/>
        <item m="1" x="163"/>
        <item m="1" x="1451"/>
        <item m="1" x="2491"/>
        <item m="1" x="381"/>
        <item m="1" x="2407"/>
        <item m="1" x="2408"/>
        <item m="1" x="2410"/>
        <item m="1" x="2675"/>
        <item m="1" x="1751"/>
        <item m="1" x="2409"/>
        <item m="1" x="382"/>
        <item m="1" x="1483"/>
        <item m="1" x="246"/>
        <item m="1" x="1454"/>
        <item m="1" x="1766"/>
        <item m="1" x="55"/>
        <item m="1" x="468"/>
        <item m="1" x="1220"/>
        <item m="1" x="395"/>
        <item m="1" x="1206"/>
        <item sd="0" m="1" x="2727"/>
        <item sd="0" m="1" x="308"/>
        <item m="1" x="1910"/>
        <item m="1" x="1457"/>
        <item m="1" x="1456"/>
        <item m="1" x="1458"/>
        <item m="1" x="624"/>
        <item m="1" x="1444"/>
        <item m="1" x="1787"/>
        <item m="1" x="2566"/>
        <item m="1" x="2411"/>
        <item m="1" x="367"/>
        <item m="1" x="2412"/>
        <item m="1" x="289"/>
        <item m="1" x="2413"/>
        <item m="1" x="1543"/>
        <item m="1" x="2414"/>
        <item m="1" x="1722"/>
        <item m="1" x="170"/>
        <item m="1" x="2404"/>
        <item m="1" x="160"/>
        <item m="1" x="1392"/>
        <item m="1" x="2693"/>
        <item m="1" x="2556"/>
        <item m="1" x="2415"/>
        <item m="1" x="733"/>
        <item m="1" x="1656"/>
        <item x="14"/>
        <item m="1" x="1912"/>
        <item m="1" x="1528"/>
        <item m="1" x="1284"/>
        <item m="1" x="165"/>
        <item m="1" x="2270"/>
        <item m="1" x="1914"/>
        <item m="1" x="2653"/>
        <item m="1" x="2118"/>
        <item m="1" x="1390"/>
        <item m="1" x="2034"/>
        <item m="1" x="816"/>
        <item m="1" x="166"/>
        <item m="1" x="1281"/>
        <item m="1" x="1395"/>
        <item m="1" x="1471"/>
        <item m="1" x="144"/>
        <item m="1" x="2019"/>
        <item m="1" x="586"/>
        <item m="1" x="2602"/>
        <item m="1" x="2417"/>
        <item m="1" x="2418"/>
        <item m="1" x="817"/>
        <item m="1" x="2636"/>
        <item m="1" x="1409"/>
        <item m="1" x="1472"/>
        <item m="1" x="690"/>
        <item m="1" x="1473"/>
        <item m="1" x="2419"/>
        <item m="1" x="2420"/>
        <item m="1" x="915"/>
        <item m="1" x="2421"/>
        <item m="1" x="2709"/>
        <item m="1" x="2422"/>
        <item m="1" x="2423"/>
        <item m="1" x="2260"/>
        <item m="1" x="862"/>
        <item m="1" x="2684"/>
        <item m="1" x="882"/>
        <item m="1" x="2424"/>
        <item m="1" x="1882"/>
        <item m="1" x="1347"/>
        <item m="1" x="691"/>
        <item m="1" x="2690"/>
        <item m="1" x="351"/>
        <item m="1" x="2139"/>
        <item m="1" x="2469"/>
        <item m="1" x="1034"/>
        <item m="1" x="501"/>
        <item m="1" x="818"/>
        <item m="1" x="819"/>
        <item m="1" x="914"/>
        <item m="1" x="63"/>
        <item m="1" x="2119"/>
        <item m="1" x="656"/>
        <item m="1" x="2425"/>
        <item m="1" x="149"/>
        <item m="1" x="387"/>
        <item m="1" x="557"/>
        <item m="1" x="1785"/>
        <item m="1" x="2061"/>
        <item m="1" x="440"/>
        <item m="1" x="2099"/>
        <item m="1" x="2426"/>
        <item m="1" x="995"/>
        <item m="1" x="1767"/>
        <item m="1" x="991"/>
        <item m="1" x="386"/>
        <item m="1" x="434"/>
        <item m="1" x="2428"/>
        <item m="1" x="2120"/>
        <item m="1" x="820"/>
        <item m="1" x="1994"/>
        <item m="1" x="487"/>
        <item m="1" x="95"/>
        <item m="1" x="482"/>
        <item m="1" x="87"/>
        <item m="1" x="1938"/>
        <item m="1" x="2062"/>
        <item m="1" x="371"/>
        <item m="1" x="210"/>
        <item m="1" x="2671"/>
        <item m="1" x="312"/>
        <item m="1" x="1923"/>
        <item m="1" x="120"/>
        <item m="1" x="2429"/>
        <item m="1" x="966"/>
        <item m="1" x="821"/>
        <item m="1" x="2068"/>
        <item m="1" x="1489"/>
        <item m="1" x="1490"/>
        <item m="1" x="1491"/>
        <item m="1" x="2430"/>
        <item m="1" x="1684"/>
        <item m="1" x="1379"/>
        <item m="1" x="1730"/>
        <item m="1" x="1800"/>
        <item m="1" x="162"/>
        <item m="1" x="1314"/>
        <item m="1" x="694"/>
        <item m="1" x="1493"/>
        <item m="1" x="1435"/>
        <item m="1" x="611"/>
        <item m="1" x="1018"/>
        <item m="1" x="2384"/>
        <item m="1" x="2616"/>
        <item m="1" x="2561"/>
        <item m="1" x="1290"/>
        <item m="1" x="1156"/>
        <item m="1" x="401"/>
        <item m="1" x="2142"/>
        <item m="1" x="383"/>
        <item m="1" x="2433"/>
        <item m="1" x="380"/>
        <item m="1" x="2434"/>
        <item m="1" x="1986"/>
        <item m="1" x="695"/>
        <item m="1" x="1688"/>
        <item m="1" x="907"/>
        <item m="1" x="2387"/>
        <item m="1" x="310"/>
        <item m="1" x="168"/>
        <item m="1" x="954"/>
        <item m="1" x="1342"/>
        <item m="1" x="328"/>
        <item m="1" x="822"/>
        <item m="1" x="403"/>
        <item m="1" x="1486"/>
        <item m="1" x="339"/>
        <item m="1" x="823"/>
        <item m="1" x="2435"/>
        <item m="1" x="502"/>
        <item m="1" x="565"/>
        <item m="1" x="1501"/>
        <item m="1" x="1023"/>
        <item m="1" x="2436"/>
        <item sd="0" m="1" x="2733"/>
        <item m="1" x="1217"/>
        <item m="1" x="800"/>
        <item m="1" x="1467"/>
        <item m="1" x="389"/>
        <item m="1" x="2063"/>
        <item m="1" x="2437"/>
        <item m="1" x="1064"/>
        <item m="1" x="853"/>
        <item m="1" x="936"/>
        <item m="1" x="1596"/>
        <item m="1" x="1502"/>
        <item m="1" x="2438"/>
        <item m="1" x="2129"/>
        <item m="1" x="174"/>
        <item m="1" x="2064"/>
        <item m="1" x="161"/>
        <item m="1" x="931"/>
        <item m="1" x="2584"/>
        <item m="1" x="923"/>
        <item m="1" x="2439"/>
        <item m="1" x="227"/>
        <item m="1" x="1517"/>
        <item m="1" x="2440"/>
        <item x="25"/>
        <item m="1" x="392"/>
        <item m="1" x="824"/>
        <item m="1" x="886"/>
        <item m="1" x="1396"/>
        <item m="1" x="1480"/>
        <item m="1" x="2065"/>
        <item m="1" x="1680"/>
        <item m="1" x="1511"/>
        <item m="1" x="393"/>
        <item m="1" x="2441"/>
        <item m="1" x="1792"/>
        <item m="1" x="172"/>
        <item m="1" x="1967"/>
        <item m="1" x="1512"/>
        <item m="1" x="825"/>
        <item m="1" x="71"/>
        <item m="1" x="1944"/>
        <item m="1" x="2594"/>
        <item m="1" x="2382"/>
        <item m="1" x="1665"/>
        <item m="1" x="2442"/>
        <item m="1" x="375"/>
        <item m="1" x="985"/>
        <item m="1" x="257"/>
        <item m="1" x="1119"/>
        <item m="1" x="2443"/>
        <item m="1" x="721"/>
        <item m="1" x="2444"/>
        <item m="1" x="1376"/>
        <item m="1" x="670"/>
        <item m="1" x="1768"/>
        <item m="1" x="2445"/>
        <item m="1" x="1943"/>
        <item m="1" x="67"/>
        <item m="1" x="1222"/>
        <item m="1" x="2070"/>
        <item m="1" x="180"/>
        <item m="1" x="124"/>
        <item m="1" x="1968"/>
        <item m="1" x="396"/>
        <item m="1" x="1525"/>
        <item m="1" x="1295"/>
        <item m="1" x="340"/>
        <item m="1" x="2447"/>
        <item m="1" x="422"/>
        <item m="1" x="2448"/>
        <item m="1" x="563"/>
        <item m="1" x="893"/>
        <item m="1" x="894"/>
        <item m="1" x="696"/>
        <item m="1" x="2450"/>
        <item m="1" x="1066"/>
        <item m="1" x="2066"/>
        <item m="1" x="2646"/>
        <item m="1" x="2570"/>
        <item m="1" x="1443"/>
        <item m="1" x="226"/>
        <item m="1" x="157"/>
        <item m="1" x="1383"/>
        <item m="1" x="940"/>
        <item m="1" x="2014"/>
        <item m="1" x="697"/>
        <item m="1" x="698"/>
        <item m="1" x="587"/>
        <item m="1" x="2451"/>
        <item m="1" x="1580"/>
        <item m="1" x="2532"/>
        <item m="1" x="253"/>
        <item m="1" x="1814"/>
        <item m="1" x="1118"/>
        <item m="1" x="1180"/>
        <item m="1" x="827"/>
        <item m="1" x="2121"/>
        <item m="1" x="1619"/>
        <item m="1" x="1035"/>
        <item m="1" x="2723"/>
        <item m="1" x="2639"/>
        <item m="1" x="2009"/>
        <item m="1" x="119"/>
        <item m="1" x="1534"/>
        <item m="1" x="2452"/>
        <item m="1" x="1291"/>
        <item m="1" x="398"/>
        <item m="1" x="1728"/>
        <item m="1" x="2316"/>
        <item m="1" x="1560"/>
        <item m="1" x="2619"/>
        <item m="1" x="469"/>
        <item m="1" x="1769"/>
        <item m="1" x="1889"/>
        <item m="1" x="699"/>
        <item sd="0" m="1" x="2732"/>
        <item m="1" x="569"/>
        <item m="1" x="803"/>
        <item x="17"/>
        <item m="1" x="2453"/>
        <item m="1" x="1995"/>
        <item m="1" x="2454"/>
        <item m="1" x="1296"/>
        <item m="1" x="1866"/>
        <item m="1" x="1731"/>
        <item m="1" x="1537"/>
        <item m="1" x="1609"/>
        <item m="1" x="2574"/>
        <item m="1" x="1538"/>
        <item m="1" x="483"/>
        <item m="1" x="1603"/>
        <item m="1" x="178"/>
        <item m="1" x="1791"/>
        <item m="1" x="1840"/>
        <item m="1" x="958"/>
        <item m="1" x="402"/>
        <item sd="0" m="1" x="258"/>
        <item sd="0" m="1" x="2725"/>
        <item m="1" x="1033"/>
        <item m="1" x="1798"/>
        <item m="1" x="1013"/>
        <item m="1" x="186"/>
        <item m="1" x="1916"/>
        <item m="1" x="968"/>
        <item m="1" x="2599"/>
        <item m="1" x="2140"/>
        <item m="1" x="796"/>
        <item m="1" x="1540"/>
        <item m="1" x="1541"/>
        <item m="1" x="701"/>
        <item m="1" x="1856"/>
        <item m="1" x="897"/>
        <item m="1" x="1857"/>
        <item m="1" x="2455"/>
        <item m="1" x="2660"/>
        <item m="1" x="1115"/>
        <item m="1" x="2471"/>
        <item m="1" x="1896"/>
        <item m="1" x="680"/>
        <item m="1" x="705"/>
        <item m="1" x="446"/>
        <item m="1" x="1350"/>
        <item m="1" x="600"/>
        <item m="1" x="1001"/>
        <item m="1" x="702"/>
        <item m="1" x="1545"/>
        <item x="2"/>
        <item m="1" x="531"/>
        <item m="1" x="634"/>
        <item m="1" x="814"/>
        <item m="1" x="556"/>
        <item x="21"/>
        <item m="1" x="2679"/>
        <item sd="0" m="1" x="1190"/>
        <item m="1" x="1823"/>
        <item m="1" x="790"/>
        <item m="1" x="2696"/>
        <item m="1" x="1127"/>
        <item m="1" x="845"/>
        <item m="1" x="347"/>
        <item m="1" x="1559"/>
        <item m="1" x="1116"/>
        <item m="1" x="1839"/>
        <item m="1" x="1721"/>
        <item m="1" x="1144"/>
        <item m="1" x="1107"/>
        <item m="1" x="888"/>
        <item m="1" x="1332"/>
        <item m="1" x="1845"/>
        <item sd="0" m="1" x="522"/>
        <item m="1" x="1714"/>
        <item m="1" x="1841"/>
        <item m="1" x="627"/>
        <item m="1" x="409"/>
        <item m="1" x="1040"/>
        <item m="1" x="1862"/>
        <item m="1" x="1969"/>
        <item m="1" x="379"/>
        <item m="1" x="1988"/>
        <item m="1" x="703"/>
        <item m="1" x="187"/>
        <item m="1" x="470"/>
        <item m="1" x="2122"/>
        <item m="1" x="1838"/>
        <item m="1" x="1564"/>
        <item m="1" x="198"/>
        <item x="39"/>
        <item m="1" x="913"/>
        <item m="1" x="1867"/>
        <item m="1" x="2458"/>
        <item m="1" x="1529"/>
        <item m="1" x="2459"/>
        <item m="1" x="2460"/>
        <item m="1" x="2462"/>
        <item m="1" x="830"/>
        <item m="1" x="704"/>
        <item m="1" x="2609"/>
        <item m="1" x="305"/>
        <item m="1" x="953"/>
        <item m="1" x="977"/>
        <item m="1" x="2463"/>
        <item m="1" x="2591"/>
        <item m="1" x="2299"/>
        <item m="1" x="189"/>
        <item m="1" x="2381"/>
        <item m="1" x="2662"/>
        <item m="1" x="228"/>
        <item m="1" x="2457"/>
        <item m="1" x="2032"/>
        <item m="1" x="961"/>
        <item m="1" x="1610"/>
        <item m="1" x="229"/>
        <item m="1" x="1772"/>
        <item m="1" x="1567"/>
        <item m="1" x="362"/>
        <item m="1" x="1029"/>
        <item m="1" x="829"/>
        <item m="1" x="1582"/>
        <item m="1" x="447"/>
        <item m="1" x="1150"/>
        <item sd="0" m="1" x="2736"/>
        <item m="1" x="1178"/>
        <item m="1" x="1514"/>
        <item m="1" x="1583"/>
        <item m="1" x="1584"/>
        <item m="1" x="1134"/>
        <item m="1" x="707"/>
        <item m="1" x="1561"/>
        <item m="1" x="2472"/>
        <item m="1" x="2011"/>
        <item m="1" x="1585"/>
        <item m="1" x="1338"/>
        <item m="1" x="909"/>
        <item m="1" x="700"/>
        <item m="1" x="77"/>
        <item m="1" x="2562"/>
        <item m="1" x="1586"/>
        <item m="1" x="2473"/>
        <item m="1" x="1685"/>
        <item m="1" x="564"/>
        <item m="1" x="1110"/>
        <item x="30"/>
        <item m="1" x="2474"/>
        <item m="1" x="2576"/>
        <item m="1" x="2610"/>
        <item m="1" x="1696"/>
        <item m="1" x="1051"/>
        <item m="1" x="2475"/>
        <item m="1" x="2476"/>
        <item m="1" x="1629"/>
        <item m="1" x="2477"/>
        <item m="1" x="1922"/>
        <item m="1" x="2479"/>
        <item m="1" x="2478"/>
        <item m="1" x="1676"/>
        <item m="1" x="1965"/>
        <item m="1" x="2695"/>
        <item m="1" x="496"/>
        <item m="1" x="1990"/>
        <item m="1" x="2689"/>
        <item m="1" x="1590"/>
        <item m="1" x="1155"/>
        <item m="1" x="881"/>
        <item m="1" x="2480"/>
        <item x="11"/>
        <item m="1" x="1960"/>
        <item m="1" x="2481"/>
        <item m="1" x="520"/>
        <item m="1" x="1028"/>
        <item m="1" x="352"/>
        <item m="1" x="2482"/>
        <item m="1" x="504"/>
        <item m="1" x="1496"/>
        <item m="1" x="928"/>
        <item m="1" x="2468"/>
        <item m="1" x="1024"/>
        <item m="1" x="1854"/>
        <item m="1" x="2483"/>
        <item m="1" x="1593"/>
        <item m="1" x="2680"/>
        <item m="1" x="1061"/>
        <item m="1" x="243"/>
        <item m="1" x="191"/>
        <item m="1" x="1579"/>
        <item m="1" x="1595"/>
        <item m="1" x="192"/>
        <item m="1" x="298"/>
        <item m="1" x="1601"/>
        <item m="1" x="962"/>
        <item m="1" x="2485"/>
        <item m="1" x="2124"/>
        <item m="1" x="1421"/>
        <item m="1" x="2005"/>
        <item m="1" x="1648"/>
        <item m="1" x="2125"/>
        <item m="1" x="1184"/>
        <item m="1" x="2676"/>
        <item m="1" x="1604"/>
        <item m="1" x="1558"/>
        <item m="1" x="194"/>
        <item m="1" x="2126"/>
        <item m="1" x="307"/>
        <item m="1" x="588"/>
        <item m="1" x="1168"/>
        <item m="1" x="193"/>
        <item m="1" x="972"/>
        <item m="1" x="413"/>
        <item m="1" x="414"/>
        <item m="1" x="415"/>
        <item m="1" x="169"/>
        <item m="1" x="416"/>
        <item m="1" x="1445"/>
        <item m="1" x="833"/>
        <item m="1" x="2486"/>
        <item m="1" x="1570"/>
        <item m="1" x="855"/>
        <item m="1" x="1533"/>
        <item m="1" x="2487"/>
        <item m="1" x="1842"/>
        <item m="1" x="1773"/>
        <item m="1" x="2488"/>
        <item m="1" x="1563"/>
        <item m="1" x="902"/>
        <item m="1" x="435"/>
        <item m="1" x="860"/>
        <item m="1" x="1121"/>
        <item m="1" x="708"/>
        <item m="1" x="2490"/>
        <item m="1" x="542"/>
        <item m="1" x="1607"/>
        <item m="1" x="1608"/>
        <item m="1" x="1335"/>
        <item sd="0" m="1" x="2719"/>
        <item m="1" x="1864"/>
        <item m="1" x="742"/>
        <item m="1" x="2368"/>
        <item m="1" x="832"/>
        <item m="1" x="1117"/>
        <item m="1" x="239"/>
        <item m="1" x="1426"/>
        <item m="1" x="2492"/>
        <item m="1" x="2493"/>
        <item m="1" x="196"/>
        <item m="1" x="2494"/>
        <item m="1" x="278"/>
        <item sd="0" m="1" x="2740"/>
        <item m="1" x="2069"/>
        <item m="1" x="1797"/>
        <item m="1" x="143"/>
        <item m="1" x="1611"/>
        <item x="42"/>
        <item m="1" x="608"/>
        <item m="1" x="1848"/>
        <item m="1" x="602"/>
        <item m="1" x="1858"/>
        <item m="1" x="1849"/>
        <item m="1" x="1976"/>
        <item m="1" x="1929"/>
        <item m="1" x="603"/>
        <item m="1" x="770"/>
        <item m="1" x="1850"/>
        <item m="1" x="601"/>
        <item m="1" x="606"/>
        <item m="1" x="610"/>
        <item m="1" x="1852"/>
        <item m="1" x="515"/>
        <item sd="0" x="29"/>
        <item m="1" x="1661"/>
        <item x="41"/>
        <item m="1" x="596"/>
        <item m="1" x="1662"/>
        <item m="1" x="514"/>
        <item m="1" x="595"/>
        <item m="1" x="1977"/>
        <item m="1" x="1358"/>
        <item m="1" x="1847"/>
        <item m="1" x="605"/>
        <item m="1" x="1846"/>
        <item m="1" x="609"/>
        <item sd="0" m="1" x="604"/>
        <item x="28"/>
        <item sd="0" m="1" x="2730"/>
        <item sd="0" m="1" x="2735"/>
        <item sd="0" x="26"/>
        <item m="1" x="857"/>
        <item m="1" x="1861"/>
        <item m="1" x="2027"/>
        <item m="1" x="2035"/>
        <item m="1" x="1881"/>
        <item m="1" x="92"/>
        <item m="1" x="1666"/>
        <item m="1" x="1974"/>
        <item m="1" x="1017"/>
        <item m="1" x="805"/>
        <item m="1" x="2699"/>
        <item m="1" x="2427"/>
        <item m="1" x="2446"/>
        <item m="1" x="151"/>
        <item m="1" x="709"/>
        <item m="1" x="1659"/>
        <item m="1" x="421"/>
        <item m="1" x="2067"/>
        <item m="1" x="2495"/>
        <item m="1" x="921"/>
        <item m="1" x="2238"/>
        <item sd="0" m="1" x="2738"/>
        <item m="1" x="1423"/>
        <item m="1" x="582"/>
        <item m="1" x="2123"/>
        <item m="1" x="70"/>
        <item m="1" x="2497"/>
        <item m="1" x="325"/>
        <item m="1" x="2156"/>
        <item m="1" x="2498"/>
        <item m="1" x="2461"/>
        <item m="1" x="1234"/>
        <item m="1" x="934"/>
        <item m="1" x="2672"/>
        <item m="1" x="1067"/>
        <item m="1" x="2256"/>
        <item m="1" x="1308"/>
        <item m="1" x="1669"/>
        <item m="1" x="1446"/>
        <item m="1" x="1154"/>
        <item m="1" x="2127"/>
        <item m="1" x="423"/>
        <item m="1" x="1400"/>
        <item m="1" x="424"/>
        <item m="1" x="1958"/>
        <item m="1" x="197"/>
        <item m="1" x="2499"/>
        <item m="1" x="1673"/>
        <item m="1" x="517"/>
        <item m="1" x="1477"/>
        <item m="1" x="2500"/>
        <item m="1" x="1808"/>
        <item m="1" x="892"/>
        <item m="1" x="1138"/>
        <item m="1" x="275"/>
        <item m="1" x="834"/>
        <item m="1" x="79"/>
        <item m="1" x="910"/>
        <item m="1" x="136"/>
        <item m="1" x="203"/>
        <item m="1" x="2575"/>
        <item m="1" x="2585"/>
        <item m="1" x="939"/>
        <item m="1" x="1366"/>
        <item m="1" x="1136"/>
        <item m="1" x="1605"/>
        <item m="1" x="1226"/>
        <item m="1" x="484"/>
        <item m="1" x="1677"/>
        <item m="1" x="2714"/>
        <item m="1" x="993"/>
        <item m="1" x="1387"/>
        <item m="1" x="1678"/>
        <item m="1" x="1895"/>
        <item m="1" x="1365"/>
        <item m="1" x="1649"/>
        <item m="1" x="1620"/>
        <item m="1" x="1599"/>
        <item m="1" x="1122"/>
        <item m="1" x="489"/>
        <item m="1" x="1352"/>
        <item m="1" x="1616"/>
        <item m="1" x="835"/>
        <item m="1" x="2515"/>
        <item m="1" x="230"/>
        <item m="1" x="533"/>
        <item m="1" x="2501"/>
        <item m="1" x="261"/>
        <item m="1" x="201"/>
        <item m="1" x="285"/>
        <item m="1" x="2502"/>
        <item m="1" x="1187"/>
        <item m="1" x="552"/>
        <item m="1" x="2503"/>
        <item m="1" x="630"/>
        <item m="1" x="859"/>
        <item m="1" x="1975"/>
        <item m="1" x="2504"/>
        <item m="1" x="2713"/>
        <item m="1" x="2694"/>
        <item m="1" x="1076"/>
        <item m="1" x="905"/>
        <item m="1" x="2514"/>
        <item m="1" x="1828"/>
        <item m="1" x="1164"/>
        <item m="1" x="1415"/>
        <item m="1" x="2587"/>
        <item m="1" x="2698"/>
        <item m="1" x="1697"/>
        <item m="1" x="1401"/>
        <item m="1" x="1292"/>
        <item m="1" x="2505"/>
        <item m="1" x="2702"/>
        <item m="1" x="280"/>
        <item m="1" x="879"/>
        <item m="1" x="937"/>
        <item x="34"/>
        <item m="1" x="365"/>
        <item m="1" x="1566"/>
        <item m="1" x="710"/>
        <item m="1" x="490"/>
        <item sd="0" m="1" x="493"/>
        <item m="1" x="711"/>
        <item m="1" x="400"/>
        <item m="1" x="2507"/>
        <item m="1" x="2624"/>
        <item m="1" x="632"/>
        <item m="1" x="2189"/>
        <item m="1" x="1631"/>
        <item m="1" x="2706"/>
        <item m="1" x="729"/>
        <item m="1" x="2617"/>
        <item x="24"/>
        <item m="1" x="1331"/>
        <item m="1" x="838"/>
        <item m="1" x="2022"/>
        <item m="1" x="1689"/>
        <item m="1" x="1690"/>
        <item m="1" x="2308"/>
        <item m="1" x="1794"/>
        <item m="1" x="1173"/>
        <item m="1" x="651"/>
        <item m="1" x="2652"/>
        <item m="1" x="1101"/>
        <item m="1" x="2128"/>
        <item m="1" x="613"/>
        <item m="1" x="137"/>
        <item m="1" x="813"/>
        <item m="1" x="2603"/>
        <item m="1" x="1343"/>
        <item m="1" x="2509"/>
        <item m="1" x="839"/>
        <item m="1" x="1691"/>
        <item m="1" x="121"/>
        <item m="1" x="425"/>
        <item m="1" x="2431"/>
        <item m="1" x="1890"/>
        <item m="1" x="1776"/>
        <item m="1" x="1904"/>
        <item m="1" x="2144"/>
        <item m="1" x="62"/>
        <item m="1" x="1055"/>
        <item m="1" x="840"/>
        <item m="1" x="2383"/>
        <item m="1" x="1578"/>
        <item m="1" x="2510"/>
        <item m="1" x="1660"/>
        <item m="1" x="485"/>
        <item m="1" x="1207"/>
        <item m="1" x="1693"/>
        <item m="1" x="1663"/>
        <item m="1" x="1657"/>
        <item m="1" x="858"/>
        <item m="1" x="2511"/>
        <item m="1" x="2001"/>
        <item m="1" x="841"/>
        <item m="1" x="1411"/>
        <item m="1" x="837"/>
        <item m="1" x="2597"/>
        <item m="1" x="1694"/>
        <item m="1" x="1801"/>
        <item m="1" x="1695"/>
        <item m="1" x="1681"/>
        <item m="1" x="1587"/>
        <item m="1" x="1160"/>
        <item m="1" x="1569"/>
        <item m="1" x="998"/>
        <item m="1" x="856"/>
        <item m="1" x="1166"/>
        <item m="1" x="2512"/>
        <item m="1" x="150"/>
        <item m="1" x="2149"/>
        <item m="1" x="1223"/>
        <item m="1" x="212"/>
        <item m="1" x="918"/>
        <item m="1" x="1989"/>
        <item m="1" x="1979"/>
        <item m="1" x="2268"/>
        <item m="1" x="56"/>
        <item m="1" x="1562"/>
        <item m="1" x="1581"/>
        <item m="1" x="2390"/>
        <item m="1" x="969"/>
        <item m="1" x="473"/>
        <item m="1" x="843"/>
        <item m="1" x="1625"/>
        <item m="1" x="935"/>
        <item m="1" x="2023"/>
        <item m="1" x="1462"/>
        <item m="1" x="2666"/>
        <item m="1" x="2024"/>
        <item x="9"/>
        <item m="1" x="1698"/>
        <item m="1" x="1375"/>
        <item m="1" x="1699"/>
        <item m="1" x="179"/>
        <item m="1" x="2148"/>
        <item m="1" x="589"/>
        <item m="1" x="558"/>
        <item m="1" x="1019"/>
        <item m="1" x="69"/>
        <item m="1" x="199"/>
        <item m="1" x="844"/>
        <item m="1" x="714"/>
        <item m="1" x="2449"/>
        <item m="1" x="715"/>
        <item m="1" x="1670"/>
        <item m="1" x="1407"/>
        <item m="1" x="2130"/>
        <item m="1" x="1702"/>
        <item m="1" x="427"/>
        <item m="1" x="190"/>
        <item m="1" x="1479"/>
        <item m="1" x="679"/>
        <item m="1" x="716"/>
        <item m="1" x="65"/>
        <item m="1" x="1703"/>
        <item m="1" x="1851"/>
        <item m="1" x="717"/>
        <item m="1" x="486"/>
        <item m="1" x="231"/>
        <item m="1" x="2079"/>
        <item m="1" x="2131"/>
        <item m="1" x="1626"/>
        <item m="1" x="2516"/>
        <item m="1" x="1374"/>
        <item m="1" x="1280"/>
        <item m="1" x="927"/>
        <item m="1" x="299"/>
        <item sd="0" m="1" x="2734"/>
        <item m="1" x="1843"/>
        <item m="1" x="1991"/>
        <item m="1" x="200"/>
        <item m="1" x="1859"/>
        <item m="1" x="86"/>
        <item m="1" x="1268"/>
        <item m="1" x="1417"/>
        <item m="1" x="1706"/>
        <item m="1" x="1269"/>
        <item m="1" x="2132"/>
        <item m="1" x="989"/>
        <item m="1" x="1704"/>
        <item m="1" x="637"/>
        <item m="1" x="706"/>
        <item sd="0" m="1" x="640"/>
        <item m="1" x="842"/>
        <item m="1" x="105"/>
        <item m="1" x="173"/>
        <item m="1" x="1495"/>
        <item m="1" x="896"/>
        <item m="1" x="2517"/>
        <item m="1" x="2518"/>
        <item m="1" x="982"/>
        <item m="1" x="2519"/>
        <item m="1" x="718"/>
        <item m="1" x="1705"/>
        <item m="1" x="1519"/>
        <item m="1" x="2644"/>
        <item m="1" x="2640"/>
        <item m="1" x="2520"/>
        <item m="1" x="1025"/>
        <item m="1" x="1182"/>
        <item m="1" x="1946"/>
        <item m="1" x="1635"/>
        <item m="1" x="984"/>
        <item m="1" x="1274"/>
        <item m="1" x="2521"/>
        <item m="1" x="1633"/>
        <item m="1" x="2522"/>
        <item m="1" x="861"/>
        <item m="1" x="1707"/>
        <item m="1" x="1834"/>
        <item m="1" x="1634"/>
        <item m="1" x="2700"/>
        <item m="1" x="127"/>
        <item m="1" x="1032"/>
        <item m="1" x="2203"/>
        <item m="1" x="1404"/>
        <item m="1" x="1494"/>
        <item m="1" x="1770"/>
        <item m="1" x="1983"/>
        <item m="1" x="2523"/>
        <item m="1" x="1709"/>
        <item m="1" x="1777"/>
        <item m="1" x="2525"/>
        <item m="1" x="719"/>
        <item m="1" x="1927"/>
        <item m="1" x="1996"/>
        <item m="1" x="846"/>
        <item m="1" x="2526"/>
        <item m="1" x="2392"/>
        <item m="1" x="519"/>
        <item m="1" x="1086"/>
        <item m="1" x="2059"/>
        <item m="1" x="598"/>
        <item m="1" x="757"/>
        <item m="1" x="535"/>
        <item m="1" x="2133"/>
        <item m="1" x="2527"/>
        <item m="1" x="204"/>
        <item m="1" x="720"/>
        <item x="35"/>
        <item m="1" x="1713"/>
        <item m="1" x="1014"/>
        <item m="1" x="1424"/>
        <item m="1" x="941"/>
        <item m="1" x="2712"/>
        <item m="1" x="420"/>
        <item m="1" x="2528"/>
        <item m="1" x="1391"/>
        <item m="1" x="2012"/>
        <item m="1" x="2573"/>
        <item m="1" x="938"/>
        <item m="1" x="2134"/>
        <item m="1" x="267"/>
        <item m="1" x="2529"/>
        <item m="1" x="1293"/>
        <item m="1" x="614"/>
        <item sd="0" m="1" x="2722"/>
        <item m="1" x="2593"/>
        <item m="1" x="1416"/>
        <item m="1" x="324"/>
        <item m="1" x="428"/>
        <item m="1" x="2530"/>
        <item m="1" x="2029"/>
        <item m="1" x="723"/>
        <item m="1" x="2259"/>
        <item m="1" x="541"/>
        <item m="1" x="1618"/>
        <item m="1" x="1674"/>
        <item m="1" x="1778"/>
        <item m="1" x="911"/>
        <item m="1" x="2531"/>
        <item m="1" x="847"/>
        <item x="23"/>
        <item m="1" x="478"/>
        <item m="1" x="848"/>
        <item m="1" x="929"/>
        <item m="1" x="1844"/>
        <item m="1" x="1715"/>
        <item m="1" x="1710"/>
        <item m="1" x="1004"/>
        <item m="1" x="726"/>
        <item m="1" x="2135"/>
        <item m="1" x="1353"/>
        <item m="1" x="1717"/>
        <item m="1" x="1779"/>
        <item sd="0" m="1" x="465"/>
        <item m="1" x="1260"/>
        <item m="1" x="974"/>
        <item m="1" x="2533"/>
        <item m="1" x="188"/>
        <item m="1" x="2647"/>
        <item m="1" x="2686"/>
        <item m="1" x="866"/>
        <item m="1" x="1811"/>
        <item m="1" x="812"/>
        <item x="43"/>
        <item m="1" x="1718"/>
        <item m="1" x="1719"/>
        <item m="1" x="1398"/>
        <item m="1" x="1720"/>
        <item sd="0" m="1" x="2728"/>
        <item m="1" x="128"/>
        <item m="1" x="205"/>
        <item m="1" x="686"/>
        <item m="1" x="2622"/>
        <item m="1" x="1780"/>
        <item m="1" x="685"/>
        <item m="1" x="2416"/>
        <item m="1" x="2705"/>
        <item m="1" x="1333"/>
        <item m="1" x="1667"/>
        <item m="1" x="2136"/>
        <item m="1" x="1781"/>
        <item m="1" x="329"/>
        <item m="1" x="1724"/>
        <item m="1" x="206"/>
        <item m="1" x="153"/>
        <item m="1" x="2643"/>
        <item m="1" x="849"/>
        <item m="1" x="854"/>
        <item m="1" x="2631"/>
        <item m="1" x="471"/>
        <item m="1" x="2535"/>
        <item m="1" x="1902"/>
        <item m="1" x="722"/>
        <item m="1" x="540"/>
        <item m="1" x="2255"/>
        <item m="1" x="850"/>
        <item m="1" x="183"/>
        <item m="1" x="693"/>
        <item m="1" x="644"/>
        <item m="1" x="1726"/>
        <item m="1" x="967"/>
        <item sd="0" m="1" x="2117"/>
        <item m="1" x="397"/>
        <item m="1" x="1504"/>
        <item x="40"/>
        <item sd="0" m="1" x="2729"/>
        <item m="1" x="1273"/>
        <item m="1" x="2536"/>
        <item m="1" x="2470"/>
        <item m="1" x="429"/>
        <item m="1" x="2537"/>
        <item m="1" x="2538"/>
        <item m="1" x="2569"/>
        <item m="1" x="2539"/>
        <item m="1" x="1460"/>
        <item m="1" x="2058"/>
        <item m="1" x="2540"/>
        <item m="1" x="942"/>
        <item m="1" x="2031"/>
        <item m="1" x="1597"/>
        <item m="1" x="2541"/>
        <item m="1" x="1325"/>
        <item m="1" x="2071"/>
        <item m="1" x="828"/>
        <item m="1" x="430"/>
        <item m="1" x="1356"/>
        <item m="1" x="1031"/>
        <item x="16"/>
        <item m="1" x="1957"/>
        <item m="1" x="1434"/>
        <item m="1" x="874"/>
        <item m="1" x="2542"/>
        <item m="1" x="2543"/>
        <item m="1" x="249"/>
        <item m="1" x="207"/>
        <item m="1" x="2544"/>
        <item m="1" x="2545"/>
        <item m="1" x="2137"/>
        <item m="1" x="2138"/>
        <item m="1" x="1002"/>
        <item m="1" x="134"/>
        <item m="1" x="1732"/>
        <item m="1" x="1326"/>
        <item m="1" x="155"/>
        <item m="1" x="211"/>
        <item m="1" x="1161"/>
        <item x="36"/>
        <item m="1" x="141"/>
        <item m="1" x="2548"/>
        <item m="1" x="508"/>
        <item m="1" x="930"/>
        <item m="1" x="571"/>
        <item m="1" x="2372"/>
        <item m="1" x="2357"/>
        <item m="1" x="241"/>
        <item m="1" x="1733"/>
        <item m="1" x="1734"/>
        <item m="1" x="431"/>
        <item m="1" x="851"/>
        <item m="1" x="2546"/>
        <item m="1" x="532"/>
        <item m="1" x="1521"/>
        <item m="1" x="1554"/>
        <item m="1" x="2547"/>
        <item m="1" x="1782"/>
        <item m="1" x="1903"/>
        <item m="1" x="2549"/>
        <item m="1" x="1735"/>
        <item m="1" x="1650"/>
        <item m="1" x="1736"/>
        <item m="1" x="2708"/>
        <item t="default" sd="0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4"/>
    <field x="0"/>
  </rowFields>
  <rowItems count="8">
    <i>
      <x v="445"/>
    </i>
    <i r="1">
      <x v="40"/>
    </i>
    <i>
      <x v="1089"/>
    </i>
    <i r="1">
      <x v="38"/>
    </i>
    <i r="1">
      <x v="39"/>
    </i>
    <i>
      <x v="2697"/>
    </i>
    <i r="1">
      <x v="33"/>
    </i>
    <i t="grand">
      <x/>
    </i>
  </rowItems>
  <colItems count="1">
    <i/>
  </colItems>
  <pageFields count="1">
    <pageField fld="3" hier="-1"/>
  </pageFields>
  <dataFields count="1">
    <dataField name="Total" fld="9" baseField="0" baseItem="0" numFmtId="44"/>
  </dataFields>
  <formats count="9">
    <format dxfId="195">
      <pivotArea collapsedLevelsAreSubtotals="1" fieldPosition="0">
        <references count="1">
          <reference field="4" count="1">
            <x v="275"/>
          </reference>
        </references>
      </pivotArea>
    </format>
    <format dxfId="194">
      <pivotArea collapsedLevelsAreSubtotals="1" fieldPosition="0">
        <references count="1">
          <reference field="4" count="1">
            <x v="664"/>
          </reference>
        </references>
      </pivotArea>
    </format>
    <format dxfId="193">
      <pivotArea collapsedLevelsAreSubtotals="1" fieldPosition="0">
        <references count="1">
          <reference field="4" count="1">
            <x v="789"/>
          </reference>
        </references>
      </pivotArea>
    </format>
    <format dxfId="192">
      <pivotArea collapsedLevelsAreSubtotals="1" fieldPosition="0">
        <references count="1">
          <reference field="4" count="1">
            <x v="1446"/>
          </reference>
        </references>
      </pivotArea>
    </format>
    <format dxfId="191">
      <pivotArea collapsedLevelsAreSubtotals="1" fieldPosition="0">
        <references count="1">
          <reference field="4" count="1">
            <x v="1688"/>
          </reference>
        </references>
      </pivotArea>
    </format>
    <format dxfId="190">
      <pivotArea collapsedLevelsAreSubtotals="1" fieldPosition="0">
        <references count="1">
          <reference field="4" count="1">
            <x v="1989"/>
          </reference>
        </references>
      </pivotArea>
    </format>
    <format dxfId="189">
      <pivotArea dataOnly="0" labelOnly="1" fieldPosition="0">
        <references count="1">
          <reference field="4" count="6">
            <x v="275"/>
            <x v="664"/>
            <x v="789"/>
            <x v="1446"/>
            <x v="1688"/>
            <x v="1989"/>
          </reference>
        </references>
      </pivotArea>
    </format>
    <format dxfId="188">
      <pivotArea field="4" type="button" dataOnly="0" labelOnly="1" outline="0" axis="axisRow" fieldPosition="0"/>
    </format>
    <format dxfId="187">
      <pivotArea dataOnly="0" labelOnly="1" outline="0" axis="axisValues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6883EC-581A-2E41-B21A-3A41B1AC219A}" name="PivotTable5" cacheId="4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A4:B5" firstHeaderRow="1" firstDataRow="1" firstDataCol="1" rowPageCount="1" colPageCount="1"/>
  <pivotFields count="15">
    <pivotField axis="axisRow" showAll="0">
      <items count="71">
        <item x="56"/>
        <item x="64"/>
        <item x="57"/>
        <item x="65"/>
        <item x="25"/>
        <item x="34"/>
        <item x="36"/>
        <item x="30"/>
        <item x="21"/>
        <item x="52"/>
        <item x="13"/>
        <item x="44"/>
        <item x="14"/>
        <item x="22"/>
        <item x="16"/>
        <item x="29"/>
        <item x="2"/>
        <item x="8"/>
        <item x="51"/>
        <item x="20"/>
        <item x="26"/>
        <item x="35"/>
        <item x="19"/>
        <item x="6"/>
        <item x="61"/>
        <item x="4"/>
        <item x="43"/>
        <item x="11"/>
        <item x="54"/>
        <item x="33"/>
        <item x="38"/>
        <item x="39"/>
        <item x="63"/>
        <item x="17"/>
        <item x="55"/>
        <item x="0"/>
        <item x="1"/>
        <item m="1" x="67"/>
        <item x="46"/>
        <item x="45"/>
        <item x="24"/>
        <item x="18"/>
        <item x="50"/>
        <item x="58"/>
        <item x="59"/>
        <item x="7"/>
        <item x="47"/>
        <item x="31"/>
        <item x="53"/>
        <item x="48"/>
        <item x="23"/>
        <item x="27"/>
        <item x="32"/>
        <item x="37"/>
        <item x="49"/>
        <item m="1" x="68"/>
        <item m="1" x="69"/>
        <item x="3"/>
        <item x="9"/>
        <item x="60"/>
        <item x="28"/>
        <item x="10"/>
        <item x="66"/>
        <item x="62"/>
        <item x="40"/>
        <item x="41"/>
        <item x="42"/>
        <item x="12"/>
        <item x="15"/>
        <item x="5"/>
        <item t="default"/>
      </items>
    </pivotField>
    <pivotField showAll="0"/>
    <pivotField showAll="0"/>
    <pivotField axis="axisPage" multipleItemSelectionAllowed="1" showAll="0">
      <items count="49">
        <item h="1" x="10"/>
        <item h="1" x="15"/>
        <item h="1" x="17"/>
        <item h="1" x="5"/>
        <item h="1" x="7"/>
        <item m="1" x="18"/>
        <item h="1" x="6"/>
        <item h="1" x="12"/>
        <item h="1" x="14"/>
        <item h="1" m="1" x="36"/>
        <item h="1" x="3"/>
        <item h="1" x="8"/>
        <item h="1" x="9"/>
        <item h="1" m="1" x="41"/>
        <item h="1" m="1" x="42"/>
        <item h="1" x="13"/>
        <item h="1" x="0"/>
        <item h="1" m="1" x="23"/>
        <item h="1" m="1" x="45"/>
        <item h="1" m="1" x="47"/>
        <item h="1" x="1"/>
        <item h="1" m="1" x="39"/>
        <item h="1" x="4"/>
        <item h="1" m="1" x="44"/>
        <item h="1" m="1" x="46"/>
        <item h="1" x="2"/>
        <item h="1" m="1" x="40"/>
        <item h="1" x="11"/>
        <item h="1" m="1" x="34"/>
        <item h="1" m="1" x="21"/>
        <item h="1" m="1" x="31"/>
        <item h="1" m="1" x="33"/>
        <item h="1" m="1" x="22"/>
        <item h="1" m="1" x="20"/>
        <item h="1" m="1" x="26"/>
        <item h="1" m="1" x="27"/>
        <item h="1" m="1" x="19"/>
        <item h="1" x="16"/>
        <item h="1" m="1" x="43"/>
        <item h="1" m="1" x="24"/>
        <item h="1" m="1" x="25"/>
        <item h="1" m="1" x="28"/>
        <item h="1" m="1" x="29"/>
        <item h="1" m="1" x="30"/>
        <item h="1" m="1" x="32"/>
        <item h="1" m="1" x="35"/>
        <item h="1" m="1" x="37"/>
        <item h="1" m="1" x="38"/>
        <item t="default"/>
      </items>
    </pivotField>
    <pivotField axis="axisRow" showAll="0" sortType="ascending">
      <items count="2742">
        <item m="1" x="956"/>
        <item m="1" x="1464"/>
        <item m="1" x="2141"/>
        <item m="1" x="272"/>
        <item m="1" x="870"/>
        <item m="1" x="575"/>
        <item m="1" x="2057"/>
        <item m="1" x="1442"/>
        <item m="1" x="361"/>
        <item m="1" x="118"/>
        <item m="1" x="1346"/>
        <item m="1" x="725"/>
        <item m="1" x="1254"/>
        <item m="1" x="282"/>
        <item m="1" x="2036"/>
        <item m="1" x="2157"/>
        <item m="1" x="1796"/>
        <item m="1" x="951"/>
        <item m="1" x="1887"/>
        <item m="1" x="1870"/>
        <item m="1" x="2717"/>
        <item x="5"/>
        <item m="1" x="491"/>
        <item m="1" x="1549"/>
        <item m="1" x="1484"/>
        <item m="1" x="727"/>
        <item m="1" x="1288"/>
        <item m="1" x="1739"/>
        <item m="1" x="804"/>
        <item m="1" x="451"/>
        <item m="1" x="1888"/>
        <item x="12"/>
        <item m="1" x="2159"/>
        <item m="1" x="1623"/>
        <item m="1" x="2037"/>
        <item m="1" x="78"/>
        <item m="1" x="2611"/>
        <item m="1" x="1378"/>
        <item m="1" x="1556"/>
        <item m="1" x="959"/>
        <item m="1" x="177"/>
        <item m="1" x="2038"/>
        <item m="1" x="1737"/>
        <item m="1" x="2160"/>
        <item m="1" x="2161"/>
        <item m="1" x="357"/>
        <item m="1" x="1142"/>
        <item m="1" x="1003"/>
        <item m="1" x="2688"/>
        <item m="1" x="2162"/>
        <item m="1" x="1096"/>
        <item m="1" x="1016"/>
        <item m="1" x="2039"/>
        <item m="1" x="88"/>
        <item m="1" x="1738"/>
        <item m="1" x="2163"/>
        <item m="1" x="1459"/>
        <item m="1" x="2164"/>
        <item m="1" x="2153"/>
        <item m="1" x="89"/>
        <item m="1" x="2165"/>
        <item m="1" x="730"/>
        <item m="1" x="1630"/>
        <item m="1" x="1005"/>
        <item m="1" x="2166"/>
        <item m="1" x="1348"/>
        <item m="1" x="1006"/>
        <item m="1" x="731"/>
        <item m="1" x="1651"/>
        <item m="1" x="2167"/>
        <item m="1" x="1008"/>
        <item m="1" x="2168"/>
        <item m="1" x="1367"/>
        <item m="1" x="2146"/>
        <item m="1" x="90"/>
        <item m="1" x="2169"/>
        <item m="1" x="266"/>
        <item m="1" x="922"/>
        <item m="1" x="442"/>
        <item m="1" x="364"/>
        <item m="1" x="732"/>
        <item m="1" x="1555"/>
        <item m="1" x="2170"/>
        <item m="1" x="418"/>
        <item m="1" x="887"/>
        <item m="1" x="265"/>
        <item m="1" x="292"/>
        <item m="1" x="2171"/>
        <item m="1" x="68"/>
        <item m="1" x="521"/>
        <item m="1" x="616"/>
        <item m="1" x="2484"/>
        <item m="1" x="617"/>
        <item m="1" x="284"/>
        <item m="1" x="2172"/>
        <item m="1" x="2659"/>
        <item m="1" x="1617"/>
        <item m="1" x="1363"/>
        <item m="1" x="2173"/>
        <item m="1" x="232"/>
        <item m="1" x="2174"/>
        <item m="1" x="2175"/>
        <item m="1" x="2176"/>
        <item m="1" x="2040"/>
        <item m="1" x="562"/>
        <item m="1" x="1476"/>
        <item m="1" x="242"/>
        <item m="1" x="181"/>
        <item m="1" x="1465"/>
        <item m="1" x="2678"/>
        <item m="1" x="1482"/>
        <item m="1" x="815"/>
        <item m="1" x="1128"/>
        <item m="1" x="2489"/>
        <item m="1" x="2177"/>
        <item m="1" x="2385"/>
        <item m="1" x="1129"/>
        <item m="1" x="2178"/>
        <item m="1" x="2181"/>
        <item m="1" x="1012"/>
        <item m="1" x="890"/>
        <item m="1" x="2182"/>
        <item m="1" x="1874"/>
        <item m="1" x="2183"/>
        <item m="1" x="1727"/>
        <item m="1" x="2184"/>
        <item m="1" x="1408"/>
        <item m="1" x="238"/>
        <item m="1" x="2185"/>
        <item m="1" x="93"/>
        <item m="1" x="1041"/>
        <item m="1" x="734"/>
        <item m="1" x="1042"/>
        <item m="1" x="1309"/>
        <item m="1" x="1399"/>
        <item m="1" x="1547"/>
        <item m="1" x="2186"/>
        <item m="1" x="344"/>
        <item m="1" x="94"/>
        <item m="1" x="2187"/>
        <item m="1" x="2188"/>
        <item m="1" x="983"/>
        <item m="1" x="2041"/>
        <item m="1" x="547"/>
        <item m="1" x="1359"/>
        <item m="1" x="1303"/>
        <item m="1" x="1552"/>
        <item m="1" x="981"/>
        <item m="1" x="54"/>
        <item m="1" x="255"/>
        <item m="1" x="497"/>
        <item m="1" x="2190"/>
        <item m="1" x="2191"/>
        <item m="1" x="2192"/>
        <item m="1" x="2650"/>
        <item m="1" x="621"/>
        <item m="1" x="1045"/>
        <item m="1" x="880"/>
        <item m="1" x="1046"/>
        <item m="1" x="274"/>
        <item m="1" x="1047"/>
        <item m="1" x="2193"/>
        <item m="1" x="1049"/>
        <item m="1" x="1050"/>
        <item m="1" x="1962"/>
        <item m="1" x="735"/>
        <item m="1" x="2194"/>
        <item m="1" x="2083"/>
        <item m="1" x="2682"/>
        <item m="1" x="287"/>
        <item m="1" x="432"/>
        <item m="1" x="472"/>
        <item m="1" x="1868"/>
        <item m="1" x="419"/>
        <item m="1" x="2389"/>
        <item m="1" x="1052"/>
        <item m="1" x="1053"/>
        <item m="1" x="2618"/>
        <item m="1" x="2637"/>
        <item m="1" x="2641"/>
        <item m="1" x="366"/>
        <item m="1" x="296"/>
        <item m="1" x="1218"/>
        <item m="1" x="1151"/>
        <item m="1" x="620"/>
        <item m="1" x="1344"/>
        <item m="1" x="1203"/>
        <item m="1" x="2195"/>
        <item m="1" x="736"/>
        <item m="1" x="538"/>
        <item m="1" x="2196"/>
        <item m="1" x="1200"/>
        <item m="1" x="1873"/>
        <item m="1" x="1744"/>
        <item m="1" x="2197"/>
        <item m="1" x="1505"/>
        <item m="1" x="622"/>
        <item m="1" x="2261"/>
        <item m="1" x="2000"/>
        <item m="1" x="374"/>
        <item m="1" x="1741"/>
        <item m="1" x="1948"/>
        <item m="1" x="1056"/>
        <item m="1" x="304"/>
        <item m="1" x="498"/>
        <item m="1" x="737"/>
        <item m="1" x="2042"/>
        <item m="1" x="2198"/>
        <item m="1" x="1643"/>
        <item m="1" x="1475"/>
        <item m="1" x="738"/>
        <item m="1" x="1058"/>
        <item m="1" x="1863"/>
        <item m="1" x="2635"/>
        <item m="1" x="97"/>
        <item m="1" x="739"/>
        <item m="1" x="516"/>
        <item m="1" x="807"/>
        <item m="1" x="2651"/>
        <item m="1" x="2115"/>
        <item m="1" x="625"/>
        <item m="1" x="1978"/>
        <item m="1" x="2043"/>
        <item m="1" x="895"/>
        <item m="1" x="626"/>
        <item m="1" x="1063"/>
        <item m="1" x="1253"/>
        <item m="1" x="1393"/>
        <item m="1" x="1020"/>
        <item m="1" x="492"/>
        <item m="1" x="1804"/>
        <item m="1" x="2085"/>
        <item m="1" x="1900"/>
        <item m="1" x="1886"/>
        <item m="1" x="573"/>
        <item m="1" x="2638"/>
        <item m="1" x="628"/>
        <item m="1" x="2508"/>
        <item m="1" x="464"/>
        <item m="1" x="1224"/>
        <item m="1" x="2002"/>
        <item m="1" x="1500"/>
        <item m="1" x="2199"/>
        <item m="1" x="448"/>
        <item m="1" x="412"/>
        <item m="1" x="98"/>
        <item m="1" x="1575"/>
        <item m="1" x="2601"/>
        <item m="1" x="1508"/>
        <item m="1" x="741"/>
        <item m="1" x="2200"/>
        <item m="1" x="175"/>
        <item m="1" x="1349"/>
        <item m="1" x="1622"/>
        <item m="1" x="2080"/>
        <item m="1" x="806"/>
        <item m="1" x="1981"/>
        <item m="1" x="594"/>
        <item m="1" x="2201"/>
        <item m="1" x="1947"/>
        <item m="1" x="1069"/>
        <item sd="0" m="1" x="47"/>
        <item m="1" x="1382"/>
        <item m="1" x="1701"/>
        <item m="1" x="2681"/>
        <item m="1" x="1355"/>
        <item m="1" x="2202"/>
        <item m="1" x="1364"/>
        <item m="1" x="743"/>
        <item m="1" x="1072"/>
        <item m="1" x="1327"/>
        <item m="1" x="1240"/>
        <item m="1" x="250"/>
        <item m="1" x="2704"/>
        <item sd="0" m="1" x="301"/>
        <item sd="0" m="1" x="2726"/>
        <item m="1" x="2572"/>
        <item m="1" x="744"/>
        <item m="1" x="2018"/>
        <item m="1" x="1073"/>
        <item m="1" x="745"/>
        <item m="1" x="746"/>
        <item m="1" x="2204"/>
        <item m="1" x="1137"/>
        <item m="1" x="2205"/>
        <item m="1" x="529"/>
        <item m="1" x="577"/>
        <item m="1" x="215"/>
        <item m="1" x="499"/>
        <item m="1" x="1418"/>
        <item m="1" x="1940"/>
        <item m="1" x="474"/>
        <item m="1" x="986"/>
        <item m="1" x="72"/>
        <item m="1" x="1388"/>
        <item m="1" x="2206"/>
        <item m="1" x="99"/>
        <item m="1" x="1330"/>
        <item m="1" x="1237"/>
        <item m="1" x="1282"/>
        <item m="1" x="1294"/>
        <item m="1" x="2207"/>
        <item m="1" x="2208"/>
        <item m="1" x="811"/>
        <item m="1" x="747"/>
        <item m="1" x="1310"/>
        <item m="1" x="2081"/>
        <item m="1" x="1771"/>
        <item m="1" x="449"/>
        <item m="1" x="1341"/>
        <item m="1" x="1878"/>
        <item m="1" x="159"/>
        <item m="1" x="576"/>
        <item m="1" x="551"/>
        <item m="1" x="2209"/>
        <item m="1" x="2003"/>
        <item m="1" x="1078"/>
        <item m="1" x="2210"/>
        <item m="1" x="1453"/>
        <item m="1" x="1935"/>
        <item m="1" x="251"/>
        <item m="1" x="1574"/>
        <item m="1" x="1306"/>
        <item m="1" x="1905"/>
        <item m="1" x="1652"/>
        <item m="1" x="313"/>
        <item sd="0" m="1" x="631"/>
        <item m="1" x="1079"/>
        <item m="1" x="526"/>
        <item m="1" x="1757"/>
        <item m="1" x="2211"/>
        <item m="1" x="1037"/>
        <item m="1" x="561"/>
        <item m="1" x="926"/>
        <item m="1" x="2577"/>
        <item m="1" x="2212"/>
        <item m="1" x="1360"/>
        <item m="1" x="2086"/>
        <item m="1" x="1377"/>
        <item m="1" x="2213"/>
        <item m="1" x="100"/>
        <item m="1" x="476"/>
        <item m="1" x="1336"/>
        <item m="1" x="1907"/>
        <item m="1" x="1956"/>
        <item m="1" x="1909"/>
        <item m="1" x="452"/>
        <item m="1" x="109"/>
        <item m="1" x="399"/>
        <item m="1" x="1083"/>
        <item m="1" x="2214"/>
        <item m="1" x="1085"/>
        <item m="1" x="748"/>
        <item m="1" x="2215"/>
        <item m="1" x="2589"/>
        <item m="1" x="1087"/>
        <item m="1" x="254"/>
        <item m="1" x="2563"/>
        <item m="1" x="749"/>
        <item m="1" x="1088"/>
        <item m="1" x="2581"/>
        <item m="1" x="81"/>
        <item m="1" x="1095"/>
        <item m="1" x="158"/>
        <item m="1" x="950"/>
        <item m="1" x="979"/>
        <item m="1" x="1098"/>
        <item sd="0" m="1" x="2571"/>
        <item m="1" x="1084"/>
        <item x="38"/>
        <item m="1" x="2630"/>
        <item m="1" x="103"/>
        <item m="1" x="2716"/>
        <item m="1" x="633"/>
        <item m="1" x="1438"/>
        <item m="1" x="1147"/>
        <item m="1" x="1520"/>
        <item m="1" x="1149"/>
        <item m="1" x="102"/>
        <item m="1" x="1091"/>
        <item m="1" x="115"/>
        <item sd="0" m="1" x="116"/>
        <item m="1" x="1152"/>
        <item m="1" x="618"/>
        <item m="1" x="1380"/>
        <item m="1" x="117"/>
        <item m="1" x="649"/>
        <item m="1" x="648"/>
        <item m="1" x="1089"/>
        <item m="1" x="2670"/>
        <item m="1" x="2216"/>
        <item m="1" x="1090"/>
        <item m="1" x="2004"/>
        <item m="1" x="1021"/>
        <item m="1" x="523"/>
        <item m="1" x="578"/>
        <item m="1" x="1764"/>
        <item m="1" x="908"/>
        <item m="1" x="2560"/>
        <item m="1" x="1803"/>
        <item m="1" x="2242"/>
        <item m="1" x="49"/>
        <item m="1" x="2044"/>
        <item m="1" x="1397"/>
        <item m="1" x="2649"/>
        <item m="1" x="2217"/>
        <item m="1" x="1163"/>
        <item m="1" x="148"/>
        <item m="1" x="2596"/>
        <item m="1" x="167"/>
        <item m="1" x="970"/>
        <item m="1" x="1094"/>
        <item m="1" x="2218"/>
        <item m="1" x="1898"/>
        <item m="1" x="2219"/>
        <item m="1" x="883"/>
        <item m="1" x="873"/>
        <item m="1" x="2600"/>
        <item m="1" x="2380"/>
        <item m="1" x="1932"/>
        <item m="1" x="1062"/>
        <item m="1" x="2220"/>
        <item m="1" x="1952"/>
        <item m="1" x="1082"/>
        <item m="1" x="1289"/>
        <item sd="0" m="1" x="2721"/>
        <item m="1" x="106"/>
        <item m="1" x="360"/>
        <item m="1" x="1998"/>
        <item m="1" x="2339"/>
        <item m="1" x="2667"/>
        <item m="1" x="545"/>
        <item m="1" x="2087"/>
        <item m="1" x="751"/>
        <item m="1" x="107"/>
        <item m="1" x="509"/>
        <item m="1" x="259"/>
        <item m="1" x="1097"/>
        <item m="1" x="1080"/>
        <item x="10"/>
        <item m="1" x="2559"/>
        <item m="1" x="1621"/>
        <item m="1" x="753"/>
        <item m="1" x="331"/>
        <item m="1" x="932"/>
        <item x="22"/>
        <item x="1"/>
        <item m="1" x="2221"/>
        <item m="1" x="2222"/>
        <item m="1" x="369"/>
        <item m="1" x="453"/>
        <item m="1" x="58"/>
        <item m="1" x="437"/>
        <item m="1" x="1687"/>
        <item m="1" x="1099"/>
        <item m="1" x="2224"/>
        <item m="1" x="2045"/>
        <item m="1" x="2608"/>
        <item m="1" x="1783"/>
        <item m="1" x="1885"/>
        <item m="1" x="636"/>
        <item m="1" x="108"/>
        <item m="1" x="52"/>
        <item m="1" x="1103"/>
        <item x="18"/>
        <item m="1" x="1993"/>
        <item m="1" x="2016"/>
        <item m="1" x="1911"/>
        <item m="1" x="593"/>
        <item m="1" x="754"/>
        <item m="1" x="755"/>
        <item m="1" x="407"/>
        <item m="1" x="356"/>
        <item m="1" x="1104"/>
        <item m="1" x="2225"/>
        <item m="1" x="1105"/>
        <item m="1" x="756"/>
        <item m="1" x="2158"/>
        <item m="1" x="752"/>
        <item m="1" x="2046"/>
        <item m="1" x="2226"/>
        <item m="1" x="1913"/>
        <item m="1" x="2150"/>
        <item m="1" x="919"/>
        <item m="1" x="2020"/>
        <item m="1" x="208"/>
        <item m="1" x="1708"/>
        <item m="1" x="1111"/>
        <item m="1" x="454"/>
        <item m="1" x="1112"/>
        <item m="1" x="309"/>
        <item m="1" x="1869"/>
        <item m="1" x="302"/>
        <item m="1" x="852"/>
        <item m="1" x="1205"/>
        <item m="1" x="1113"/>
        <item m="1" x="713"/>
        <item m="1" x="638"/>
        <item m="1" x="1210"/>
        <item m="1" x="1070"/>
        <item m="1" x="1805"/>
        <item m="1" x="1806"/>
        <item m="1" x="216"/>
        <item m="1" x="1809"/>
        <item m="1" x="875"/>
        <item m="1" x="2669"/>
        <item m="1" x="1126"/>
        <item m="1" x="110"/>
        <item m="1" x="1054"/>
        <item m="1" x="1830"/>
        <item m="1" x="1832"/>
        <item m="1" x="1818"/>
        <item m="1" x="1106"/>
        <item x="19"/>
        <item m="1" x="1043"/>
        <item m="1" x="1712"/>
        <item x="33"/>
        <item m="1" x="1615"/>
        <item m="1" x="1810"/>
        <item m="1" x="1114"/>
        <item m="1" x="1143"/>
        <item m="1" x="1535"/>
        <item m="1" x="1812"/>
        <item m="1" x="2088"/>
        <item m="1" x="1813"/>
        <item m="1" x="111"/>
        <item m="1" x="2228"/>
        <item m="1" x="1000"/>
        <item m="1" x="2229"/>
        <item m="1" x="2578"/>
        <item m="1" x="2230"/>
        <item m="1" x="1030"/>
        <item m="1" x="2564"/>
        <item m="1" x="946"/>
        <item m="1" x="2231"/>
        <item m="1" x="50"/>
        <item m="1" x="378"/>
        <item m="1" x="2232"/>
        <item m="1" x="2456"/>
        <item m="1" x="276"/>
        <item m="1" x="758"/>
        <item m="1" x="1010"/>
        <item m="1" x="1120"/>
        <item m="1" x="900"/>
        <item m="1" x="2663"/>
        <item m="1" x="2233"/>
        <item m="1" x="1015"/>
        <item m="1" x="1026"/>
        <item m="1" x="641"/>
        <item m="1" x="642"/>
        <item m="1" x="597"/>
        <item m="1" x="2606"/>
        <item m="1" x="643"/>
        <item m="1" x="1918"/>
        <item m="1" x="635"/>
        <item m="1" x="1123"/>
        <item m="1" x="2234"/>
        <item m="1" x="112"/>
        <item m="1" x="1742"/>
        <item m="1" x="878"/>
        <item m="1" x="2235"/>
        <item m="1" x="1984"/>
        <item m="1" x="2007"/>
        <item m="1" x="2236"/>
        <item m="1" x="759"/>
        <item m="1" x="933"/>
        <item m="1" x="436"/>
        <item m="1" x="2664"/>
        <item m="1" x="2078"/>
        <item m="1" x="1775"/>
        <item m="1" x="2586"/>
        <item m="1" x="475"/>
        <item m="1" x="1109"/>
        <item m="1" x="2674"/>
        <item m="1" x="2657"/>
        <item m="1" x="1700"/>
        <item m="1" x="539"/>
        <item m="1" x="455"/>
        <item m="1" x="952"/>
        <item m="1" x="315"/>
        <item m="1" x="408"/>
        <item m="1" x="867"/>
        <item m="1" x="2506"/>
        <item m="1" x="114"/>
        <item m="1" x="2237"/>
        <item m="1" x="1402"/>
        <item m="1" x="164"/>
        <item m="1" x="645"/>
        <item m="1" x="1638"/>
        <item m="1" x="1139"/>
        <item m="1" x="1146"/>
        <item m="1" x="554"/>
        <item m="1" x="2634"/>
        <item m="1" x="994"/>
        <item m="1" x="2465"/>
        <item m="1" x="1406"/>
        <item m="1" x="1236"/>
        <item m="1" x="1959"/>
        <item m="1" x="1247"/>
        <item m="1" x="1481"/>
        <item m="1" x="1876"/>
        <item m="1" x="1141"/>
        <item m="1" x="1065"/>
        <item m="1" x="646"/>
        <item sd="0" m="1" x="2731"/>
        <item m="1" x="1573"/>
        <item m="1" x="647"/>
        <item m="1" x="2239"/>
        <item m="1" x="126"/>
        <item m="1" x="96"/>
        <item m="1" x="1329"/>
        <item m="1" x="760"/>
        <item m="1" x="1270"/>
        <item m="1" x="2558"/>
        <item m="1" x="869"/>
        <item m="1" x="1145"/>
        <item m="1" x="1510"/>
        <item x="20"/>
        <item m="1" x="1175"/>
        <item m="1" x="1795"/>
        <item m="1" x="1124"/>
        <item m="1" x="1802"/>
        <item sd="0" x="7"/>
        <item x="37"/>
        <item m="1" x="1298"/>
        <item m="1" x="1339"/>
        <item m="1" x="1816"/>
        <item m="1" x="1762"/>
        <item m="1" x="1532"/>
        <item m="1" x="2240"/>
        <item m="1" x="871"/>
        <item m="1" x="2718"/>
        <item m="1" x="91"/>
        <item m="1" x="2241"/>
        <item m="1" x="2030"/>
        <item m="1" x="1672"/>
        <item m="1" x="761"/>
        <item m="1" x="2089"/>
        <item m="1" x="2227"/>
        <item m="1" x="762"/>
        <item m="1" x="1148"/>
        <item m="1" x="316"/>
        <item m="1" x="2633"/>
        <item m="1" x="1242"/>
        <item m="1" x="260"/>
        <item m="1" x="1412"/>
        <item m="1" x="1384"/>
        <item m="1" x="763"/>
        <item m="1" x="1682"/>
        <item m="1" x="385"/>
        <item m="1" x="591"/>
        <item m="1" x="1565"/>
        <item m="1" x="2243"/>
        <item m="1" x="1153"/>
        <item m="1" x="500"/>
        <item m="1" x="2552"/>
        <item m="1" x="217"/>
        <item m="1" x="1229"/>
        <item m="1" x="373"/>
        <item m="1" x="433"/>
        <item m="1" x="2632"/>
        <item m="1" x="1092"/>
        <item m="1" x="1241"/>
        <item m="1" x="1743"/>
        <item sd="0" m="1" x="244"/>
        <item m="1" x="444"/>
        <item m="1" x="2047"/>
        <item m="1" x="1403"/>
        <item m="1" x="1644"/>
        <item m="1" x="1158"/>
        <item m="1" x="1612"/>
        <item m="1" x="372"/>
        <item m="1" x="2588"/>
        <item m="1" x="1872"/>
        <item m="1" x="1478"/>
        <item m="1" x="2244"/>
        <item m="1" x="1865"/>
        <item m="1" x="319"/>
        <item m="1" x="303"/>
        <item m="1" x="1879"/>
        <item m="1" x="2351"/>
        <item m="1" x="1875"/>
        <item sd="0" m="1" x="2090"/>
        <item m="1" x="2245"/>
        <item m="1" x="2072"/>
        <item m="1" x="2374"/>
        <item m="1" x="2091"/>
        <item m="1" x="311"/>
        <item m="1" x="2246"/>
        <item m="1" x="2247"/>
        <item m="1" x="333"/>
        <item m="1" x="765"/>
        <item m="1" x="1318"/>
        <item m="1" x="2248"/>
        <item m="1" x="1276"/>
        <item m="1" x="650"/>
        <item m="1" x="2557"/>
        <item m="1" x="997"/>
        <item m="1" x="1130"/>
        <item m="1" x="2249"/>
        <item m="1" x="1362"/>
        <item m="1" x="1836"/>
        <item m="1" x="131"/>
        <item m="1" x="202"/>
        <item m="1" x="2250"/>
        <item m="1" x="321"/>
        <item m="1" x="146"/>
        <item m="1" x="2697"/>
        <item m="1" x="652"/>
        <item m="1" x="740"/>
        <item m="1" x="920"/>
        <item m="1" x="291"/>
        <item m="1" x="1170"/>
        <item m="1" x="513"/>
        <item m="1" x="2251"/>
        <item m="1" x="1899"/>
        <item m="1" x="766"/>
        <item sd="0" m="1" x="456"/>
        <item m="1" x="1171"/>
        <item m="1" x="2687"/>
        <item m="1" x="1172"/>
        <item m="1" x="1439"/>
        <item m="1" x="2252"/>
        <item m="1" x="1544"/>
        <item m="1" x="2143"/>
        <item m="1" x="653"/>
        <item m="1" x="615"/>
        <item m="1" x="2615"/>
        <item m="1" x="550"/>
        <item m="1" x="1174"/>
        <item m="1" x="2253"/>
        <item m="1" x="2254"/>
        <item sd="0" m="1" x="445"/>
        <item m="1" x="290"/>
        <item m="1" x="1305"/>
        <item m="1" x="1930"/>
        <item m="1" x="767"/>
        <item m="1" x="992"/>
        <item m="1" x="2565"/>
        <item m="1" x="2658"/>
        <item m="1" x="1915"/>
        <item m="1" x="1221"/>
        <item m="1" x="411"/>
        <item m="1" x="2257"/>
        <item m="1" x="1211"/>
        <item m="1" x="2258"/>
        <item m="1" x="1931"/>
        <item m="1" x="84"/>
        <item m="1" x="1745"/>
        <item m="1" x="1135"/>
        <item m="1" x="2092"/>
        <item m="1" x="654"/>
        <item m="1" x="1413"/>
        <item m="1" x="1131"/>
        <item m="1" x="1215"/>
        <item m="1" x="947"/>
        <item m="1" x="1668"/>
        <item m="1" x="1179"/>
        <item m="1" x="85"/>
        <item m="1" x="553"/>
        <item m="1" x="768"/>
        <item m="1" x="1194"/>
        <item sd="0" x="31"/>
        <item m="1" x="1140"/>
        <item m="1" x="655"/>
        <item m="1" x="233"/>
        <item m="1" x="769"/>
        <item x="27"/>
        <item m="1" x="1627"/>
        <item m="1" x="945"/>
        <item m="1" x="1746"/>
        <item m="1" x="322"/>
        <item m="1" x="1747"/>
        <item m="1" x="1664"/>
        <item m="1" x="1515"/>
        <item m="1" x="1600"/>
        <item m="1" x="1181"/>
        <item m="1" x="1877"/>
        <item m="1" x="2073"/>
        <item m="1" x="891"/>
        <item m="1" x="574"/>
        <item m="1" x="2262"/>
        <item m="1" x="1748"/>
        <item m="1" x="570"/>
        <item m="1" x="2093"/>
        <item m="1" x="2263"/>
        <item m="1" x="1183"/>
        <item m="1" x="2642"/>
        <item m="1" x="171"/>
        <item sd="0" m="1" x="256"/>
        <item m="1" x="1405"/>
        <item m="1" x="1531"/>
        <item m="1" x="488"/>
        <item m="1" x="443"/>
        <item m="1" x="122"/>
        <item m="1" x="1186"/>
        <item m="1" x="2264"/>
        <item m="1" x="326"/>
        <item m="1" x="2265"/>
        <item m="1" x="327"/>
        <item m="1" x="978"/>
        <item m="1" x="2266"/>
        <item m="1" x="248"/>
        <item m="1" x="534"/>
        <item m="1" x="1506"/>
        <item m="1" x="2077"/>
        <item m="1" x="1498"/>
        <item m="1" x="1287"/>
        <item m="1" x="156"/>
        <item m="1" x="394"/>
        <item m="1" x="1361"/>
        <item m="1" x="1592"/>
        <item m="1" x="1492"/>
        <item m="1" x="1468"/>
        <item m="1" x="2580"/>
        <item m="1" x="1568"/>
        <item m="1" x="2026"/>
        <item m="1" x="664"/>
        <item m="1" x="1955"/>
        <item m="1" x="2267"/>
        <item m="1" x="295"/>
        <item m="1" x="1191"/>
        <item m="1" x="1729"/>
        <item m="1" x="771"/>
        <item m="1" x="1195"/>
        <item m="1" x="1571"/>
        <item m="1" x="2094"/>
        <item m="1" x="2015"/>
        <item m="1" x="2524"/>
        <item m="1" x="2271"/>
        <item m="1" x="1789"/>
        <item m="1" x="306"/>
        <item m="1" x="1954"/>
        <item m="1" x="865"/>
        <item m="1" x="1835"/>
        <item m="1" x="801"/>
        <item m="1" x="1790"/>
        <item m="1" x="2272"/>
        <item m="1" x="1774"/>
        <item m="1" x="1653"/>
        <item m="1" x="1441"/>
        <item m="1" x="2095"/>
        <item m="1" x="2274"/>
        <item m="1" x="1793"/>
        <item m="1" x="990"/>
        <item m="1" x="2273"/>
        <item m="1" x="1819"/>
        <item m="1" x="2275"/>
        <item m="1" x="2076"/>
        <item m="1" x="2276"/>
        <item m="1" x="1204"/>
        <item m="1" x="1526"/>
        <item m="1" x="2145"/>
        <item m="1" x="1503"/>
        <item m="1" x="560"/>
        <item m="1" x="1550"/>
        <item m="1" x="872"/>
        <item m="1" x="2277"/>
        <item m="1" x="1425"/>
        <item m="1" x="1340"/>
        <item m="1" x="1167"/>
        <item m="1" x="2278"/>
        <item m="1" x="2279"/>
        <item m="1" x="772"/>
        <item m="1" x="728"/>
        <item m="1" x="658"/>
        <item m="1" x="1176"/>
        <item m="1" x="1315"/>
        <item m="1" x="2096"/>
        <item m="1" x="123"/>
        <item m="1" x="1337"/>
        <item m="1" x="270"/>
        <item m="1" x="2280"/>
        <item m="1" x="125"/>
        <item m="1" x="2074"/>
        <item m="1" x="2281"/>
        <item m="1" x="2282"/>
        <item m="1" x="659"/>
        <item m="1" x="1450"/>
        <item m="1" x="2283"/>
        <item m="1" x="925"/>
        <item m="1" x="1470"/>
        <item m="1" x="1209"/>
        <item m="1" x="660"/>
        <item m="1" x="2550"/>
        <item m="1" x="2648"/>
        <item m="1" x="2345"/>
        <item m="1" x="2097"/>
        <item m="1" x="2048"/>
        <item x="0"/>
        <item m="1" x="1497"/>
        <item m="1" x="2627"/>
        <item m="1" x="1763"/>
        <item m="1" x="1212"/>
        <item m="1" x="410"/>
        <item m="1" x="1961"/>
        <item m="1" x="917"/>
        <item m="1" x="988"/>
        <item m="1" x="1197"/>
        <item m="1" x="2284"/>
        <item m="1" x="1213"/>
        <item m="1" x="773"/>
        <item m="1" x="1214"/>
        <item m="1" x="1686"/>
        <item m="1" x="218"/>
        <item m="1" x="1509"/>
        <item m="1" x="724"/>
        <item m="1" x="1557"/>
        <item m="1" x="330"/>
        <item m="1" x="1216"/>
        <item m="1" x="457"/>
        <item m="1" x="1162"/>
        <item m="1" x="2285"/>
        <item m="1" x="2155"/>
        <item m="1" x="2286"/>
        <item m="1" x="2579"/>
        <item m="1" x="1219"/>
        <item m="1" x="2287"/>
        <item m="1" x="2098"/>
        <item m="1" x="2288"/>
        <item m="1" x="1466"/>
        <item m="1" x="2612"/>
        <item m="1" x="2049"/>
        <item m="1" x="176"/>
        <item m="1" x="1749"/>
        <item m="1" x="1455"/>
        <item m="1" x="458"/>
        <item m="1" x="1933"/>
        <item m="1" x="1658"/>
        <item m="1" x="775"/>
        <item m="1" x="459"/>
        <item m="1" x="129"/>
        <item m="1" x="219"/>
        <item m="1" x="2180"/>
        <item m="1" x="750"/>
        <item m="1" x="1044"/>
        <item m="1" x="661"/>
        <item m="1" x="663"/>
        <item m="1" x="809"/>
        <item m="1" x="130"/>
        <item m="1" x="585"/>
        <item m="1" x="1624"/>
        <item m="1" x="943"/>
        <item m="1" x="80"/>
        <item m="1" x="1817"/>
        <item m="1" x="2289"/>
        <item m="1" x="1997"/>
        <item m="1" x="960"/>
        <item m="1" x="665"/>
        <item m="1" x="505"/>
        <item m="1" x="2100"/>
        <item m="1" x="332"/>
        <item m="1" x="776"/>
        <item m="1" x="2290"/>
        <item m="1" x="2291"/>
        <item m="1" x="1169"/>
        <item m="1" x="1022"/>
        <item m="1" x="2101"/>
        <item m="1" x="2710"/>
        <item m="1" x="2292"/>
        <item m="1" x="182"/>
        <item m="1" x="48"/>
        <item m="1" x="2269"/>
        <item m="1" x="607"/>
        <item m="1" x="2388"/>
        <item m="1" x="252"/>
        <item m="1" x="2692"/>
        <item m="1" x="320"/>
        <item m="1" x="863"/>
        <item m="1" x="2293"/>
        <item m="1" x="1436"/>
        <item m="1" x="2102"/>
        <item m="1" x="376"/>
        <item m="1" x="2513"/>
        <item m="1" x="359"/>
        <item m="1" x="2147"/>
        <item m="1" x="2154"/>
        <item m="1" x="662"/>
        <item m="1" x="334"/>
        <item m="1" x="235"/>
        <item m="1" x="2103"/>
        <item m="1" x="76"/>
        <item m="1" x="1919"/>
        <item m="1" x="405"/>
        <item m="1" x="2534"/>
        <item m="1" x="2104"/>
        <item m="1" x="2294"/>
        <item m="1" x="1972"/>
        <item m="1" x="1228"/>
        <item m="1" x="1788"/>
        <item x="46"/>
        <item m="1" x="1189"/>
        <item m="1" x="462"/>
        <item m="1" x="1901"/>
        <item m="1" x="777"/>
        <item m="1" x="2592"/>
        <item m="1" x="335"/>
        <item m="1" x="2295"/>
        <item m="1" x="2296"/>
        <item m="1" x="612"/>
        <item m="1" x="1027"/>
        <item m="1" x="363"/>
        <item m="1" x="1750"/>
        <item m="1" x="1230"/>
        <item m="1" x="1799"/>
        <item m="1" x="1231"/>
        <item m="1" x="2297"/>
        <item m="1" x="1936"/>
        <item m="1" x="579"/>
        <item m="1" x="220"/>
        <item m="1" x="666"/>
        <item m="1" x="391"/>
        <item m="1" x="2724"/>
        <item m="1" x="2701"/>
        <item m="1" x="2656"/>
        <item m="1" x="778"/>
        <item m="1" x="1675"/>
        <item m="1" x="2298"/>
        <item m="1" x="53"/>
        <item m="1" x="1820"/>
        <item m="1" x="1232"/>
        <item m="1" x="1853"/>
        <item m="1" x="1469"/>
        <item m="1" x="61"/>
        <item m="1" x="1884"/>
        <item m="1" x="1941"/>
        <item m="1" x="623"/>
        <item m="1" x="2386"/>
        <item m="1" x="1263"/>
        <item m="1" x="1971"/>
        <item m="1" x="1039"/>
        <item m="1" x="1233"/>
        <item m="1" x="530"/>
        <item m="1" x="1892"/>
        <item m="1" x="2300"/>
        <item m="1" x="1165"/>
        <item m="1" x="1507"/>
        <item m="1" x="779"/>
        <item m="1" x="2645"/>
        <item m="1" x="2106"/>
        <item m="1" x="358"/>
        <item m="1" x="2301"/>
        <item m="1" x="1386"/>
        <item m="1" x="1822"/>
        <item m="1" x="1235"/>
        <item m="1" x="318"/>
        <item m="1" x="2302"/>
        <item m="1" x="1009"/>
        <item m="1" x="1108"/>
        <item m="1" x="2303"/>
        <item m="1" x="2304"/>
        <item m="1" x="1437"/>
        <item m="1" x="581"/>
        <item m="1" x="1100"/>
        <item m="1" x="1071"/>
        <item m="1" x="2305"/>
        <item m="1" x="370"/>
        <item m="1" x="1259"/>
        <item m="1" x="59"/>
        <item m="1" x="1683"/>
        <item m="1" x="336"/>
        <item m="1" x="60"/>
        <item m="1" x="337"/>
        <item m="1" x="2306"/>
        <item m="1" x="1245"/>
        <item m="1" x="2307"/>
        <item m="1" x="268"/>
        <item m="1" x="512"/>
        <item m="1" x="1177"/>
        <item m="1" x="868"/>
        <item m="1" x="667"/>
        <item m="1" x="1516"/>
        <item m="1" x="494"/>
        <item m="1" x="1238"/>
        <item m="1" x="388"/>
        <item m="1" x="283"/>
        <item m="1" x="104"/>
        <item m="1" x="1513"/>
        <item m="1" x="2107"/>
        <item m="1" x="1539"/>
        <item m="1" x="537"/>
        <item m="1" x="1752"/>
        <item m="1" x="101"/>
        <item m="1" x="195"/>
        <item m="1" x="338"/>
        <item m="1" x="668"/>
        <item m="1" x="1193"/>
        <item m="1" x="438"/>
        <item m="1" x="221"/>
        <item x="32"/>
        <item m="1" x="2309"/>
        <item m="1" x="2310"/>
        <item m="1" x="1679"/>
        <item m="1" x="2311"/>
        <item m="1" x="948"/>
        <item m="1" x="1928"/>
        <item m="1" x="1551"/>
        <item m="1" x="288"/>
        <item m="1" x="273"/>
        <item m="1" x="1711"/>
        <item m="1" x="185"/>
        <item m="1" x="1461"/>
        <item m="1" x="1239"/>
        <item m="1" x="1937"/>
        <item m="1" x="903"/>
        <item m="1" x="692"/>
        <item m="1" x="506"/>
        <item m="1" x="2312"/>
        <item m="1" x="2313"/>
        <item m="1" x="669"/>
        <item m="1" x="876"/>
        <item m="1" x="2314"/>
        <item m="1" x="1244"/>
        <item m="1" x="2108"/>
        <item m="1" x="1420"/>
        <item m="1" x="2315"/>
        <item m="1" x="1992"/>
        <item m="1" x="826"/>
        <item m="1" x="2567"/>
        <item m="1" x="774"/>
        <item m="1" x="75"/>
        <item m="1" x="1246"/>
        <item m="1" x="2317"/>
        <item m="1" x="2318"/>
        <item m="1" x="672"/>
        <item m="1" x="2319"/>
        <item m="1" x="1645"/>
        <item m="1" x="2017"/>
        <item m="1" x="1248"/>
        <item m="1" x="1249"/>
        <item m="1" x="781"/>
        <item m="1" x="1250"/>
        <item m="1" x="1060"/>
        <item m="1" x="671"/>
        <item m="1" x="1252"/>
        <item m="1" x="1880"/>
        <item m="1" x="1286"/>
        <item x="6"/>
        <item m="1" x="348"/>
        <item m="1" x="2320"/>
        <item m="1" x="1243"/>
        <item m="1" x="354"/>
        <item m="1" x="2179"/>
        <item m="1" x="2321"/>
        <item m="1" x="1440"/>
        <item m="1" x="884"/>
        <item m="1" x="629"/>
        <item m="1" x="2152"/>
        <item m="1" x="764"/>
        <item m="1" x="782"/>
        <item m="1" x="2322"/>
        <item m="1" x="783"/>
        <item m="1" x="1371"/>
        <item m="1" x="2323"/>
        <item m="1" x="971"/>
        <item m="1" x="1304"/>
        <item m="1" x="2324"/>
        <item m="1" x="1921"/>
        <item m="1" x="368"/>
        <item m="1" x="279"/>
        <item m="1" x="57"/>
        <item m="1" x="2325"/>
        <item m="1" x="240"/>
        <item m="1" x="286"/>
        <item m="1" x="1589"/>
        <item m="1" x="1271"/>
        <item m="1" x="294"/>
        <item m="1" x="549"/>
        <item m="1" x="784"/>
        <item m="1" x="1602"/>
        <item m="1" x="2326"/>
        <item m="1" x="1546"/>
        <item m="1" x="1487"/>
        <item m="1" x="1419"/>
        <item m="1" x="281"/>
        <item m="1" x="566"/>
        <item m="1" x="341"/>
        <item m="1" x="2554"/>
        <item m="1" x="1740"/>
        <item m="1" x="460"/>
        <item m="1" x="1897"/>
        <item m="1" x="1255"/>
        <item m="1" x="785"/>
        <item m="1" x="786"/>
        <item m="1" x="2598"/>
        <item m="1" x="477"/>
        <item m="1" x="1753"/>
        <item m="1" x="2056"/>
        <item m="1" x="417"/>
        <item x="4"/>
        <item m="1" x="2075"/>
        <item m="1" x="1093"/>
        <item sd="0" m="1" x="2737"/>
        <item m="1" x="590"/>
        <item m="1" x="2707"/>
        <item m="1" x="1057"/>
        <item m="1" x="599"/>
        <item m="1" x="1654"/>
        <item m="1" x="1257"/>
        <item m="1" x="788"/>
        <item m="1" x="1754"/>
        <item m="1" x="536"/>
        <item m="1" x="1258"/>
        <item m="1" x="2327"/>
        <item m="1" x="789"/>
        <item m="1" x="567"/>
        <item m="1" x="2328"/>
        <item m="1" x="2329"/>
        <item m="1" x="439"/>
        <item m="1" x="406"/>
        <item m="1" x="269"/>
        <item m="1" x="1208"/>
        <item m="1" x="1261"/>
        <item m="1" x="1262"/>
        <item m="1" x="592"/>
        <item m="1" x="1522"/>
        <item m="1" x="791"/>
        <item m="1" x="1614"/>
        <item m="1" x="1871"/>
        <item m="1" x="2109"/>
        <item m="1" x="1825"/>
        <item m="1" x="559"/>
        <item m="1" x="1591"/>
        <item m="1" x="580"/>
        <item m="1" x="1369"/>
        <item m="1" x="548"/>
        <item m="1" x="1192"/>
        <item sd="0" m="1" x="2105"/>
        <item m="1" x="1256"/>
        <item m="1" x="673"/>
        <item m="1" x="899"/>
        <item m="1" x="1264"/>
        <item m="1" x="1265"/>
        <item m="1" x="1824"/>
        <item m="1" x="2110"/>
        <item x="8"/>
        <item m="1" x="511"/>
        <item m="1" x="546"/>
        <item m="1" x="64"/>
        <item m="1" x="1201"/>
        <item m="1" x="1266"/>
        <item m="1" x="792"/>
        <item m="1" x="1982"/>
        <item x="44"/>
        <item m="1" x="1577"/>
        <item m="1" x="1613"/>
        <item m="1" x="2330"/>
        <item m="1" x="793"/>
        <item m="1" x="2464"/>
        <item m="1" x="2084"/>
        <item m="1" x="794"/>
        <item m="1" x="583"/>
        <item m="1" x="1433"/>
        <item m="1" x="1640"/>
        <item m="1" x="2614"/>
        <item m="1" x="503"/>
        <item m="1" x="1267"/>
        <item m="1" x="1036"/>
        <item m="1" x="1302"/>
        <item m="1" x="1225"/>
        <item m="1" x="404"/>
        <item m="1" x="1251"/>
        <item m="1" x="2013"/>
        <item m="1" x="510"/>
        <item m="1" x="555"/>
        <item m="1" x="1671"/>
        <item m="1" x="1906"/>
        <item m="1" x="2111"/>
        <item m="1" x="1125"/>
        <item m="1" x="461"/>
        <item m="1" x="1351"/>
        <item m="1" x="518"/>
        <item m="1" x="2331"/>
        <item m="1" x="1368"/>
        <item m="1" x="222"/>
        <item m="1" x="2332"/>
        <item m="1" x="795"/>
        <item m="1" x="674"/>
        <item m="1" x="1132"/>
        <item m="1" x="584"/>
        <item m="1" x="1826"/>
        <item m="1" x="2605"/>
        <item m="1" x="1317"/>
        <item m="1" x="1980"/>
        <item m="1" x="1939"/>
        <item m="1" x="1272"/>
        <item m="1" x="675"/>
        <item m="1" x="676"/>
        <item m="1" x="1951"/>
        <item m="1" x="2625"/>
        <item x="13"/>
        <item m="1" x="1474"/>
        <item m="1" x="2333"/>
        <item m="1" x="1277"/>
        <item m="1" x="1572"/>
        <item m="1" x="1278"/>
        <item m="1" x="2334"/>
        <item m="1" x="2335"/>
        <item m="1" x="1784"/>
        <item m="1" x="300"/>
        <item m="1" x="1723"/>
        <item m="1" x="1279"/>
        <item m="1" x="1410"/>
        <item m="1" x="152"/>
        <item m="1" x="1594"/>
        <item m="1" x="277"/>
        <item m="1" x="1074"/>
        <item m="1" x="132"/>
        <item m="1" x="1934"/>
        <item m="1" x="236"/>
        <item m="1" x="1283"/>
        <item m="1" x="2337"/>
        <item m="1" x="426"/>
        <item m="1" x="1606"/>
        <item m="1" x="1966"/>
        <item m="1" x="2391"/>
        <item m="1" x="2338"/>
        <item m="1" x="1354"/>
        <item m="1" x="1463"/>
        <item m="1" x="2340"/>
        <item m="1" x="657"/>
        <item m="1" x="2668"/>
        <item m="1" x="906"/>
        <item m="1" x="2341"/>
        <item sd="0" m="1" x="2739"/>
        <item x="45"/>
        <item m="1" x="463"/>
        <item m="1" x="924"/>
        <item m="1" x="1925"/>
        <item m="1" x="2342"/>
        <item m="1" x="2343"/>
        <item m="1" x="2344"/>
        <item m="1" x="963"/>
        <item m="1" x="2033"/>
        <item m="1" x="2346"/>
        <item sd="0" m="1" x="2223"/>
        <item m="1" x="2715"/>
        <item m="1" x="2613"/>
        <item m="1" x="677"/>
        <item m="1" x="1598"/>
        <item m="1" x="2021"/>
        <item m="1" x="2347"/>
        <item m="1" x="2348"/>
        <item m="1" x="1297"/>
        <item m="1" x="343"/>
        <item m="1" x="2551"/>
        <item m="1" x="353"/>
        <item m="1" x="1964"/>
        <item m="1" x="441"/>
        <item m="1" x="2050"/>
        <item m="1" x="901"/>
        <item m="1" x="1499"/>
        <item m="1" x="450"/>
        <item m="1" x="2654"/>
        <item m="1" x="1646"/>
        <item m="1" x="2466"/>
        <item m="1" x="1860"/>
        <item m="1" x="1299"/>
        <item m="1" x="2028"/>
        <item m="1" x="904"/>
        <item m="1" x="2350"/>
        <item m="1" x="135"/>
        <item m="1" x="2336"/>
        <item m="1" x="2349"/>
        <item m="1" x="2582"/>
        <item m="1" x="234"/>
        <item m="1" x="1524"/>
        <item m="1" x="1414"/>
        <item m="1" x="1301"/>
        <item m="1" x="133"/>
        <item m="1" x="507"/>
        <item m="1" x="527"/>
        <item m="1" x="2112"/>
        <item m="1" x="214"/>
        <item sd="0" m="1" x="213"/>
        <item m="1" x="1999"/>
        <item m="1" x="2352"/>
        <item m="1" x="1185"/>
        <item m="1" x="74"/>
        <item m="1" x="1311"/>
        <item m="1" x="2607"/>
        <item m="1" x="2151"/>
        <item m="1" x="1755"/>
        <item m="1" x="184"/>
        <item m="1" x="525"/>
        <item m="1" x="1312"/>
        <item m="1" x="1313"/>
        <item m="1" x="543"/>
        <item m="1" x="495"/>
        <item m="1" x="2008"/>
        <item m="1" x="1855"/>
        <item m="1" x="944"/>
        <item m="1" x="1081"/>
        <item m="1" x="223"/>
        <item m="1" x="2353"/>
        <item m="1" x="138"/>
        <item m="1" x="139"/>
        <item m="1" x="73"/>
        <item m="1" x="1007"/>
        <item m="1" x="2354"/>
        <item m="1" x="898"/>
        <item m="1" x="1756"/>
        <item m="1" x="2355"/>
        <item m="1" x="2356"/>
        <item m="1" x="1970"/>
        <item m="1" x="1985"/>
        <item m="1" x="1381"/>
        <item m="1" x="345"/>
        <item m="1" x="797"/>
        <item m="1" x="678"/>
        <item m="1" x="2358"/>
        <item m="1" x="2496"/>
        <item m="1" x="346"/>
        <item m="1" x="2661"/>
        <item m="1" x="237"/>
        <item m="1" x="1628"/>
        <item m="1" x="2359"/>
        <item m="1" x="140"/>
        <item m="1" x="1647"/>
        <item m="1" x="1316"/>
        <item m="1" x="1655"/>
        <item m="1" x="1632"/>
        <item m="1" x="1553"/>
        <item m="1" x="1942"/>
        <item m="1" x="1917"/>
        <item m="1" x="2683"/>
        <item m="1" x="836"/>
        <item m="1" x="2360"/>
        <item m="1" x="1949"/>
        <item m="1" x="712"/>
        <item m="1" x="2113"/>
        <item m="1" x="1285"/>
        <item m="1" x="271"/>
        <item m="1" x="1319"/>
        <item m="1" x="1011"/>
        <item m="1" x="2361"/>
        <item m="1" x="1357"/>
        <item m="1" x="349"/>
        <item m="1" x="2051"/>
        <item x="3"/>
        <item m="1" x="1963"/>
        <item m="1" x="619"/>
        <item m="1" x="2362"/>
        <item m="1" x="877"/>
        <item m="1" x="1893"/>
        <item m="1" x="1827"/>
        <item sd="0" m="1" x="245"/>
        <item m="1" x="996"/>
        <item m="1" x="384"/>
        <item m="1" x="2363"/>
        <item m="1" x="980"/>
        <item m="1" x="1548"/>
        <item m="1" x="2720"/>
        <item m="1" x="949"/>
        <item m="1" x="1102"/>
        <item m="1" x="689"/>
        <item m="1" x="639"/>
        <item m="1" x="1639"/>
        <item m="1" x="1321"/>
        <item m="1" x="1322"/>
        <item m="1" x="2366"/>
        <item m="1" x="528"/>
        <item m="1" x="1973"/>
        <item m="1" x="2553"/>
        <item m="1" x="2590"/>
        <item m="1" x="2583"/>
        <item m="1" x="342"/>
        <item m="1" x="1323"/>
        <item m="1" x="2052"/>
        <item m="1" x="1523"/>
        <item m="1" x="1786"/>
        <item m="1" x="1641"/>
        <item m="1" x="1829"/>
        <item m="1" x="681"/>
        <item m="1" x="350"/>
        <item m="1" x="2711"/>
        <item m="1" x="1324"/>
        <item m="1" x="390"/>
        <item m="1" x="1725"/>
        <item m="1" x="780"/>
        <item m="1" x="2621"/>
        <item m="1" x="955"/>
        <item m="1" x="1924"/>
        <item m="1" x="1950"/>
        <item m="1" x="787"/>
        <item sd="0" x="15"/>
        <item m="1" x="798"/>
        <item m="1" x="323"/>
        <item m="1" x="2364"/>
        <item m="1" x="973"/>
        <item m="1" x="142"/>
        <item m="1" x="2365"/>
        <item m="1" x="82"/>
        <item m="1" x="1372"/>
        <item m="1" x="1987"/>
        <item m="1" x="1831"/>
        <item m="1" x="1198"/>
        <item m="1" x="916"/>
        <item m="1" x="2685"/>
        <item m="1" x="1953"/>
        <item m="1" x="2703"/>
        <item m="1" x="682"/>
        <item m="1" x="264"/>
        <item m="1" x="2367"/>
        <item m="1" x="524"/>
        <item m="1" x="1328"/>
        <item m="1" x="1389"/>
        <item m="1" x="2369"/>
        <item m="1" x="1758"/>
        <item m="1" x="1821"/>
        <item m="1" x="965"/>
        <item m="1" x="1334"/>
        <item m="1" x="544"/>
        <item m="1" x="2053"/>
        <item m="1" x="2655"/>
        <item m="1" x="1807"/>
        <item m="1" x="2114"/>
        <item m="1" x="1345"/>
        <item m="1" x="2467"/>
        <item m="1" x="2370"/>
        <item m="1" x="964"/>
        <item m="1" x="209"/>
        <item m="1" x="2628"/>
        <item m="1" x="1588"/>
        <item m="1" x="1908"/>
        <item m="1" x="1385"/>
        <item m="1" x="1759"/>
        <item m="1" x="51"/>
        <item m="1" x="2371"/>
        <item m="1" x="1275"/>
        <item sd="0" m="1" x="2677"/>
        <item m="1" x="987"/>
        <item m="1" x="2010"/>
        <item m="1" x="683"/>
        <item m="1" x="1760"/>
        <item m="1" x="2373"/>
        <item m="1" x="864"/>
        <item m="1" x="2054"/>
        <item m="1" x="1945"/>
        <item m="1" x="684"/>
        <item m="1" x="572"/>
        <item m="1" x="145"/>
        <item m="1" x="479"/>
        <item m="1" x="1188"/>
        <item m="1" x="799"/>
        <item m="1" x="1833"/>
        <item m="1" x="2375"/>
        <item m="1" x="1761"/>
        <item m="1" x="1883"/>
        <item m="1" x="1048"/>
        <item m="1" x="2568"/>
        <item m="1" x="1891"/>
        <item m="1" x="2376"/>
        <item m="1" x="1716"/>
        <item m="1" x="1642"/>
        <item m="1" x="2377"/>
        <item m="1" x="2432"/>
        <item m="1" x="1542"/>
        <item m="1" x="2691"/>
        <item m="1" x="1370"/>
        <item m="1" x="1133"/>
        <item m="1" x="1636"/>
        <item m="1" x="1815"/>
        <item m="1" x="2665"/>
        <item m="1" x="1320"/>
        <item m="1" x="1447"/>
        <item m="1" x="466"/>
        <item m="1" x="1431"/>
        <item m="1" x="481"/>
        <item m="1" x="1307"/>
        <item m="1" x="1527"/>
        <item m="1" x="1077"/>
        <item m="1" x="297"/>
        <item m="1" x="2006"/>
        <item m="1" x="147"/>
        <item m="1" x="2378"/>
        <item m="1" x="1199"/>
        <item m="1" x="1452"/>
        <item m="1" x="999"/>
        <item m="1" x="2379"/>
        <item m="1" x="113"/>
        <item m="1" x="355"/>
        <item m="1" x="1196"/>
        <item m="1" x="1075"/>
        <item m="1" x="831"/>
        <item m="1" x="802"/>
        <item m="1" x="1202"/>
        <item m="1" x="2055"/>
        <item m="1" x="1536"/>
        <item m="1" x="568"/>
        <item m="1" x="1038"/>
        <item m="1" x="2025"/>
        <item m="1" x="317"/>
        <item m="1" x="1157"/>
        <item m="1" x="154"/>
        <item m="1" x="1300"/>
        <item m="1" x="1485"/>
        <item m="1" x="975"/>
        <item m="1" x="2555"/>
        <item m="1" x="2393"/>
        <item m="1" x="687"/>
        <item m="1" x="293"/>
        <item m="1" x="262"/>
        <item m="1" x="2673"/>
        <item m="1" x="1068"/>
        <item m="1" x="2394"/>
        <item m="1" x="2604"/>
        <item m="1" x="1059"/>
        <item m="1" x="2626"/>
        <item m="1" x="976"/>
        <item m="1" x="2620"/>
        <item m="1" x="1926"/>
        <item m="1" x="2395"/>
        <item m="1" x="2396"/>
        <item m="1" x="224"/>
        <item m="1" x="263"/>
        <item m="1" x="1530"/>
        <item m="1" x="1692"/>
        <item m="1" x="1227"/>
        <item m="1" x="83"/>
        <item m="1" x="2629"/>
        <item m="1" x="2397"/>
        <item m="1" x="2595"/>
        <item m="1" x="1427"/>
        <item m="1" x="1920"/>
        <item m="1" x="808"/>
        <item m="1" x="1428"/>
        <item m="1" x="810"/>
        <item m="1" x="2116"/>
        <item m="1" x="225"/>
        <item m="1" x="2398"/>
        <item m="1" x="1429"/>
        <item m="1" x="2399"/>
        <item m="1" x="688"/>
        <item m="1" x="377"/>
        <item m="1" x="2400"/>
        <item m="1" x="1430"/>
        <item m="1" x="1637"/>
        <item m="1" x="1488"/>
        <item m="1" x="1432"/>
        <item m="1" x="2401"/>
        <item m="1" x="2402"/>
        <item m="1" x="247"/>
        <item m="1" x="480"/>
        <item m="1" x="2623"/>
        <item m="1" x="1765"/>
        <item m="1" x="1518"/>
        <item m="1" x="957"/>
        <item m="1" x="2403"/>
        <item m="1" x="885"/>
        <item m="1" x="2405"/>
        <item m="1" x="2082"/>
        <item m="1" x="2060"/>
        <item m="1" x="467"/>
        <item m="1" x="1373"/>
        <item m="1" x="2406"/>
        <item m="1" x="1837"/>
        <item m="1" x="912"/>
        <item m="1" x="1576"/>
        <item m="1" x="1394"/>
        <item m="1" x="1448"/>
        <item m="1" x="1422"/>
        <item m="1" x="889"/>
        <item m="1" x="1449"/>
        <item m="1" x="1159"/>
        <item m="1" x="66"/>
        <item m="1" x="1894"/>
        <item m="1" x="314"/>
        <item m="1" x="163"/>
        <item m="1" x="1451"/>
        <item m="1" x="2491"/>
        <item m="1" x="381"/>
        <item m="1" x="2407"/>
        <item m="1" x="2408"/>
        <item m="1" x="2410"/>
        <item m="1" x="2675"/>
        <item m="1" x="1751"/>
        <item m="1" x="2409"/>
        <item m="1" x="382"/>
        <item m="1" x="1483"/>
        <item m="1" x="246"/>
        <item m="1" x="1454"/>
        <item m="1" x="1766"/>
        <item m="1" x="55"/>
        <item m="1" x="468"/>
        <item m="1" x="1220"/>
        <item m="1" x="395"/>
        <item m="1" x="1206"/>
        <item sd="0" m="1" x="2727"/>
        <item sd="0" m="1" x="308"/>
        <item m="1" x="1910"/>
        <item m="1" x="1457"/>
        <item m="1" x="1456"/>
        <item m="1" x="1458"/>
        <item m="1" x="624"/>
        <item m="1" x="1444"/>
        <item m="1" x="1787"/>
        <item m="1" x="2566"/>
        <item m="1" x="2411"/>
        <item m="1" x="367"/>
        <item m="1" x="2412"/>
        <item m="1" x="289"/>
        <item m="1" x="2413"/>
        <item m="1" x="1543"/>
        <item m="1" x="2414"/>
        <item m="1" x="1722"/>
        <item m="1" x="170"/>
        <item m="1" x="2404"/>
        <item m="1" x="160"/>
        <item m="1" x="1392"/>
        <item m="1" x="2693"/>
        <item m="1" x="2556"/>
        <item m="1" x="2415"/>
        <item m="1" x="733"/>
        <item m="1" x="1656"/>
        <item x="14"/>
        <item m="1" x="1912"/>
        <item m="1" x="1528"/>
        <item m="1" x="1284"/>
        <item m="1" x="165"/>
        <item m="1" x="2270"/>
        <item m="1" x="1914"/>
        <item m="1" x="2653"/>
        <item m="1" x="2118"/>
        <item m="1" x="1390"/>
        <item m="1" x="2034"/>
        <item m="1" x="816"/>
        <item m="1" x="166"/>
        <item m="1" x="1281"/>
        <item m="1" x="1395"/>
        <item m="1" x="1471"/>
        <item m="1" x="144"/>
        <item m="1" x="2019"/>
        <item m="1" x="586"/>
        <item m="1" x="2602"/>
        <item m="1" x="2417"/>
        <item m="1" x="2418"/>
        <item m="1" x="817"/>
        <item m="1" x="2636"/>
        <item m="1" x="1409"/>
        <item m="1" x="1472"/>
        <item m="1" x="690"/>
        <item m="1" x="1473"/>
        <item m="1" x="2419"/>
        <item m="1" x="2420"/>
        <item m="1" x="915"/>
        <item m="1" x="2421"/>
        <item m="1" x="2709"/>
        <item m="1" x="2422"/>
        <item m="1" x="2423"/>
        <item m="1" x="2260"/>
        <item m="1" x="862"/>
        <item m="1" x="2684"/>
        <item m="1" x="882"/>
        <item m="1" x="2424"/>
        <item m="1" x="1882"/>
        <item m="1" x="1347"/>
        <item m="1" x="691"/>
        <item m="1" x="2690"/>
        <item m="1" x="351"/>
        <item m="1" x="2139"/>
        <item m="1" x="2469"/>
        <item m="1" x="1034"/>
        <item m="1" x="501"/>
        <item m="1" x="818"/>
        <item m="1" x="819"/>
        <item m="1" x="914"/>
        <item m="1" x="63"/>
        <item m="1" x="2119"/>
        <item m="1" x="656"/>
        <item m="1" x="2425"/>
        <item m="1" x="149"/>
        <item m="1" x="387"/>
        <item m="1" x="557"/>
        <item m="1" x="1785"/>
        <item m="1" x="2061"/>
        <item m="1" x="440"/>
        <item m="1" x="2099"/>
        <item m="1" x="2426"/>
        <item m="1" x="995"/>
        <item m="1" x="1767"/>
        <item m="1" x="991"/>
        <item m="1" x="386"/>
        <item m="1" x="434"/>
        <item m="1" x="2428"/>
        <item m="1" x="2120"/>
        <item m="1" x="820"/>
        <item m="1" x="1994"/>
        <item m="1" x="487"/>
        <item m="1" x="95"/>
        <item m="1" x="482"/>
        <item m="1" x="87"/>
        <item m="1" x="1938"/>
        <item m="1" x="2062"/>
        <item m="1" x="371"/>
        <item m="1" x="210"/>
        <item m="1" x="2671"/>
        <item m="1" x="312"/>
        <item m="1" x="1923"/>
        <item m="1" x="120"/>
        <item m="1" x="2429"/>
        <item m="1" x="966"/>
        <item m="1" x="821"/>
        <item m="1" x="2068"/>
        <item m="1" x="1489"/>
        <item m="1" x="1490"/>
        <item m="1" x="1491"/>
        <item m="1" x="2430"/>
        <item m="1" x="1684"/>
        <item m="1" x="1379"/>
        <item m="1" x="1730"/>
        <item m="1" x="1800"/>
        <item m="1" x="162"/>
        <item m="1" x="1314"/>
        <item m="1" x="694"/>
        <item m="1" x="1493"/>
        <item m="1" x="1435"/>
        <item m="1" x="611"/>
        <item m="1" x="1018"/>
        <item m="1" x="2384"/>
        <item m="1" x="2616"/>
        <item m="1" x="2561"/>
        <item m="1" x="1290"/>
        <item m="1" x="1156"/>
        <item m="1" x="401"/>
        <item m="1" x="2142"/>
        <item m="1" x="383"/>
        <item m="1" x="2433"/>
        <item m="1" x="380"/>
        <item m="1" x="2434"/>
        <item m="1" x="1986"/>
        <item m="1" x="695"/>
        <item m="1" x="1688"/>
        <item m="1" x="907"/>
        <item m="1" x="2387"/>
        <item m="1" x="310"/>
        <item m="1" x="168"/>
        <item m="1" x="954"/>
        <item m="1" x="1342"/>
        <item m="1" x="328"/>
        <item m="1" x="822"/>
        <item m="1" x="403"/>
        <item m="1" x="1486"/>
        <item m="1" x="339"/>
        <item m="1" x="823"/>
        <item m="1" x="2435"/>
        <item m="1" x="502"/>
        <item m="1" x="565"/>
        <item m="1" x="1501"/>
        <item m="1" x="1023"/>
        <item m="1" x="2436"/>
        <item sd="0" m="1" x="2733"/>
        <item m="1" x="1217"/>
        <item m="1" x="800"/>
        <item m="1" x="1467"/>
        <item m="1" x="389"/>
        <item m="1" x="2063"/>
        <item m="1" x="2437"/>
        <item m="1" x="1064"/>
        <item m="1" x="853"/>
        <item m="1" x="936"/>
        <item m="1" x="1596"/>
        <item m="1" x="1502"/>
        <item m="1" x="2438"/>
        <item m="1" x="2129"/>
        <item m="1" x="174"/>
        <item m="1" x="2064"/>
        <item m="1" x="161"/>
        <item m="1" x="931"/>
        <item m="1" x="2584"/>
        <item m="1" x="923"/>
        <item m="1" x="2439"/>
        <item m="1" x="227"/>
        <item m="1" x="1517"/>
        <item m="1" x="2440"/>
        <item x="25"/>
        <item m="1" x="392"/>
        <item m="1" x="824"/>
        <item m="1" x="886"/>
        <item m="1" x="1396"/>
        <item m="1" x="1480"/>
        <item m="1" x="2065"/>
        <item m="1" x="1680"/>
        <item m="1" x="1511"/>
        <item m="1" x="393"/>
        <item m="1" x="2441"/>
        <item m="1" x="1792"/>
        <item m="1" x="172"/>
        <item m="1" x="1967"/>
        <item m="1" x="1512"/>
        <item m="1" x="825"/>
        <item m="1" x="71"/>
        <item m="1" x="1944"/>
        <item m="1" x="2594"/>
        <item m="1" x="2382"/>
        <item m="1" x="1665"/>
        <item m="1" x="2442"/>
        <item m="1" x="375"/>
        <item m="1" x="985"/>
        <item m="1" x="257"/>
        <item m="1" x="1119"/>
        <item m="1" x="2443"/>
        <item m="1" x="721"/>
        <item m="1" x="2444"/>
        <item m="1" x="1376"/>
        <item m="1" x="670"/>
        <item m="1" x="1768"/>
        <item m="1" x="2445"/>
        <item m="1" x="1943"/>
        <item m="1" x="67"/>
        <item m="1" x="1222"/>
        <item m="1" x="2070"/>
        <item m="1" x="180"/>
        <item m="1" x="124"/>
        <item m="1" x="1968"/>
        <item m="1" x="396"/>
        <item m="1" x="1525"/>
        <item m="1" x="1295"/>
        <item m="1" x="340"/>
        <item m="1" x="2447"/>
        <item m="1" x="422"/>
        <item m="1" x="2448"/>
        <item m="1" x="563"/>
        <item m="1" x="893"/>
        <item m="1" x="894"/>
        <item m="1" x="696"/>
        <item m="1" x="2450"/>
        <item m="1" x="1066"/>
        <item m="1" x="2066"/>
        <item m="1" x="2646"/>
        <item m="1" x="2570"/>
        <item m="1" x="1443"/>
        <item m="1" x="226"/>
        <item m="1" x="157"/>
        <item m="1" x="1383"/>
        <item m="1" x="940"/>
        <item m="1" x="2014"/>
        <item m="1" x="697"/>
        <item m="1" x="698"/>
        <item m="1" x="587"/>
        <item m="1" x="2451"/>
        <item m="1" x="1580"/>
        <item m="1" x="2532"/>
        <item m="1" x="253"/>
        <item m="1" x="1814"/>
        <item m="1" x="1118"/>
        <item m="1" x="1180"/>
        <item m="1" x="827"/>
        <item m="1" x="2121"/>
        <item m="1" x="1619"/>
        <item m="1" x="1035"/>
        <item m="1" x="2723"/>
        <item m="1" x="2639"/>
        <item m="1" x="2009"/>
        <item m="1" x="119"/>
        <item m="1" x="1534"/>
        <item m="1" x="2452"/>
        <item m="1" x="1291"/>
        <item m="1" x="398"/>
        <item m="1" x="1728"/>
        <item m="1" x="2316"/>
        <item m="1" x="1560"/>
        <item m="1" x="2619"/>
        <item m="1" x="469"/>
        <item m="1" x="1769"/>
        <item m="1" x="1889"/>
        <item m="1" x="699"/>
        <item sd="0" m="1" x="2732"/>
        <item m="1" x="569"/>
        <item m="1" x="803"/>
        <item x="17"/>
        <item m="1" x="2453"/>
        <item m="1" x="1995"/>
        <item m="1" x="2454"/>
        <item m="1" x="1296"/>
        <item m="1" x="1866"/>
        <item m="1" x="1731"/>
        <item m="1" x="1537"/>
        <item m="1" x="1609"/>
        <item m="1" x="2574"/>
        <item m="1" x="1538"/>
        <item m="1" x="483"/>
        <item m="1" x="1603"/>
        <item m="1" x="178"/>
        <item m="1" x="1791"/>
        <item m="1" x="1840"/>
        <item m="1" x="958"/>
        <item m="1" x="402"/>
        <item sd="0" m="1" x="258"/>
        <item sd="0" m="1" x="2725"/>
        <item m="1" x="1033"/>
        <item m="1" x="1798"/>
        <item m="1" x="1013"/>
        <item m="1" x="186"/>
        <item m="1" x="1916"/>
        <item m="1" x="968"/>
        <item m="1" x="2599"/>
        <item m="1" x="2140"/>
        <item m="1" x="796"/>
        <item m="1" x="1540"/>
        <item m="1" x="1541"/>
        <item m="1" x="701"/>
        <item m="1" x="1856"/>
        <item m="1" x="897"/>
        <item m="1" x="1857"/>
        <item m="1" x="2455"/>
        <item m="1" x="2660"/>
        <item m="1" x="1115"/>
        <item m="1" x="2471"/>
        <item m="1" x="1896"/>
        <item m="1" x="680"/>
        <item m="1" x="705"/>
        <item m="1" x="446"/>
        <item m="1" x="1350"/>
        <item m="1" x="600"/>
        <item m="1" x="1001"/>
        <item m="1" x="702"/>
        <item m="1" x="1545"/>
        <item x="2"/>
        <item m="1" x="531"/>
        <item m="1" x="634"/>
        <item m="1" x="814"/>
        <item m="1" x="556"/>
        <item x="21"/>
        <item m="1" x="2679"/>
        <item sd="0" m="1" x="1190"/>
        <item m="1" x="1823"/>
        <item m="1" x="790"/>
        <item m="1" x="2696"/>
        <item m="1" x="1127"/>
        <item m="1" x="845"/>
        <item m="1" x="347"/>
        <item m="1" x="1559"/>
        <item m="1" x="1116"/>
        <item m="1" x="1839"/>
        <item m="1" x="1721"/>
        <item m="1" x="1144"/>
        <item m="1" x="1107"/>
        <item m="1" x="888"/>
        <item m="1" x="1332"/>
        <item m="1" x="1845"/>
        <item sd="0" m="1" x="522"/>
        <item m="1" x="1714"/>
        <item m="1" x="1841"/>
        <item m="1" x="627"/>
        <item m="1" x="409"/>
        <item m="1" x="1040"/>
        <item m="1" x="1862"/>
        <item m="1" x="1969"/>
        <item m="1" x="379"/>
        <item m="1" x="1988"/>
        <item m="1" x="703"/>
        <item m="1" x="187"/>
        <item m="1" x="470"/>
        <item m="1" x="2122"/>
        <item m="1" x="1838"/>
        <item m="1" x="1564"/>
        <item m="1" x="198"/>
        <item x="39"/>
        <item m="1" x="913"/>
        <item m="1" x="1867"/>
        <item m="1" x="2458"/>
        <item m="1" x="1529"/>
        <item m="1" x="2459"/>
        <item m="1" x="2460"/>
        <item m="1" x="2462"/>
        <item m="1" x="830"/>
        <item m="1" x="704"/>
        <item m="1" x="2609"/>
        <item m="1" x="305"/>
        <item m="1" x="953"/>
        <item m="1" x="977"/>
        <item m="1" x="2463"/>
        <item m="1" x="2591"/>
        <item m="1" x="2299"/>
        <item m="1" x="189"/>
        <item m="1" x="2381"/>
        <item m="1" x="2662"/>
        <item m="1" x="228"/>
        <item m="1" x="2457"/>
        <item m="1" x="2032"/>
        <item m="1" x="961"/>
        <item m="1" x="1610"/>
        <item m="1" x="229"/>
        <item m="1" x="1772"/>
        <item m="1" x="1567"/>
        <item m="1" x="362"/>
        <item m="1" x="1029"/>
        <item m="1" x="829"/>
        <item m="1" x="1582"/>
        <item m="1" x="447"/>
        <item m="1" x="1150"/>
        <item sd="0" m="1" x="2736"/>
        <item m="1" x="1178"/>
        <item m="1" x="1514"/>
        <item m="1" x="1583"/>
        <item m="1" x="1584"/>
        <item m="1" x="1134"/>
        <item m="1" x="707"/>
        <item m="1" x="1561"/>
        <item m="1" x="2472"/>
        <item m="1" x="2011"/>
        <item m="1" x="1585"/>
        <item m="1" x="1338"/>
        <item m="1" x="909"/>
        <item m="1" x="700"/>
        <item m="1" x="77"/>
        <item m="1" x="2562"/>
        <item m="1" x="1586"/>
        <item m="1" x="2473"/>
        <item m="1" x="1685"/>
        <item m="1" x="564"/>
        <item m="1" x="1110"/>
        <item x="30"/>
        <item m="1" x="2474"/>
        <item m="1" x="2576"/>
        <item m="1" x="2610"/>
        <item m="1" x="1696"/>
        <item m="1" x="1051"/>
        <item m="1" x="2475"/>
        <item m="1" x="2476"/>
        <item m="1" x="1629"/>
        <item m="1" x="2477"/>
        <item m="1" x="1922"/>
        <item m="1" x="2479"/>
        <item m="1" x="2478"/>
        <item m="1" x="1676"/>
        <item m="1" x="1965"/>
        <item m="1" x="2695"/>
        <item m="1" x="496"/>
        <item m="1" x="1990"/>
        <item m="1" x="2689"/>
        <item m="1" x="1590"/>
        <item m="1" x="1155"/>
        <item m="1" x="881"/>
        <item m="1" x="2480"/>
        <item x="11"/>
        <item m="1" x="1960"/>
        <item m="1" x="2481"/>
        <item m="1" x="520"/>
        <item m="1" x="1028"/>
        <item m="1" x="352"/>
        <item m="1" x="2482"/>
        <item m="1" x="504"/>
        <item m="1" x="1496"/>
        <item m="1" x="928"/>
        <item m="1" x="2468"/>
        <item m="1" x="1024"/>
        <item m="1" x="1854"/>
        <item m="1" x="2483"/>
        <item m="1" x="1593"/>
        <item m="1" x="2680"/>
        <item m="1" x="1061"/>
        <item m="1" x="243"/>
        <item m="1" x="191"/>
        <item m="1" x="1579"/>
        <item m="1" x="1595"/>
        <item m="1" x="192"/>
        <item m="1" x="298"/>
        <item m="1" x="1601"/>
        <item m="1" x="962"/>
        <item m="1" x="2485"/>
        <item m="1" x="2124"/>
        <item m="1" x="1421"/>
        <item m="1" x="2005"/>
        <item m="1" x="1648"/>
        <item m="1" x="2125"/>
        <item m="1" x="1184"/>
        <item m="1" x="2676"/>
        <item m="1" x="1604"/>
        <item m="1" x="1558"/>
        <item m="1" x="194"/>
        <item m="1" x="2126"/>
        <item m="1" x="307"/>
        <item m="1" x="588"/>
        <item m="1" x="1168"/>
        <item m="1" x="193"/>
        <item m="1" x="972"/>
        <item m="1" x="413"/>
        <item m="1" x="414"/>
        <item m="1" x="415"/>
        <item m="1" x="169"/>
        <item m="1" x="416"/>
        <item m="1" x="1445"/>
        <item m="1" x="833"/>
        <item m="1" x="2486"/>
        <item m="1" x="1570"/>
        <item m="1" x="855"/>
        <item m="1" x="1533"/>
        <item m="1" x="2487"/>
        <item m="1" x="1842"/>
        <item m="1" x="1773"/>
        <item m="1" x="2488"/>
        <item m="1" x="1563"/>
        <item m="1" x="902"/>
        <item m="1" x="435"/>
        <item m="1" x="860"/>
        <item m="1" x="1121"/>
        <item m="1" x="708"/>
        <item m="1" x="2490"/>
        <item m="1" x="542"/>
        <item m="1" x="1607"/>
        <item m="1" x="1608"/>
        <item m="1" x="1335"/>
        <item sd="0" m="1" x="2719"/>
        <item m="1" x="1864"/>
        <item m="1" x="742"/>
        <item m="1" x="2368"/>
        <item m="1" x="832"/>
        <item m="1" x="1117"/>
        <item m="1" x="239"/>
        <item m="1" x="1426"/>
        <item m="1" x="2492"/>
        <item m="1" x="2493"/>
        <item m="1" x="196"/>
        <item m="1" x="2494"/>
        <item m="1" x="278"/>
        <item sd="0" m="1" x="2740"/>
        <item m="1" x="2069"/>
        <item m="1" x="1797"/>
        <item m="1" x="143"/>
        <item m="1" x="1611"/>
        <item x="42"/>
        <item m="1" x="608"/>
        <item m="1" x="1848"/>
        <item m="1" x="602"/>
        <item m="1" x="1858"/>
        <item m="1" x="1849"/>
        <item m="1" x="1976"/>
        <item m="1" x="1929"/>
        <item m="1" x="603"/>
        <item m="1" x="770"/>
        <item m="1" x="1850"/>
        <item m="1" x="601"/>
        <item m="1" x="606"/>
        <item m="1" x="610"/>
        <item m="1" x="1852"/>
        <item m="1" x="515"/>
        <item sd="0" x="29"/>
        <item m="1" x="1661"/>
        <item x="41"/>
        <item m="1" x="596"/>
        <item m="1" x="1662"/>
        <item m="1" x="514"/>
        <item m="1" x="595"/>
        <item m="1" x="1977"/>
        <item m="1" x="1358"/>
        <item m="1" x="1847"/>
        <item m="1" x="605"/>
        <item m="1" x="1846"/>
        <item m="1" x="609"/>
        <item sd="0" m="1" x="604"/>
        <item x="28"/>
        <item sd="0" m="1" x="2730"/>
        <item sd="0" m="1" x="2735"/>
        <item sd="0" x="26"/>
        <item m="1" x="857"/>
        <item m="1" x="1861"/>
        <item m="1" x="2027"/>
        <item m="1" x="2035"/>
        <item m="1" x="1881"/>
        <item m="1" x="92"/>
        <item m="1" x="1666"/>
        <item m="1" x="1974"/>
        <item m="1" x="1017"/>
        <item m="1" x="805"/>
        <item m="1" x="2699"/>
        <item m="1" x="2427"/>
        <item m="1" x="2446"/>
        <item m="1" x="151"/>
        <item m="1" x="709"/>
        <item m="1" x="1659"/>
        <item m="1" x="421"/>
        <item m="1" x="2067"/>
        <item m="1" x="2495"/>
        <item m="1" x="921"/>
        <item m="1" x="2238"/>
        <item sd="0" m="1" x="2738"/>
        <item m="1" x="1423"/>
        <item m="1" x="582"/>
        <item m="1" x="2123"/>
        <item m="1" x="70"/>
        <item m="1" x="2497"/>
        <item m="1" x="325"/>
        <item m="1" x="2156"/>
        <item m="1" x="2498"/>
        <item m="1" x="2461"/>
        <item m="1" x="1234"/>
        <item m="1" x="934"/>
        <item m="1" x="2672"/>
        <item m="1" x="1067"/>
        <item m="1" x="2256"/>
        <item m="1" x="1308"/>
        <item m="1" x="1669"/>
        <item m="1" x="1446"/>
        <item m="1" x="1154"/>
        <item m="1" x="2127"/>
        <item m="1" x="423"/>
        <item m="1" x="1400"/>
        <item m="1" x="424"/>
        <item m="1" x="1958"/>
        <item m="1" x="197"/>
        <item m="1" x="2499"/>
        <item m="1" x="1673"/>
        <item m="1" x="517"/>
        <item m="1" x="1477"/>
        <item m="1" x="2500"/>
        <item m="1" x="1808"/>
        <item m="1" x="892"/>
        <item m="1" x="1138"/>
        <item m="1" x="275"/>
        <item m="1" x="834"/>
        <item m="1" x="79"/>
        <item m="1" x="910"/>
        <item m="1" x="136"/>
        <item m="1" x="203"/>
        <item m="1" x="2575"/>
        <item m="1" x="2585"/>
        <item m="1" x="939"/>
        <item m="1" x="1366"/>
        <item m="1" x="1136"/>
        <item m="1" x="1605"/>
        <item m="1" x="1226"/>
        <item m="1" x="484"/>
        <item m="1" x="1677"/>
        <item m="1" x="2714"/>
        <item m="1" x="993"/>
        <item m="1" x="1387"/>
        <item m="1" x="1678"/>
        <item m="1" x="1895"/>
        <item m="1" x="1365"/>
        <item m="1" x="1649"/>
        <item m="1" x="1620"/>
        <item m="1" x="1599"/>
        <item m="1" x="1122"/>
        <item m="1" x="489"/>
        <item m="1" x="1352"/>
        <item m="1" x="1616"/>
        <item m="1" x="835"/>
        <item m="1" x="2515"/>
        <item m="1" x="230"/>
        <item m="1" x="533"/>
        <item m="1" x="2501"/>
        <item m="1" x="261"/>
        <item m="1" x="201"/>
        <item m="1" x="285"/>
        <item m="1" x="2502"/>
        <item m="1" x="1187"/>
        <item m="1" x="552"/>
        <item m="1" x="2503"/>
        <item m="1" x="630"/>
        <item m="1" x="859"/>
        <item m="1" x="1975"/>
        <item m="1" x="2504"/>
        <item m="1" x="2713"/>
        <item m="1" x="2694"/>
        <item m="1" x="1076"/>
        <item m="1" x="905"/>
        <item m="1" x="2514"/>
        <item m="1" x="1828"/>
        <item m="1" x="1164"/>
        <item m="1" x="1415"/>
        <item m="1" x="2587"/>
        <item m="1" x="2698"/>
        <item m="1" x="1697"/>
        <item m="1" x="1401"/>
        <item m="1" x="1292"/>
        <item m="1" x="2505"/>
        <item m="1" x="2702"/>
        <item m="1" x="280"/>
        <item m="1" x="879"/>
        <item m="1" x="937"/>
        <item x="34"/>
        <item m="1" x="365"/>
        <item m="1" x="1566"/>
        <item m="1" x="710"/>
        <item m="1" x="490"/>
        <item sd="0" m="1" x="493"/>
        <item m="1" x="711"/>
        <item m="1" x="400"/>
        <item m="1" x="2507"/>
        <item m="1" x="2624"/>
        <item m="1" x="632"/>
        <item m="1" x="2189"/>
        <item m="1" x="1631"/>
        <item m="1" x="2706"/>
        <item m="1" x="729"/>
        <item m="1" x="2617"/>
        <item x="24"/>
        <item m="1" x="1331"/>
        <item m="1" x="838"/>
        <item m="1" x="2022"/>
        <item m="1" x="1689"/>
        <item m="1" x="1690"/>
        <item m="1" x="2308"/>
        <item m="1" x="1794"/>
        <item m="1" x="1173"/>
        <item m="1" x="651"/>
        <item m="1" x="2652"/>
        <item m="1" x="1101"/>
        <item m="1" x="2128"/>
        <item m="1" x="613"/>
        <item m="1" x="137"/>
        <item m="1" x="813"/>
        <item m="1" x="2603"/>
        <item m="1" x="1343"/>
        <item m="1" x="2509"/>
        <item m="1" x="839"/>
        <item m="1" x="1691"/>
        <item m="1" x="121"/>
        <item m="1" x="425"/>
        <item m="1" x="2431"/>
        <item m="1" x="1890"/>
        <item m="1" x="1776"/>
        <item m="1" x="1904"/>
        <item m="1" x="2144"/>
        <item m="1" x="62"/>
        <item m="1" x="1055"/>
        <item m="1" x="840"/>
        <item m="1" x="2383"/>
        <item m="1" x="1578"/>
        <item m="1" x="2510"/>
        <item m="1" x="1660"/>
        <item m="1" x="485"/>
        <item m="1" x="1207"/>
        <item m="1" x="1693"/>
        <item m="1" x="1663"/>
        <item m="1" x="1657"/>
        <item m="1" x="858"/>
        <item m="1" x="2511"/>
        <item m="1" x="2001"/>
        <item m="1" x="841"/>
        <item m="1" x="1411"/>
        <item m="1" x="837"/>
        <item m="1" x="2597"/>
        <item m="1" x="1694"/>
        <item m="1" x="1801"/>
        <item m="1" x="1695"/>
        <item m="1" x="1681"/>
        <item m="1" x="1587"/>
        <item m="1" x="1160"/>
        <item m="1" x="1569"/>
        <item m="1" x="998"/>
        <item m="1" x="856"/>
        <item m="1" x="1166"/>
        <item m="1" x="2512"/>
        <item m="1" x="150"/>
        <item m="1" x="2149"/>
        <item m="1" x="1223"/>
        <item m="1" x="212"/>
        <item m="1" x="918"/>
        <item m="1" x="1989"/>
        <item m="1" x="1979"/>
        <item m="1" x="2268"/>
        <item m="1" x="56"/>
        <item m="1" x="1562"/>
        <item m="1" x="1581"/>
        <item m="1" x="2390"/>
        <item m="1" x="969"/>
        <item m="1" x="473"/>
        <item m="1" x="843"/>
        <item m="1" x="1625"/>
        <item m="1" x="935"/>
        <item m="1" x="2023"/>
        <item m="1" x="1462"/>
        <item m="1" x="2666"/>
        <item m="1" x="2024"/>
        <item x="9"/>
        <item m="1" x="1698"/>
        <item m="1" x="1375"/>
        <item m="1" x="1699"/>
        <item m="1" x="179"/>
        <item m="1" x="2148"/>
        <item m="1" x="589"/>
        <item m="1" x="558"/>
        <item m="1" x="1019"/>
        <item m="1" x="69"/>
        <item m="1" x="199"/>
        <item m="1" x="844"/>
        <item m="1" x="714"/>
        <item m="1" x="2449"/>
        <item m="1" x="715"/>
        <item m="1" x="1670"/>
        <item m="1" x="1407"/>
        <item m="1" x="2130"/>
        <item m="1" x="1702"/>
        <item m="1" x="427"/>
        <item m="1" x="190"/>
        <item m="1" x="1479"/>
        <item m="1" x="679"/>
        <item m="1" x="716"/>
        <item m="1" x="65"/>
        <item m="1" x="1703"/>
        <item m="1" x="1851"/>
        <item m="1" x="717"/>
        <item m="1" x="486"/>
        <item m="1" x="231"/>
        <item m="1" x="2079"/>
        <item m="1" x="2131"/>
        <item m="1" x="1626"/>
        <item m="1" x="2516"/>
        <item m="1" x="1374"/>
        <item m="1" x="1280"/>
        <item m="1" x="927"/>
        <item m="1" x="299"/>
        <item sd="0" m="1" x="2734"/>
        <item m="1" x="1843"/>
        <item m="1" x="1991"/>
        <item m="1" x="200"/>
        <item m="1" x="1859"/>
        <item m="1" x="86"/>
        <item m="1" x="1268"/>
        <item m="1" x="1417"/>
        <item m="1" x="1706"/>
        <item m="1" x="1269"/>
        <item m="1" x="2132"/>
        <item m="1" x="989"/>
        <item m="1" x="1704"/>
        <item m="1" x="637"/>
        <item m="1" x="706"/>
        <item sd="0" m="1" x="640"/>
        <item m="1" x="842"/>
        <item m="1" x="105"/>
        <item m="1" x="173"/>
        <item m="1" x="1495"/>
        <item m="1" x="896"/>
        <item m="1" x="2517"/>
        <item m="1" x="2518"/>
        <item m="1" x="982"/>
        <item m="1" x="2519"/>
        <item m="1" x="718"/>
        <item m="1" x="1705"/>
        <item m="1" x="1519"/>
        <item m="1" x="2644"/>
        <item m="1" x="2640"/>
        <item m="1" x="2520"/>
        <item m="1" x="1025"/>
        <item m="1" x="1182"/>
        <item m="1" x="1946"/>
        <item m="1" x="1635"/>
        <item m="1" x="984"/>
        <item m="1" x="1274"/>
        <item m="1" x="2521"/>
        <item m="1" x="1633"/>
        <item m="1" x="2522"/>
        <item m="1" x="861"/>
        <item m="1" x="1707"/>
        <item m="1" x="1834"/>
        <item m="1" x="1634"/>
        <item m="1" x="2700"/>
        <item m="1" x="127"/>
        <item m="1" x="1032"/>
        <item m="1" x="2203"/>
        <item m="1" x="1404"/>
        <item m="1" x="1494"/>
        <item m="1" x="1770"/>
        <item m="1" x="1983"/>
        <item m="1" x="2523"/>
        <item m="1" x="1709"/>
        <item m="1" x="1777"/>
        <item m="1" x="2525"/>
        <item m="1" x="719"/>
        <item m="1" x="1927"/>
        <item m="1" x="1996"/>
        <item m="1" x="846"/>
        <item m="1" x="2526"/>
        <item m="1" x="2392"/>
        <item m="1" x="519"/>
        <item m="1" x="1086"/>
        <item m="1" x="2059"/>
        <item m="1" x="598"/>
        <item m="1" x="757"/>
        <item m="1" x="535"/>
        <item m="1" x="2133"/>
        <item m="1" x="2527"/>
        <item m="1" x="204"/>
        <item m="1" x="720"/>
        <item x="35"/>
        <item m="1" x="1713"/>
        <item m="1" x="1014"/>
        <item m="1" x="1424"/>
        <item m="1" x="941"/>
        <item m="1" x="2712"/>
        <item m="1" x="420"/>
        <item m="1" x="2528"/>
        <item m="1" x="1391"/>
        <item m="1" x="2012"/>
        <item m="1" x="2573"/>
        <item m="1" x="938"/>
        <item m="1" x="2134"/>
        <item m="1" x="267"/>
        <item m="1" x="2529"/>
        <item m="1" x="1293"/>
        <item m="1" x="614"/>
        <item sd="0" m="1" x="2722"/>
        <item m="1" x="2593"/>
        <item m="1" x="1416"/>
        <item m="1" x="324"/>
        <item m="1" x="428"/>
        <item m="1" x="2530"/>
        <item m="1" x="2029"/>
        <item m="1" x="723"/>
        <item m="1" x="2259"/>
        <item m="1" x="541"/>
        <item m="1" x="1618"/>
        <item m="1" x="1674"/>
        <item m="1" x="1778"/>
        <item m="1" x="911"/>
        <item m="1" x="2531"/>
        <item m="1" x="847"/>
        <item x="23"/>
        <item m="1" x="478"/>
        <item m="1" x="848"/>
        <item m="1" x="929"/>
        <item m="1" x="1844"/>
        <item m="1" x="1715"/>
        <item m="1" x="1710"/>
        <item m="1" x="1004"/>
        <item m="1" x="726"/>
        <item m="1" x="2135"/>
        <item m="1" x="1353"/>
        <item m="1" x="1717"/>
        <item m="1" x="1779"/>
        <item sd="0" m="1" x="465"/>
        <item m="1" x="1260"/>
        <item m="1" x="974"/>
        <item m="1" x="2533"/>
        <item m="1" x="188"/>
        <item m="1" x="2647"/>
        <item m="1" x="2686"/>
        <item m="1" x="866"/>
        <item m="1" x="1811"/>
        <item m="1" x="812"/>
        <item x="43"/>
        <item m="1" x="1718"/>
        <item m="1" x="1719"/>
        <item m="1" x="1398"/>
        <item m="1" x="1720"/>
        <item sd="0" m="1" x="2728"/>
        <item m="1" x="128"/>
        <item m="1" x="205"/>
        <item m="1" x="686"/>
        <item m="1" x="2622"/>
        <item m="1" x="1780"/>
        <item m="1" x="685"/>
        <item m="1" x="2416"/>
        <item m="1" x="2705"/>
        <item m="1" x="1333"/>
        <item m="1" x="1667"/>
        <item m="1" x="2136"/>
        <item m="1" x="1781"/>
        <item m="1" x="329"/>
        <item m="1" x="1724"/>
        <item m="1" x="206"/>
        <item m="1" x="153"/>
        <item m="1" x="2643"/>
        <item m="1" x="849"/>
        <item m="1" x="854"/>
        <item m="1" x="2631"/>
        <item m="1" x="471"/>
        <item m="1" x="2535"/>
        <item m="1" x="1902"/>
        <item m="1" x="722"/>
        <item m="1" x="540"/>
        <item m="1" x="2255"/>
        <item m="1" x="850"/>
        <item m="1" x="183"/>
        <item m="1" x="693"/>
        <item m="1" x="644"/>
        <item m="1" x="1726"/>
        <item m="1" x="967"/>
        <item sd="0" m="1" x="2117"/>
        <item m="1" x="397"/>
        <item m="1" x="1504"/>
        <item x="40"/>
        <item sd="0" m="1" x="2729"/>
        <item m="1" x="1273"/>
        <item m="1" x="2536"/>
        <item m="1" x="2470"/>
        <item m="1" x="429"/>
        <item m="1" x="2537"/>
        <item m="1" x="2538"/>
        <item m="1" x="2569"/>
        <item m="1" x="2539"/>
        <item m="1" x="1460"/>
        <item m="1" x="2058"/>
        <item m="1" x="2540"/>
        <item m="1" x="942"/>
        <item m="1" x="2031"/>
        <item m="1" x="1597"/>
        <item m="1" x="2541"/>
        <item m="1" x="1325"/>
        <item m="1" x="2071"/>
        <item m="1" x="828"/>
        <item m="1" x="430"/>
        <item m="1" x="1356"/>
        <item m="1" x="1031"/>
        <item x="16"/>
        <item m="1" x="1957"/>
        <item m="1" x="1434"/>
        <item m="1" x="874"/>
        <item m="1" x="2542"/>
        <item m="1" x="2543"/>
        <item m="1" x="249"/>
        <item m="1" x="207"/>
        <item m="1" x="2544"/>
        <item m="1" x="2545"/>
        <item m="1" x="2137"/>
        <item m="1" x="2138"/>
        <item m="1" x="1002"/>
        <item m="1" x="134"/>
        <item m="1" x="1732"/>
        <item m="1" x="1326"/>
        <item m="1" x="155"/>
        <item m="1" x="211"/>
        <item m="1" x="1161"/>
        <item x="36"/>
        <item m="1" x="141"/>
        <item m="1" x="2548"/>
        <item m="1" x="508"/>
        <item m="1" x="930"/>
        <item m="1" x="571"/>
        <item m="1" x="2372"/>
        <item m="1" x="2357"/>
        <item m="1" x="241"/>
        <item m="1" x="1733"/>
        <item m="1" x="1734"/>
        <item m="1" x="431"/>
        <item m="1" x="851"/>
        <item m="1" x="2546"/>
        <item m="1" x="532"/>
        <item m="1" x="1521"/>
        <item m="1" x="1554"/>
        <item m="1" x="2547"/>
        <item m="1" x="1782"/>
        <item m="1" x="1903"/>
        <item m="1" x="2549"/>
        <item m="1" x="1735"/>
        <item m="1" x="1650"/>
        <item m="1" x="1736"/>
        <item m="1" x="2708"/>
        <item t="default" sd="0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4"/>
    <field x="0"/>
  </rowFields>
  <rowItems count="1">
    <i t="grand">
      <x/>
    </i>
  </rowItems>
  <colItems count="1">
    <i/>
  </colItems>
  <pageFields count="1">
    <pageField fld="3" hier="-1"/>
  </pageFields>
  <dataFields count="1">
    <dataField name="Total" fld="9" baseField="0" baseItem="0" numFmtId="44"/>
  </dataFields>
  <formats count="9">
    <format dxfId="182">
      <pivotArea collapsedLevelsAreSubtotals="1" fieldPosition="0">
        <references count="1">
          <reference field="4" count="1">
            <x v="275"/>
          </reference>
        </references>
      </pivotArea>
    </format>
    <format dxfId="181">
      <pivotArea collapsedLevelsAreSubtotals="1" fieldPosition="0">
        <references count="1">
          <reference field="4" count="1">
            <x v="664"/>
          </reference>
        </references>
      </pivotArea>
    </format>
    <format dxfId="180">
      <pivotArea collapsedLevelsAreSubtotals="1" fieldPosition="0">
        <references count="1">
          <reference field="4" count="1">
            <x v="789"/>
          </reference>
        </references>
      </pivotArea>
    </format>
    <format dxfId="179">
      <pivotArea collapsedLevelsAreSubtotals="1" fieldPosition="0">
        <references count="1">
          <reference field="4" count="1">
            <x v="1446"/>
          </reference>
        </references>
      </pivotArea>
    </format>
    <format dxfId="178">
      <pivotArea collapsedLevelsAreSubtotals="1" fieldPosition="0">
        <references count="1">
          <reference field="4" count="1">
            <x v="1688"/>
          </reference>
        </references>
      </pivotArea>
    </format>
    <format dxfId="177">
      <pivotArea collapsedLevelsAreSubtotals="1" fieldPosition="0">
        <references count="1">
          <reference field="4" count="1">
            <x v="1989"/>
          </reference>
        </references>
      </pivotArea>
    </format>
    <format dxfId="176">
      <pivotArea dataOnly="0" labelOnly="1" fieldPosition="0">
        <references count="1">
          <reference field="4" count="6">
            <x v="275"/>
            <x v="664"/>
            <x v="789"/>
            <x v="1446"/>
            <x v="1688"/>
            <x v="1989"/>
          </reference>
        </references>
      </pivotArea>
    </format>
    <format dxfId="175">
      <pivotArea field="4" type="button" dataOnly="0" labelOnly="1" outline="0" axis="axisRow" fieldPosition="0"/>
    </format>
    <format dxfId="174">
      <pivotArea dataOnly="0" labelOnly="1" outline="0" axis="axisValues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C25108-E6AE-F540-98C6-D92803D3AD9A}" name="PivotTable6" cacheId="42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D4:E5" firstHeaderRow="1" firstDataRow="1" firstDataCol="1" rowPageCount="1" colPageCount="1"/>
  <pivotFields count="15">
    <pivotField showAll="0"/>
    <pivotField numFmtId="165" showAll="0"/>
    <pivotField axis="axisRow" showAll="0" measureFilter="1" sortType="ascending">
      <items count="537">
        <item m="1" x="433"/>
        <item x="0"/>
        <item x="1"/>
        <item x="2"/>
        <item m="1" x="209"/>
        <item x="3"/>
        <item m="1" x="352"/>
        <item m="1" x="358"/>
        <item m="1" x="215"/>
        <item m="1" x="182"/>
        <item m="1" x="297"/>
        <item m="1" x="373"/>
        <item m="1" x="192"/>
        <item m="1" x="381"/>
        <item m="1" x="202"/>
        <item m="1" x="303"/>
        <item x="4"/>
        <item x="5"/>
        <item x="6"/>
        <item m="1" x="533"/>
        <item m="1" x="295"/>
        <item m="1" x="184"/>
        <item m="1" x="488"/>
        <item x="7"/>
        <item m="1" x="510"/>
        <item x="8"/>
        <item x="9"/>
        <item x="10"/>
        <item m="1" x="426"/>
        <item x="11"/>
        <item x="12"/>
        <item x="13"/>
        <item x="14"/>
        <item m="1" x="413"/>
        <item m="1" x="518"/>
        <item m="1" x="385"/>
        <item m="1" x="392"/>
        <item x="15"/>
        <item x="16"/>
        <item m="1" x="504"/>
        <item x="17"/>
        <item m="1" x="447"/>
        <item m="1" x="481"/>
        <item x="18"/>
        <item x="19"/>
        <item m="1" x="347"/>
        <item m="1" x="354"/>
        <item m="1" x="411"/>
        <item m="1" x="418"/>
        <item m="1" x="186"/>
        <item x="20"/>
        <item m="1" x="277"/>
        <item m="1" x="214"/>
        <item x="21"/>
        <item m="1" x="479"/>
        <item m="1" x="436"/>
        <item x="22"/>
        <item m="1" x="367"/>
        <item m="1" x="267"/>
        <item x="23"/>
        <item m="1" x="219"/>
        <item x="24"/>
        <item m="1" x="265"/>
        <item m="1" x="357"/>
        <item x="25"/>
        <item x="26"/>
        <item x="27"/>
        <item m="1" x="228"/>
        <item m="1" x="485"/>
        <item x="28"/>
        <item m="1" x="469"/>
        <item m="1" x="394"/>
        <item x="29"/>
        <item m="1" x="435"/>
        <item x="30"/>
        <item m="1" x="248"/>
        <item x="31"/>
        <item x="32"/>
        <item x="33"/>
        <item x="34"/>
        <item x="35"/>
        <item m="1" x="482"/>
        <item x="36"/>
        <item m="1" x="226"/>
        <item m="1" x="235"/>
        <item x="37"/>
        <item m="1" x="283"/>
        <item x="38"/>
        <item m="1" x="213"/>
        <item m="1" x="274"/>
        <item m="1" x="425"/>
        <item m="1" x="205"/>
        <item m="1" x="345"/>
        <item m="1" x="532"/>
        <item m="1" x="346"/>
        <item m="1" x="443"/>
        <item m="1" x="331"/>
        <item m="1" x="396"/>
        <item m="1" x="253"/>
        <item x="39"/>
        <item m="1" x="501"/>
        <item m="1" x="387"/>
        <item x="40"/>
        <item m="1" x="355"/>
        <item x="41"/>
        <item x="42"/>
        <item x="43"/>
        <item x="44"/>
        <item x="45"/>
        <item m="1" x="289"/>
        <item m="1" x="475"/>
        <item m="1" x="521"/>
        <item m="1" x="200"/>
        <item m="1" x="376"/>
        <item m="1" x="221"/>
        <item m="1" x="270"/>
        <item x="46"/>
        <item m="1" x="431"/>
        <item m="1" x="292"/>
        <item m="1" x="414"/>
        <item m="1" x="375"/>
        <item m="1" x="471"/>
        <item x="47"/>
        <item m="1" x="393"/>
        <item x="48"/>
        <item m="1" x="494"/>
        <item x="49"/>
        <item x="50"/>
        <item m="1" x="183"/>
        <item x="51"/>
        <item m="1" x="416"/>
        <item x="52"/>
        <item m="1" x="290"/>
        <item m="1" x="341"/>
        <item m="1" x="439"/>
        <item m="1" x="257"/>
        <item m="1" x="340"/>
        <item m="1" x="256"/>
        <item x="53"/>
        <item m="1" x="203"/>
        <item x="54"/>
        <item x="55"/>
        <item x="56"/>
        <item m="1" x="529"/>
        <item x="57"/>
        <item m="1" x="461"/>
        <item m="1" x="415"/>
        <item x="58"/>
        <item m="1" x="238"/>
        <item x="59"/>
        <item x="60"/>
        <item m="1" x="452"/>
        <item m="1" x="457"/>
        <item x="61"/>
        <item m="1" x="508"/>
        <item m="1" x="208"/>
        <item m="1" x="321"/>
        <item m="1" x="390"/>
        <item x="62"/>
        <item m="1" x="293"/>
        <item m="1" x="232"/>
        <item m="1" x="366"/>
        <item m="1" x="310"/>
        <item x="63"/>
        <item m="1" x="400"/>
        <item m="1" x="446"/>
        <item m="1" x="251"/>
        <item x="64"/>
        <item x="65"/>
        <item m="1" x="349"/>
        <item x="66"/>
        <item x="67"/>
        <item m="1" x="259"/>
        <item m="1" x="519"/>
        <item x="68"/>
        <item m="1" x="490"/>
        <item x="69"/>
        <item m="1" x="344"/>
        <item m="1" x="255"/>
        <item x="70"/>
        <item x="71"/>
        <item m="1" x="406"/>
        <item x="72"/>
        <item m="1" x="458"/>
        <item x="73"/>
        <item m="1" x="196"/>
        <item m="1" x="314"/>
        <item m="1" x="419"/>
        <item x="74"/>
        <item x="75"/>
        <item x="76"/>
        <item m="1" x="404"/>
        <item m="1" x="302"/>
        <item m="1" x="372"/>
        <item m="1" x="316"/>
        <item x="77"/>
        <item m="1" x="279"/>
        <item m="1" x="276"/>
        <item m="1" x="361"/>
        <item m="1" x="468"/>
        <item m="1" x="371"/>
        <item m="1" x="258"/>
        <item m="1" x="260"/>
        <item m="1" x="430"/>
        <item m="1" x="187"/>
        <item x="78"/>
        <item x="79"/>
        <item x="80"/>
        <item m="1" x="227"/>
        <item m="1" x="427"/>
        <item x="81"/>
        <item m="1" x="395"/>
        <item m="1" x="407"/>
        <item m="1" x="473"/>
        <item m="1" x="445"/>
        <item m="1" x="405"/>
        <item m="1" x="252"/>
        <item m="1" x="464"/>
        <item x="82"/>
        <item m="1" x="230"/>
        <item x="83"/>
        <item m="1" x="514"/>
        <item m="1" x="456"/>
        <item m="1" x="517"/>
        <item m="1" x="325"/>
        <item m="1" x="422"/>
        <item m="1" x="505"/>
        <item m="1" x="241"/>
        <item x="84"/>
        <item m="1" x="195"/>
        <item m="1" x="233"/>
        <item x="85"/>
        <item m="1" x="286"/>
        <item m="1" x="250"/>
        <item x="86"/>
        <item m="1" x="189"/>
        <item m="1" x="470"/>
        <item x="87"/>
        <item x="88"/>
        <item x="89"/>
        <item m="1" x="465"/>
        <item x="90"/>
        <item x="91"/>
        <item m="1" x="489"/>
        <item m="1" x="268"/>
        <item m="1" x="300"/>
        <item m="1" x="360"/>
        <item x="92"/>
        <item m="1" x="315"/>
        <item m="1" x="263"/>
        <item m="1" x="278"/>
        <item m="1" x="199"/>
        <item m="1" x="486"/>
        <item m="1" x="454"/>
        <item m="1" x="211"/>
        <item m="1" x="317"/>
        <item x="93"/>
        <item m="1" x="298"/>
        <item m="1" x="288"/>
        <item x="94"/>
        <item m="1" x="448"/>
        <item x="95"/>
        <item m="1" x="307"/>
        <item m="1" x="294"/>
        <item m="1" x="450"/>
        <item m="1" x="190"/>
        <item m="1" x="512"/>
        <item x="96"/>
        <item x="97"/>
        <item x="98"/>
        <item m="1" x="516"/>
        <item m="1" x="365"/>
        <item m="1" x="242"/>
        <item m="1" x="377"/>
        <item m="1" x="491"/>
        <item x="99"/>
        <item m="1" x="472"/>
        <item x="100"/>
        <item m="1" x="384"/>
        <item x="101"/>
        <item x="102"/>
        <item m="1" x="309"/>
        <item m="1" x="311"/>
        <item x="103"/>
        <item x="104"/>
        <item m="1" x="291"/>
        <item m="1" x="338"/>
        <item m="1" x="285"/>
        <item m="1" x="306"/>
        <item x="105"/>
        <item m="1" x="386"/>
        <item m="1" x="197"/>
        <item m="1" x="528"/>
        <item m="1" x="223"/>
        <item m="1" x="275"/>
        <item m="1" x="194"/>
        <item x="106"/>
        <item m="1" x="403"/>
        <item m="1" x="525"/>
        <item m="1" x="324"/>
        <item m="1" x="201"/>
        <item m="1" x="243"/>
        <item x="107"/>
        <item m="1" x="434"/>
        <item m="1" x="362"/>
        <item x="108"/>
        <item m="1" x="363"/>
        <item m="1" x="437"/>
        <item m="1" x="339"/>
        <item m="1" x="329"/>
        <item m="1" x="284"/>
        <item m="1" x="441"/>
        <item x="109"/>
        <item m="1" x="244"/>
        <item x="110"/>
        <item m="1" x="225"/>
        <item m="1" x="442"/>
        <item m="1" x="402"/>
        <item m="1" x="333"/>
        <item m="1" x="224"/>
        <item x="111"/>
        <item m="1" x="217"/>
        <item m="1" x="188"/>
        <item x="112"/>
        <item m="1" x="383"/>
        <item x="113"/>
        <item m="1" x="212"/>
        <item m="1" x="313"/>
        <item x="114"/>
        <item m="1" x="507"/>
        <item x="115"/>
        <item x="116"/>
        <item m="1" x="493"/>
        <item x="117"/>
        <item m="1" x="330"/>
        <item m="1" x="389"/>
        <item m="1" x="234"/>
        <item m="1" x="408"/>
        <item x="118"/>
        <item x="119"/>
        <item m="1" x="220"/>
        <item m="1" x="506"/>
        <item m="1" x="391"/>
        <item x="120"/>
        <item m="1" x="266"/>
        <item m="1" x="509"/>
        <item m="1" x="374"/>
        <item x="121"/>
        <item m="1" x="359"/>
        <item m="1" x="305"/>
        <item m="1" x="282"/>
        <item x="122"/>
        <item m="1" x="280"/>
        <item x="123"/>
        <item x="124"/>
        <item m="1" x="356"/>
        <item m="1" x="327"/>
        <item m="1" x="398"/>
        <item m="1" x="246"/>
        <item m="1" x="498"/>
        <item x="125"/>
        <item x="126"/>
        <item m="1" x="451"/>
        <item x="127"/>
        <item m="1" x="530"/>
        <item m="1" x="388"/>
        <item x="128"/>
        <item m="1" x="206"/>
        <item m="1" x="191"/>
        <item m="1" x="322"/>
        <item x="129"/>
        <item m="1" x="417"/>
        <item m="1" x="308"/>
        <item m="1" x="534"/>
        <item m="1" x="440"/>
        <item m="1" x="254"/>
        <item x="130"/>
        <item m="1" x="455"/>
        <item m="1" x="523"/>
        <item x="131"/>
        <item m="1" x="296"/>
        <item x="132"/>
        <item x="133"/>
        <item m="1" x="474"/>
        <item m="1" x="334"/>
        <item m="1" x="531"/>
        <item m="1" x="229"/>
        <item x="134"/>
        <item x="135"/>
        <item m="1" x="535"/>
        <item m="1" x="476"/>
        <item x="136"/>
        <item x="137"/>
        <item m="1" x="239"/>
        <item m="1" x="478"/>
        <item x="138"/>
        <item x="139"/>
        <item x="140"/>
        <item m="1" x="423"/>
        <item m="1" x="401"/>
        <item m="1" x="193"/>
        <item x="141"/>
        <item m="1" x="397"/>
        <item m="1" x="526"/>
        <item x="142"/>
        <item m="1" x="271"/>
        <item x="143"/>
        <item m="1" x="428"/>
        <item x="144"/>
        <item x="145"/>
        <item x="146"/>
        <item x="147"/>
        <item x="148"/>
        <item m="1" x="247"/>
        <item x="149"/>
        <item m="1" x="502"/>
        <item m="1" x="207"/>
        <item m="1" x="222"/>
        <item m="1" x="462"/>
        <item m="1" x="520"/>
        <item m="1" x="410"/>
        <item m="1" x="336"/>
        <item m="1" x="511"/>
        <item m="1" x="328"/>
        <item m="1" x="424"/>
        <item m="1" x="421"/>
        <item m="1" x="499"/>
        <item m="1" x="515"/>
        <item m="1" x="527"/>
        <item m="1" x="379"/>
        <item x="150"/>
        <item m="1" x="369"/>
        <item x="151"/>
        <item m="1" x="237"/>
        <item m="1" x="323"/>
        <item x="152"/>
        <item x="153"/>
        <item x="154"/>
        <item m="1" x="348"/>
        <item m="1" x="236"/>
        <item x="155"/>
        <item x="156"/>
        <item m="1" x="483"/>
        <item m="1" x="420"/>
        <item m="1" x="503"/>
        <item m="1" x="332"/>
        <item m="1" x="204"/>
        <item m="1" x="460"/>
        <item x="157"/>
        <item x="158"/>
        <item m="1" x="326"/>
        <item m="1" x="513"/>
        <item x="159"/>
        <item m="1" x="351"/>
        <item m="1" x="216"/>
        <item m="1" x="262"/>
        <item m="1" x="320"/>
        <item m="1" x="453"/>
        <item m="1" x="272"/>
        <item m="1" x="500"/>
        <item x="160"/>
        <item m="1" x="484"/>
        <item m="1" x="231"/>
        <item m="1" x="399"/>
        <item x="161"/>
        <item m="1" x="304"/>
        <item m="1" x="382"/>
        <item m="1" x="318"/>
        <item m="1" x="319"/>
        <item m="1" x="429"/>
        <item m="1" x="378"/>
        <item m="1" x="269"/>
        <item m="1" x="496"/>
        <item m="1" x="281"/>
        <item m="1" x="495"/>
        <item m="1" x="301"/>
        <item x="162"/>
        <item x="163"/>
        <item m="1" x="353"/>
        <item m="1" x="210"/>
        <item m="1" x="343"/>
        <item m="1" x="312"/>
        <item m="1" x="497"/>
        <item m="1" x="185"/>
        <item m="1" x="350"/>
        <item m="1" x="249"/>
        <item m="1" x="368"/>
        <item m="1" x="438"/>
        <item m="1" x="264"/>
        <item m="1" x="342"/>
        <item m="1" x="198"/>
        <item m="1" x="240"/>
        <item m="1" x="467"/>
        <item x="164"/>
        <item m="1" x="337"/>
        <item m="1" x="524"/>
        <item m="1" x="299"/>
        <item x="165"/>
        <item m="1" x="459"/>
        <item m="1" x="218"/>
        <item m="1" x="466"/>
        <item m="1" x="492"/>
        <item x="166"/>
        <item m="1" x="477"/>
        <item m="1" x="449"/>
        <item m="1" x="409"/>
        <item m="1" x="480"/>
        <item x="167"/>
        <item m="1" x="522"/>
        <item x="168"/>
        <item m="1" x="261"/>
        <item m="1" x="245"/>
        <item m="1" x="412"/>
        <item m="1" x="432"/>
        <item x="169"/>
        <item m="1" x="444"/>
        <item m="1" x="370"/>
        <item x="170"/>
        <item x="171"/>
        <item x="172"/>
        <item m="1" x="287"/>
        <item m="1" x="273"/>
        <item x="173"/>
        <item m="1" x="487"/>
        <item x="174"/>
        <item m="1" x="463"/>
        <item x="175"/>
        <item m="1" x="335"/>
        <item x="176"/>
        <item m="1" x="380"/>
        <item m="1" x="364"/>
        <item x="177"/>
        <item x="178"/>
        <item x="179"/>
        <item x="180"/>
        <item m="1" x="181"/>
        <item t="default"/>
      </items>
    </pivotField>
    <pivotField axis="axisPage" multipleItemSelectionAllowed="1" showAll="0">
      <items count="41">
        <item h="1" x="2"/>
        <item h="1" x="7"/>
        <item h="1" x="3"/>
        <item h="1" m="1" x="35"/>
        <item h="1" x="20"/>
        <item h="1" m="1" x="32"/>
        <item h="1" x="5"/>
        <item h="1" x="6"/>
        <item x="11"/>
        <item h="1" x="15"/>
        <item h="1" m="1" x="30"/>
        <item h="1" x="1"/>
        <item h="1" x="16"/>
        <item h="1" x="21"/>
        <item h="1" x="19"/>
        <item h="1" x="8"/>
        <item h="1" x="0"/>
        <item h="1" x="9"/>
        <item h="1" x="13"/>
        <item h="1" x="4"/>
        <item h="1" x="10"/>
        <item h="1" m="1" x="38"/>
        <item h="1" m="1" x="33"/>
        <item h="1" m="1" x="26"/>
        <item h="1" x="12"/>
        <item h="1" m="1" x="28"/>
        <item h="1" m="1" x="36"/>
        <item h="1" m="1" x="37"/>
        <item h="1" m="1" x="29"/>
        <item h="1" m="1" x="39"/>
        <item h="1" m="1" x="23"/>
        <item h="1" m="1" x="31"/>
        <item h="1" m="1" x="25"/>
        <item h="1" x="17"/>
        <item h="1" m="1" x="34"/>
        <item h="1" x="14"/>
        <item h="1" m="1" x="24"/>
        <item h="1" m="1" x="27"/>
        <item h="1" x="18"/>
        <item h="1" x="22"/>
        <item t="default"/>
      </items>
    </pivotField>
    <pivotField showAll="0"/>
    <pivotField numFmtId="4" showAll="0"/>
    <pivotField numFmtId="4" showAll="0"/>
    <pivotField dataField="1" numFmtId="4" showAll="0"/>
    <pivotField numFmtId="4" showAll="0"/>
    <pivotField numFmtId="4" showAll="0"/>
    <pivotField numFmtId="166" showAll="0"/>
    <pivotField showAll="0"/>
    <pivotField showAll="0"/>
    <pivotField showAll="0"/>
    <pivotField showAll="0"/>
  </pivotFields>
  <rowFields count="1">
    <field x="2"/>
  </rowFields>
  <rowItems count="1">
    <i t="grand">
      <x/>
    </i>
  </rowItems>
  <colItems count="1">
    <i/>
  </colItems>
  <pageFields count="1">
    <pageField fld="3" hier="-1"/>
  </pageFields>
  <dataFields count="1">
    <dataField name="Total" fld="7" baseField="0" baseItem="0" numFmtId="44"/>
  </dataFields>
  <formats count="2">
    <format dxfId="184">
      <pivotArea field="2" type="button" dataOnly="0" labelOnly="1" outline="0" axis="axisRow" fieldPosition="0"/>
    </format>
    <format dxfId="183">
      <pivotArea dataOnly="0" labelOnly="1" outline="0" axis="axisValues" fieldPosition="0"/>
    </format>
  </formats>
  <pivotTableStyleInfo name="PivotStyleLight16" showRowHeaders="1" showColHeaders="1" showRowStripes="1" showColStripes="0" showLastColumn="1"/>
  <filters count="1">
    <filter fld="2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16AC6-7F2A-6E44-8B68-7C543F742417}" name="PivotTable5" cacheId="4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A4:B20" firstHeaderRow="1" firstDataRow="1" firstDataCol="1" rowPageCount="1" colPageCount="1"/>
  <pivotFields count="15">
    <pivotField axis="axisRow" showAll="0">
      <items count="71">
        <item x="56"/>
        <item x="64"/>
        <item x="57"/>
        <item x="65"/>
        <item x="25"/>
        <item x="34"/>
        <item x="36"/>
        <item x="30"/>
        <item x="21"/>
        <item x="52"/>
        <item x="13"/>
        <item x="44"/>
        <item x="14"/>
        <item x="22"/>
        <item x="16"/>
        <item x="29"/>
        <item x="2"/>
        <item x="8"/>
        <item x="51"/>
        <item x="20"/>
        <item x="26"/>
        <item x="35"/>
        <item x="19"/>
        <item x="6"/>
        <item x="61"/>
        <item x="4"/>
        <item x="43"/>
        <item x="11"/>
        <item x="54"/>
        <item x="33"/>
        <item x="38"/>
        <item x="39"/>
        <item x="63"/>
        <item x="17"/>
        <item x="55"/>
        <item x="0"/>
        <item x="1"/>
        <item m="1" x="67"/>
        <item x="46"/>
        <item x="45"/>
        <item x="24"/>
        <item x="18"/>
        <item x="50"/>
        <item x="58"/>
        <item x="59"/>
        <item x="7"/>
        <item x="47"/>
        <item x="31"/>
        <item x="53"/>
        <item x="48"/>
        <item x="23"/>
        <item x="27"/>
        <item x="32"/>
        <item x="37"/>
        <item x="49"/>
        <item m="1" x="68"/>
        <item m="1" x="69"/>
        <item x="3"/>
        <item x="9"/>
        <item x="60"/>
        <item x="28"/>
        <item x="10"/>
        <item x="66"/>
        <item x="62"/>
        <item x="40"/>
        <item x="41"/>
        <item x="42"/>
        <item x="12"/>
        <item x="15"/>
        <item x="5"/>
        <item t="default"/>
      </items>
    </pivotField>
    <pivotField showAll="0"/>
    <pivotField showAll="0"/>
    <pivotField axis="axisPage" multipleItemSelectionAllowed="1" showAll="0">
      <items count="49">
        <item h="1" x="10"/>
        <item h="1" x="15"/>
        <item h="1" x="17"/>
        <item h="1" x="5"/>
        <item h="1" x="7"/>
        <item h="1" m="1" x="18"/>
        <item x="6"/>
        <item h="1" x="12"/>
        <item h="1" x="14"/>
        <item h="1" m="1" x="36"/>
        <item h="1" x="3"/>
        <item h="1" x="8"/>
        <item h="1" x="9"/>
        <item h="1" m="1" x="41"/>
        <item h="1" m="1" x="42"/>
        <item h="1" x="13"/>
        <item h="1" x="0"/>
        <item h="1" m="1" x="23"/>
        <item h="1" m="1" x="45"/>
        <item h="1" m="1" x="47"/>
        <item h="1" x="1"/>
        <item h="1" m="1" x="39"/>
        <item h="1" x="4"/>
        <item h="1" m="1" x="44"/>
        <item h="1" m="1" x="46"/>
        <item h="1" x="2"/>
        <item h="1" m="1" x="40"/>
        <item h="1" x="11"/>
        <item h="1" m="1" x="34"/>
        <item h="1" m="1" x="21"/>
        <item h="1" m="1" x="31"/>
        <item h="1" m="1" x="33"/>
        <item h="1" m="1" x="22"/>
        <item h="1" m="1" x="20"/>
        <item h="1" m="1" x="26"/>
        <item h="1" m="1" x="27"/>
        <item h="1" m="1" x="19"/>
        <item h="1" x="16"/>
        <item h="1" m="1" x="43"/>
        <item h="1" m="1" x="24"/>
        <item h="1" m="1" x="25"/>
        <item h="1" m="1" x="28"/>
        <item h="1" m="1" x="29"/>
        <item h="1" m="1" x="30"/>
        <item h="1" m="1" x="32"/>
        <item h="1" m="1" x="35"/>
        <item h="1" m="1" x="37"/>
        <item h="1" m="1" x="38"/>
        <item t="default"/>
      </items>
    </pivotField>
    <pivotField axis="axisRow" showAll="0" sortType="ascending">
      <items count="2742">
        <item m="1" x="956"/>
        <item m="1" x="1464"/>
        <item m="1" x="2141"/>
        <item m="1" x="272"/>
        <item m="1" x="870"/>
        <item m="1" x="575"/>
        <item m="1" x="2057"/>
        <item m="1" x="1442"/>
        <item m="1" x="361"/>
        <item m="1" x="118"/>
        <item m="1" x="1346"/>
        <item m="1" x="725"/>
        <item m="1" x="1254"/>
        <item m="1" x="282"/>
        <item m="1" x="2036"/>
        <item m="1" x="2157"/>
        <item m="1" x="1796"/>
        <item m="1" x="951"/>
        <item sd="0" m="1" x="1887"/>
        <item m="1" x="1870"/>
        <item sd="0" m="1" x="2717"/>
        <item sd="0" x="5"/>
        <item m="1" x="491"/>
        <item m="1" x="1549"/>
        <item m="1" x="1484"/>
        <item m="1" x="727"/>
        <item m="1" x="1288"/>
        <item m="1" x="1739"/>
        <item m="1" x="804"/>
        <item sd="0" m="1" x="451"/>
        <item m="1" x="1888"/>
        <item x="12"/>
        <item m="1" x="2159"/>
        <item m="1" x="1623"/>
        <item m="1" x="2037"/>
        <item m="1" x="78"/>
        <item m="1" x="2611"/>
        <item m="1" x="1378"/>
        <item m="1" x="1556"/>
        <item m="1" x="959"/>
        <item m="1" x="177"/>
        <item m="1" x="2038"/>
        <item m="1" x="1737"/>
        <item m="1" x="2160"/>
        <item m="1" x="2161"/>
        <item m="1" x="357"/>
        <item m="1" x="1142"/>
        <item m="1" x="1003"/>
        <item sd="0" m="1" x="2688"/>
        <item m="1" x="2162"/>
        <item m="1" x="1096"/>
        <item m="1" x="1016"/>
        <item m="1" x="2039"/>
        <item m="1" x="88"/>
        <item m="1" x="1738"/>
        <item m="1" x="2163"/>
        <item m="1" x="1459"/>
        <item m="1" x="2164"/>
        <item m="1" x="2153"/>
        <item m="1" x="89"/>
        <item m="1" x="2165"/>
        <item m="1" x="730"/>
        <item m="1" x="1630"/>
        <item m="1" x="1005"/>
        <item m="1" x="2166"/>
        <item m="1" x="1348"/>
        <item m="1" x="1006"/>
        <item m="1" x="731"/>
        <item m="1" x="1651"/>
        <item m="1" x="2167"/>
        <item m="1" x="1008"/>
        <item m="1" x="2168"/>
        <item m="1" x="1367"/>
        <item m="1" x="2146"/>
        <item m="1" x="90"/>
        <item m="1" x="2169"/>
        <item m="1" x="266"/>
        <item m="1" x="922"/>
        <item m="1" x="442"/>
        <item m="1" x="364"/>
        <item m="1" x="732"/>
        <item m="1" x="1555"/>
        <item m="1" x="2170"/>
        <item m="1" x="418"/>
        <item m="1" x="887"/>
        <item m="1" x="265"/>
        <item m="1" x="292"/>
        <item m="1" x="2171"/>
        <item m="1" x="68"/>
        <item sd="0" m="1" x="521"/>
        <item m="1" x="616"/>
        <item m="1" x="2484"/>
        <item m="1" x="617"/>
        <item m="1" x="284"/>
        <item m="1" x="2172"/>
        <item m="1" x="2659"/>
        <item m="1" x="1617"/>
        <item m="1" x="1363"/>
        <item m="1" x="2173"/>
        <item sd="0" m="1" x="232"/>
        <item m="1" x="2174"/>
        <item m="1" x="2175"/>
        <item m="1" x="2176"/>
        <item m="1" x="2040"/>
        <item m="1" x="562"/>
        <item m="1" x="1476"/>
        <item m="1" x="242"/>
        <item m="1" x="181"/>
        <item m="1" x="1465"/>
        <item m="1" x="2678"/>
        <item m="1" x="1482"/>
        <item m="1" x="815"/>
        <item m="1" x="1128"/>
        <item m="1" x="2489"/>
        <item m="1" x="2177"/>
        <item m="1" x="2385"/>
        <item m="1" x="1129"/>
        <item m="1" x="2178"/>
        <item m="1" x="2181"/>
        <item m="1" x="1012"/>
        <item m="1" x="890"/>
        <item m="1" x="2182"/>
        <item m="1" x="1874"/>
        <item m="1" x="2183"/>
        <item m="1" x="1727"/>
        <item m="1" x="2184"/>
        <item m="1" x="1408"/>
        <item m="1" x="238"/>
        <item m="1" x="2185"/>
        <item m="1" x="93"/>
        <item m="1" x="1041"/>
        <item m="1" x="734"/>
        <item m="1" x="1042"/>
        <item m="1" x="1309"/>
        <item m="1" x="1399"/>
        <item m="1" x="1547"/>
        <item m="1" x="2186"/>
        <item m="1" x="344"/>
        <item m="1" x="94"/>
        <item m="1" x="2187"/>
        <item m="1" x="2188"/>
        <item m="1" x="983"/>
        <item m="1" x="2041"/>
        <item m="1" x="547"/>
        <item m="1" x="1359"/>
        <item m="1" x="1303"/>
        <item m="1" x="1552"/>
        <item m="1" x="981"/>
        <item m="1" x="54"/>
        <item sd="0" m="1" x="255"/>
        <item m="1" x="497"/>
        <item m="1" x="2190"/>
        <item m="1" x="2191"/>
        <item m="1" x="2192"/>
        <item m="1" x="2650"/>
        <item m="1" x="621"/>
        <item m="1" x="1045"/>
        <item m="1" x="880"/>
        <item m="1" x="1046"/>
        <item m="1" x="274"/>
        <item m="1" x="1047"/>
        <item m="1" x="2193"/>
        <item m="1" x="1049"/>
        <item m="1" x="1050"/>
        <item m="1" x="1962"/>
        <item m="1" x="735"/>
        <item m="1" x="2194"/>
        <item m="1" x="2083"/>
        <item m="1" x="2682"/>
        <item m="1" x="287"/>
        <item sd="0" m="1" x="432"/>
        <item m="1" x="472"/>
        <item m="1" x="1868"/>
        <item m="1" x="419"/>
        <item m="1" x="2389"/>
        <item m="1" x="1052"/>
        <item m="1" x="1053"/>
        <item m="1" x="2618"/>
        <item m="1" x="2637"/>
        <item m="1" x="2641"/>
        <item m="1" x="366"/>
        <item m="1" x="296"/>
        <item m="1" x="1218"/>
        <item m="1" x="1151"/>
        <item m="1" x="620"/>
        <item m="1" x="1344"/>
        <item m="1" x="1203"/>
        <item m="1" x="2195"/>
        <item m="1" x="736"/>
        <item m="1" x="538"/>
        <item m="1" x="2196"/>
        <item m="1" x="1200"/>
        <item m="1" x="1873"/>
        <item m="1" x="1744"/>
        <item m="1" x="2197"/>
        <item m="1" x="1505"/>
        <item m="1" x="622"/>
        <item m="1" x="2261"/>
        <item m="1" x="2000"/>
        <item m="1" x="374"/>
        <item m="1" x="1741"/>
        <item m="1" x="1948"/>
        <item m="1" x="1056"/>
        <item m="1" x="304"/>
        <item m="1" x="498"/>
        <item m="1" x="737"/>
        <item m="1" x="2042"/>
        <item m="1" x="2198"/>
        <item m="1" x="1643"/>
        <item m="1" x="1475"/>
        <item m="1" x="738"/>
        <item m="1" x="1058"/>
        <item m="1" x="1863"/>
        <item sd="0" m="1" x="2635"/>
        <item m="1" x="97"/>
        <item m="1" x="739"/>
        <item m="1" x="516"/>
        <item m="1" x="807"/>
        <item m="1" x="2651"/>
        <item m="1" x="2115"/>
        <item m="1" x="625"/>
        <item m="1" x="1978"/>
        <item m="1" x="2043"/>
        <item m="1" x="895"/>
        <item m="1" x="626"/>
        <item m="1" x="1063"/>
        <item m="1" x="1253"/>
        <item m="1" x="1393"/>
        <item m="1" x="1020"/>
        <item m="1" x="492"/>
        <item m="1" x="1804"/>
        <item m="1" x="2085"/>
        <item m="1" x="1900"/>
        <item m="1" x="1886"/>
        <item sd="0" m="1" x="573"/>
        <item m="1" x="2638"/>
        <item m="1" x="628"/>
        <item m="1" x="2508"/>
        <item m="1" x="464"/>
        <item m="1" x="1224"/>
        <item m="1" x="2002"/>
        <item m="1" x="1500"/>
        <item m="1" x="2199"/>
        <item m="1" x="448"/>
        <item m="1" x="412"/>
        <item m="1" x="98"/>
        <item m="1" x="1575"/>
        <item m="1" x="2601"/>
        <item m="1" x="1508"/>
        <item m="1" x="741"/>
        <item m="1" x="2200"/>
        <item m="1" x="175"/>
        <item m="1" x="1349"/>
        <item m="1" x="1622"/>
        <item m="1" x="2080"/>
        <item m="1" x="806"/>
        <item m="1" x="1981"/>
        <item m="1" x="594"/>
        <item m="1" x="2201"/>
        <item m="1" x="1947"/>
        <item m="1" x="1069"/>
        <item sd="0" m="1" x="47"/>
        <item m="1" x="1382"/>
        <item m="1" x="1701"/>
        <item sd="0" m="1" x="2681"/>
        <item m="1" x="1355"/>
        <item m="1" x="2202"/>
        <item m="1" x="1364"/>
        <item m="1" x="743"/>
        <item m="1" x="1072"/>
        <item m="1" x="1327"/>
        <item m="1" x="1240"/>
        <item m="1" x="250"/>
        <item m="1" x="2704"/>
        <item sd="0" m="1" x="301"/>
        <item sd="0" m="1" x="2726"/>
        <item m="1" x="2572"/>
        <item m="1" x="744"/>
        <item m="1" x="2018"/>
        <item m="1" x="1073"/>
        <item m="1" x="745"/>
        <item m="1" x="746"/>
        <item m="1" x="2204"/>
        <item m="1" x="1137"/>
        <item m="1" x="2205"/>
        <item m="1" x="529"/>
        <item m="1" x="577"/>
        <item m="1" x="215"/>
        <item m="1" x="499"/>
        <item m="1" x="1418"/>
        <item m="1" x="1940"/>
        <item m="1" x="474"/>
        <item m="1" x="986"/>
        <item m="1" x="72"/>
        <item m="1" x="1388"/>
        <item m="1" x="2206"/>
        <item m="1" x="99"/>
        <item m="1" x="1330"/>
        <item m="1" x="1237"/>
        <item m="1" x="1282"/>
        <item m="1" x="1294"/>
        <item m="1" x="2207"/>
        <item m="1" x="2208"/>
        <item m="1" x="811"/>
        <item m="1" x="747"/>
        <item m="1" x="1310"/>
        <item sd="0" m="1" x="2081"/>
        <item m="1" x="1771"/>
        <item sd="0" m="1" x="449"/>
        <item m="1" x="1341"/>
        <item m="1" x="1878"/>
        <item m="1" x="159"/>
        <item m="1" x="576"/>
        <item m="1" x="551"/>
        <item m="1" x="2209"/>
        <item m="1" x="2003"/>
        <item m="1" x="1078"/>
        <item m="1" x="2210"/>
        <item m="1" x="1453"/>
        <item m="1" x="1935"/>
        <item m="1" x="251"/>
        <item m="1" x="1574"/>
        <item m="1" x="1306"/>
        <item m="1" x="1905"/>
        <item m="1" x="1652"/>
        <item m="1" x="313"/>
        <item sd="0" m="1" x="631"/>
        <item m="1" x="1079"/>
        <item m="1" x="526"/>
        <item m="1" x="1757"/>
        <item m="1" x="2211"/>
        <item m="1" x="1037"/>
        <item m="1" x="561"/>
        <item m="1" x="926"/>
        <item m="1" x="2577"/>
        <item m="1" x="2212"/>
        <item m="1" x="1360"/>
        <item m="1" x="2086"/>
        <item m="1" x="1377"/>
        <item m="1" x="2213"/>
        <item m="1" x="100"/>
        <item m="1" x="476"/>
        <item m="1" x="1336"/>
        <item m="1" x="1907"/>
        <item m="1" x="1956"/>
        <item m="1" x="1909"/>
        <item m="1" x="452"/>
        <item m="1" x="109"/>
        <item m="1" x="399"/>
        <item m="1" x="1083"/>
        <item m="1" x="2214"/>
        <item m="1" x="1085"/>
        <item m="1" x="748"/>
        <item m="1" x="2215"/>
        <item m="1" x="2589"/>
        <item m="1" x="1087"/>
        <item m="1" x="254"/>
        <item sd="0" m="1" x="2563"/>
        <item m="1" x="749"/>
        <item m="1" x="1088"/>
        <item m="1" x="2581"/>
        <item m="1" x="81"/>
        <item m="1" x="1095"/>
        <item m="1" x="158"/>
        <item m="1" x="950"/>
        <item m="1" x="979"/>
        <item m="1" x="1098"/>
        <item sd="0" m="1" x="2571"/>
        <item m="1" x="1084"/>
        <item x="38"/>
        <item m="1" x="2630"/>
        <item sd="0" m="1" x="103"/>
        <item sd="0" m="1" x="2716"/>
        <item sd="0" m="1" x="633"/>
        <item m="1" x="1438"/>
        <item m="1" x="1147"/>
        <item m="1" x="1520"/>
        <item m="1" x="1149"/>
        <item m="1" x="102"/>
        <item m="1" x="1091"/>
        <item m="1" x="115"/>
        <item sd="0" m="1" x="116"/>
        <item m="1" x="1152"/>
        <item m="1" x="618"/>
        <item m="1" x="1380"/>
        <item m="1" x="117"/>
        <item m="1" x="649"/>
        <item m="1" x="648"/>
        <item m="1" x="1089"/>
        <item m="1" x="2670"/>
        <item m="1" x="2216"/>
        <item sd="0" m="1" x="1090"/>
        <item m="1" x="2004"/>
        <item m="1" x="1021"/>
        <item m="1" x="523"/>
        <item m="1" x="578"/>
        <item m="1" x="1764"/>
        <item m="1" x="908"/>
        <item m="1" x="2560"/>
        <item m="1" x="1803"/>
        <item m="1" x="2242"/>
        <item sd="0" m="1" x="49"/>
        <item m="1" x="2044"/>
        <item m="1" x="1397"/>
        <item m="1" x="2649"/>
        <item m="1" x="2217"/>
        <item m="1" x="1163"/>
        <item m="1" x="148"/>
        <item m="1" x="2596"/>
        <item m="1" x="167"/>
        <item m="1" x="970"/>
        <item m="1" x="1094"/>
        <item m="1" x="2218"/>
        <item m="1" x="1898"/>
        <item m="1" x="2219"/>
        <item m="1" x="883"/>
        <item m="1" x="873"/>
        <item m="1" x="2600"/>
        <item m="1" x="2380"/>
        <item m="1" x="1932"/>
        <item m="1" x="1062"/>
        <item m="1" x="2220"/>
        <item m="1" x="1952"/>
        <item m="1" x="1082"/>
        <item m="1" x="1289"/>
        <item sd="0" m="1" x="2721"/>
        <item m="1" x="106"/>
        <item m="1" x="360"/>
        <item m="1" x="1998"/>
        <item m="1" x="2339"/>
        <item m="1" x="2667"/>
        <item m="1" x="545"/>
        <item m="1" x="2087"/>
        <item m="1" x="751"/>
        <item m="1" x="107"/>
        <item m="1" x="509"/>
        <item sd="0" m="1" x="259"/>
        <item m="1" x="1097"/>
        <item m="1" x="1080"/>
        <item x="10"/>
        <item m="1" x="2559"/>
        <item m="1" x="1621"/>
        <item m="1" x="753"/>
        <item sd="0" m="1" x="331"/>
        <item m="1" x="932"/>
        <item x="22"/>
        <item x="1"/>
        <item m="1" x="2221"/>
        <item m="1" x="2222"/>
        <item m="1" x="369"/>
        <item m="1" x="453"/>
        <item m="1" x="58"/>
        <item m="1" x="437"/>
        <item m="1" x="1687"/>
        <item m="1" x="1099"/>
        <item m="1" x="2224"/>
        <item m="1" x="2045"/>
        <item m="1" x="2608"/>
        <item m="1" x="1783"/>
        <item sd="0" m="1" x="1885"/>
        <item m="1" x="636"/>
        <item m="1" x="108"/>
        <item m="1" x="52"/>
        <item m="1" x="1103"/>
        <item sd="0" x="18"/>
        <item m="1" x="1993"/>
        <item m="1" x="2016"/>
        <item m="1" x="1911"/>
        <item sd="0" m="1" x="593"/>
        <item m="1" x="754"/>
        <item m="1" x="755"/>
        <item m="1" x="407"/>
        <item m="1" x="356"/>
        <item m="1" x="1104"/>
        <item m="1" x="2225"/>
        <item m="1" x="1105"/>
        <item m="1" x="756"/>
        <item m="1" x="2158"/>
        <item m="1" x="752"/>
        <item m="1" x="2046"/>
        <item m="1" x="2226"/>
        <item m="1" x="1913"/>
        <item m="1" x="2150"/>
        <item m="1" x="919"/>
        <item m="1" x="2020"/>
        <item m="1" x="208"/>
        <item m="1" x="1708"/>
        <item m="1" x="1111"/>
        <item m="1" x="454"/>
        <item m="1" x="1112"/>
        <item m="1" x="309"/>
        <item m="1" x="1869"/>
        <item m="1" x="302"/>
        <item m="1" x="852"/>
        <item m="1" x="1205"/>
        <item m="1" x="1113"/>
        <item m="1" x="713"/>
        <item m="1" x="638"/>
        <item m="1" x="1210"/>
        <item m="1" x="1070"/>
        <item m="1" x="1805"/>
        <item m="1" x="1806"/>
        <item m="1" x="216"/>
        <item m="1" x="1809"/>
        <item m="1" x="875"/>
        <item m="1" x="2669"/>
        <item m="1" x="1126"/>
        <item m="1" x="110"/>
        <item m="1" x="1054"/>
        <item m="1" x="1830"/>
        <item m="1" x="1832"/>
        <item m="1" x="1818"/>
        <item m="1" x="1106"/>
        <item x="19"/>
        <item m="1" x="1043"/>
        <item m="1" x="1712"/>
        <item x="33"/>
        <item m="1" x="1615"/>
        <item sd="0" m="1" x="1810"/>
        <item sd="0" m="1" x="1114"/>
        <item m="1" x="1143"/>
        <item m="1" x="1535"/>
        <item m="1" x="1812"/>
        <item m="1" x="2088"/>
        <item m="1" x="1813"/>
        <item m="1" x="111"/>
        <item m="1" x="2228"/>
        <item m="1" x="1000"/>
        <item m="1" x="2229"/>
        <item m="1" x="2578"/>
        <item m="1" x="2230"/>
        <item m="1" x="1030"/>
        <item m="1" x="2564"/>
        <item m="1" x="946"/>
        <item m="1" x="2231"/>
        <item m="1" x="50"/>
        <item m="1" x="378"/>
        <item m="1" x="2232"/>
        <item m="1" x="2456"/>
        <item sd="0" m="1" x="276"/>
        <item m="1" x="758"/>
        <item m="1" x="1010"/>
        <item m="1" x="1120"/>
        <item m="1" x="900"/>
        <item m="1" x="2663"/>
        <item m="1" x="2233"/>
        <item m="1" x="1015"/>
        <item m="1" x="1026"/>
        <item m="1" x="641"/>
        <item m="1" x="642"/>
        <item m="1" x="597"/>
        <item m="1" x="2606"/>
        <item sd="0" m="1" x="643"/>
        <item m="1" x="1918"/>
        <item m="1" x="635"/>
        <item m="1" x="1123"/>
        <item m="1" x="2234"/>
        <item m="1" x="112"/>
        <item m="1" x="1742"/>
        <item m="1" x="878"/>
        <item m="1" x="2235"/>
        <item m="1" x="1984"/>
        <item m="1" x="2007"/>
        <item m="1" x="2236"/>
        <item m="1" x="759"/>
        <item m="1" x="933"/>
        <item m="1" x="436"/>
        <item m="1" x="2664"/>
        <item m="1" x="2078"/>
        <item m="1" x="1775"/>
        <item m="1" x="2586"/>
        <item m="1" x="475"/>
        <item m="1" x="1109"/>
        <item m="1" x="2674"/>
        <item m="1" x="2657"/>
        <item m="1" x="1700"/>
        <item m="1" x="539"/>
        <item m="1" x="455"/>
        <item m="1" x="952"/>
        <item m="1" x="315"/>
        <item m="1" x="408"/>
        <item m="1" x="867"/>
        <item m="1" x="2506"/>
        <item m="1" x="114"/>
        <item m="1" x="2237"/>
        <item m="1" x="1402"/>
        <item m="1" x="164"/>
        <item m="1" x="645"/>
        <item m="1" x="1638"/>
        <item m="1" x="1139"/>
        <item m="1" x="1146"/>
        <item m="1" x="554"/>
        <item m="1" x="2634"/>
        <item m="1" x="994"/>
        <item m="1" x="2465"/>
        <item m="1" x="1406"/>
        <item m="1" x="1236"/>
        <item m="1" x="1959"/>
        <item m="1" x="1247"/>
        <item m="1" x="1481"/>
        <item m="1" x="1876"/>
        <item m="1" x="1141"/>
        <item m="1" x="1065"/>
        <item sd="0" m="1" x="646"/>
        <item sd="0" m="1" x="2731"/>
        <item m="1" x="1573"/>
        <item m="1" x="647"/>
        <item m="1" x="2239"/>
        <item m="1" x="126"/>
        <item sd="0" m="1" x="96"/>
        <item m="1" x="1329"/>
        <item m="1" x="760"/>
        <item m="1" x="1270"/>
        <item m="1" x="2558"/>
        <item m="1" x="869"/>
        <item sd="0" m="1" x="1145"/>
        <item m="1" x="1510"/>
        <item x="20"/>
        <item m="1" x="1175"/>
        <item m="1" x="1795"/>
        <item m="1" x="1124"/>
        <item m="1" x="1802"/>
        <item sd="0" x="7"/>
        <item x="37"/>
        <item m="1" x="1298"/>
        <item m="1" x="1339"/>
        <item m="1" x="1816"/>
        <item m="1" x="1762"/>
        <item m="1" x="1532"/>
        <item m="1" x="2240"/>
        <item m="1" x="871"/>
        <item sd="0" m="1" x="2718"/>
        <item m="1" x="91"/>
        <item m="1" x="2241"/>
        <item m="1" x="2030"/>
        <item m="1" x="1672"/>
        <item m="1" x="761"/>
        <item m="1" x="2089"/>
        <item m="1" x="2227"/>
        <item m="1" x="762"/>
        <item m="1" x="1148"/>
        <item m="1" x="316"/>
        <item m="1" x="2633"/>
        <item m="1" x="1242"/>
        <item m="1" x="260"/>
        <item m="1" x="1412"/>
        <item m="1" x="1384"/>
        <item m="1" x="763"/>
        <item m="1" x="1682"/>
        <item m="1" x="385"/>
        <item sd="0" m="1" x="591"/>
        <item m="1" x="1565"/>
        <item m="1" x="2243"/>
        <item m="1" x="1153"/>
        <item m="1" x="500"/>
        <item m="1" x="2552"/>
        <item sd="0" m="1" x="217"/>
        <item m="1" x="1229"/>
        <item m="1" x="373"/>
        <item m="1" x="433"/>
        <item m="1" x="2632"/>
        <item m="1" x="1092"/>
        <item m="1" x="1241"/>
        <item m="1" x="1743"/>
        <item sd="0" m="1" x="244"/>
        <item m="1" x="444"/>
        <item m="1" x="2047"/>
        <item m="1" x="1403"/>
        <item m="1" x="1644"/>
        <item m="1" x="1158"/>
        <item m="1" x="1612"/>
        <item m="1" x="372"/>
        <item sd="0" m="1" x="2588"/>
        <item m="1" x="1872"/>
        <item m="1" x="1478"/>
        <item m="1" x="2244"/>
        <item sd="0" m="1" x="1865"/>
        <item m="1" x="319"/>
        <item m="1" x="303"/>
        <item m="1" x="1879"/>
        <item m="1" x="2351"/>
        <item m="1" x="1875"/>
        <item sd="0" m="1" x="2090"/>
        <item m="1" x="2245"/>
        <item m="1" x="2072"/>
        <item m="1" x="2374"/>
        <item m="1" x="2091"/>
        <item m="1" x="311"/>
        <item m="1" x="2246"/>
        <item m="1" x="2247"/>
        <item m="1" x="333"/>
        <item m="1" x="765"/>
        <item m="1" x="1318"/>
        <item m="1" x="2248"/>
        <item m="1" x="1276"/>
        <item m="1" x="650"/>
        <item m="1" x="2557"/>
        <item m="1" x="997"/>
        <item m="1" x="1130"/>
        <item m="1" x="2249"/>
        <item m="1" x="1362"/>
        <item m="1" x="1836"/>
        <item m="1" x="131"/>
        <item m="1" x="202"/>
        <item m="1" x="2250"/>
        <item m="1" x="321"/>
        <item m="1" x="146"/>
        <item m="1" x="2697"/>
        <item m="1" x="652"/>
        <item sd="0" m="1" x="740"/>
        <item m="1" x="920"/>
        <item m="1" x="291"/>
        <item m="1" x="1170"/>
        <item m="1" x="513"/>
        <item m="1" x="2251"/>
        <item m="1" x="1899"/>
        <item m="1" x="766"/>
        <item sd="0" m="1" x="456"/>
        <item m="1" x="1171"/>
        <item m="1" x="2687"/>
        <item m="1" x="1172"/>
        <item m="1" x="1439"/>
        <item m="1" x="2252"/>
        <item m="1" x="1544"/>
        <item m="1" x="2143"/>
        <item m="1" x="653"/>
        <item m="1" x="615"/>
        <item m="1" x="2615"/>
        <item m="1" x="550"/>
        <item m="1" x="1174"/>
        <item m="1" x="2253"/>
        <item m="1" x="2254"/>
        <item sd="0" m="1" x="445"/>
        <item m="1" x="290"/>
        <item m="1" x="1305"/>
        <item m="1" x="1930"/>
        <item m="1" x="767"/>
        <item m="1" x="992"/>
        <item sd="0" m="1" x="2565"/>
        <item m="1" x="2658"/>
        <item m="1" x="1915"/>
        <item m="1" x="1221"/>
        <item m="1" x="411"/>
        <item m="1" x="2257"/>
        <item m="1" x="1211"/>
        <item m="1" x="2258"/>
        <item m="1" x="1931"/>
        <item m="1" x="84"/>
        <item m="1" x="1745"/>
        <item m="1" x="1135"/>
        <item m="1" x="2092"/>
        <item m="1" x="654"/>
        <item m="1" x="1413"/>
        <item m="1" x="1131"/>
        <item m="1" x="1215"/>
        <item m="1" x="947"/>
        <item m="1" x="1668"/>
        <item m="1" x="1179"/>
        <item m="1" x="85"/>
        <item m="1" x="553"/>
        <item m="1" x="768"/>
        <item m="1" x="1194"/>
        <item sd="0" x="31"/>
        <item m="1" x="1140"/>
        <item m="1" x="655"/>
        <item m="1" x="233"/>
        <item m="1" x="769"/>
        <item x="27"/>
        <item m="1" x="1627"/>
        <item m="1" x="945"/>
        <item m="1" x="1746"/>
        <item m="1" x="322"/>
        <item m="1" x="1747"/>
        <item m="1" x="1664"/>
        <item m="1" x="1515"/>
        <item m="1" x="1600"/>
        <item m="1" x="1181"/>
        <item m="1" x="1877"/>
        <item m="1" x="2073"/>
        <item m="1" x="891"/>
        <item m="1" x="574"/>
        <item m="1" x="2262"/>
        <item m="1" x="1748"/>
        <item m="1" x="570"/>
        <item m="1" x="2093"/>
        <item m="1" x="2263"/>
        <item m="1" x="1183"/>
        <item sd="0" m="1" x="2642"/>
        <item m="1" x="171"/>
        <item sd="0" m="1" x="256"/>
        <item m="1" x="1405"/>
        <item m="1" x="1531"/>
        <item m="1" x="488"/>
        <item m="1" x="443"/>
        <item m="1" x="122"/>
        <item m="1" x="1186"/>
        <item m="1" x="2264"/>
        <item m="1" x="326"/>
        <item m="1" x="2265"/>
        <item m="1" x="327"/>
        <item m="1" x="978"/>
        <item m="1" x="2266"/>
        <item m="1" x="248"/>
        <item m="1" x="534"/>
        <item m="1" x="1506"/>
        <item m="1" x="2077"/>
        <item m="1" x="1498"/>
        <item m="1" x="1287"/>
        <item m="1" x="156"/>
        <item m="1" x="394"/>
        <item m="1" x="1361"/>
        <item m="1" x="1592"/>
        <item m="1" x="1492"/>
        <item m="1" x="1468"/>
        <item m="1" x="2580"/>
        <item m="1" x="1568"/>
        <item m="1" x="2026"/>
        <item m="1" x="664"/>
        <item m="1" x="1955"/>
        <item m="1" x="2267"/>
        <item m="1" x="295"/>
        <item m="1" x="1191"/>
        <item m="1" x="1729"/>
        <item m="1" x="771"/>
        <item m="1" x="1195"/>
        <item m="1" x="1571"/>
        <item m="1" x="2094"/>
        <item m="1" x="2015"/>
        <item m="1" x="2524"/>
        <item m="1" x="2271"/>
        <item m="1" x="1789"/>
        <item m="1" x="306"/>
        <item m="1" x="1954"/>
        <item m="1" x="865"/>
        <item m="1" x="1835"/>
        <item m="1" x="801"/>
        <item m="1" x="1790"/>
        <item m="1" x="2272"/>
        <item m="1" x="1774"/>
        <item m="1" x="1653"/>
        <item m="1" x="1441"/>
        <item m="1" x="2095"/>
        <item m="1" x="2274"/>
        <item m="1" x="1793"/>
        <item m="1" x="990"/>
        <item m="1" x="2273"/>
        <item m="1" x="1819"/>
        <item m="1" x="2275"/>
        <item m="1" x="2076"/>
        <item m="1" x="2276"/>
        <item m="1" x="1204"/>
        <item m="1" x="1526"/>
        <item m="1" x="2145"/>
        <item m="1" x="1503"/>
        <item m="1" x="560"/>
        <item m="1" x="1550"/>
        <item m="1" x="872"/>
        <item m="1" x="2277"/>
        <item m="1" x="1425"/>
        <item m="1" x="1340"/>
        <item m="1" x="1167"/>
        <item m="1" x="2278"/>
        <item m="1" x="2279"/>
        <item m="1" x="772"/>
        <item m="1" x="728"/>
        <item m="1" x="658"/>
        <item m="1" x="1176"/>
        <item m="1" x="1315"/>
        <item m="1" x="2096"/>
        <item m="1" x="123"/>
        <item m="1" x="1337"/>
        <item m="1" x="270"/>
        <item m="1" x="2280"/>
        <item m="1" x="125"/>
        <item m="1" x="2074"/>
        <item m="1" x="2281"/>
        <item m="1" x="2282"/>
        <item m="1" x="659"/>
        <item m="1" x="1450"/>
        <item m="1" x="2283"/>
        <item m="1" x="925"/>
        <item m="1" x="1470"/>
        <item m="1" x="1209"/>
        <item m="1" x="660"/>
        <item m="1" x="2550"/>
        <item m="1" x="2648"/>
        <item m="1" x="2345"/>
        <item m="1" x="2097"/>
        <item m="1" x="2048"/>
        <item x="0"/>
        <item m="1" x="1497"/>
        <item m="1" x="2627"/>
        <item m="1" x="1763"/>
        <item m="1" x="1212"/>
        <item m="1" x="410"/>
        <item m="1" x="1961"/>
        <item m="1" x="917"/>
        <item m="1" x="988"/>
        <item m="1" x="1197"/>
        <item m="1" x="2284"/>
        <item m="1" x="1213"/>
        <item m="1" x="773"/>
        <item m="1" x="1214"/>
        <item m="1" x="1686"/>
        <item m="1" x="218"/>
        <item sd="0" m="1" x="1509"/>
        <item sd="0" m="1" x="724"/>
        <item m="1" x="1557"/>
        <item sd="0" m="1" x="330"/>
        <item m="1" x="1216"/>
        <item m="1" x="457"/>
        <item m="1" x="1162"/>
        <item m="1" x="2285"/>
        <item m="1" x="2155"/>
        <item m="1" x="2286"/>
        <item m="1" x="2579"/>
        <item m="1" x="1219"/>
        <item m="1" x="2287"/>
        <item m="1" x="2098"/>
        <item m="1" x="2288"/>
        <item m="1" x="1466"/>
        <item m="1" x="2612"/>
        <item m="1" x="2049"/>
        <item m="1" x="176"/>
        <item m="1" x="1749"/>
        <item m="1" x="1455"/>
        <item m="1" x="458"/>
        <item m="1" x="1933"/>
        <item m="1" x="1658"/>
        <item m="1" x="775"/>
        <item m="1" x="459"/>
        <item sd="0" m="1" x="129"/>
        <item m="1" x="219"/>
        <item m="1" x="2180"/>
        <item m="1" x="750"/>
        <item m="1" x="1044"/>
        <item m="1" x="661"/>
        <item m="1" x="663"/>
        <item m="1" x="809"/>
        <item m="1" x="130"/>
        <item m="1" x="585"/>
        <item m="1" x="1624"/>
        <item m="1" x="943"/>
        <item m="1" x="80"/>
        <item m="1" x="1817"/>
        <item m="1" x="2289"/>
        <item sd="0" m="1" x="1997"/>
        <item m="1" x="960"/>
        <item m="1" x="665"/>
        <item m="1" x="505"/>
        <item m="1" x="2100"/>
        <item m="1" x="332"/>
        <item m="1" x="776"/>
        <item m="1" x="2290"/>
        <item m="1" x="2291"/>
        <item m="1" x="1169"/>
        <item m="1" x="1022"/>
        <item sd="0" m="1" x="2101"/>
        <item sd="0" m="1" x="2710"/>
        <item m="1" x="2292"/>
        <item sd="0" m="1" x="182"/>
        <item m="1" x="48"/>
        <item m="1" x="2269"/>
        <item m="1" x="607"/>
        <item m="1" x="2388"/>
        <item m="1" x="252"/>
        <item m="1" x="2692"/>
        <item m="1" x="320"/>
        <item m="1" x="863"/>
        <item m="1" x="2293"/>
        <item m="1" x="1436"/>
        <item m="1" x="2102"/>
        <item m="1" x="376"/>
        <item m="1" x="2513"/>
        <item m="1" x="359"/>
        <item m="1" x="2147"/>
        <item m="1" x="2154"/>
        <item m="1" x="662"/>
        <item m="1" x="334"/>
        <item sd="0" m="1" x="235"/>
        <item m="1" x="2103"/>
        <item m="1" x="76"/>
        <item m="1" x="1919"/>
        <item m="1" x="405"/>
        <item m="1" x="2534"/>
        <item m="1" x="2104"/>
        <item m="1" x="2294"/>
        <item m="1" x="1972"/>
        <item m="1" x="1228"/>
        <item m="1" x="1788"/>
        <item sd="0" x="46"/>
        <item m="1" x="1189"/>
        <item m="1" x="462"/>
        <item m="1" x="1901"/>
        <item m="1" x="777"/>
        <item m="1" x="2592"/>
        <item m="1" x="335"/>
        <item m="1" x="2295"/>
        <item m="1" x="2296"/>
        <item m="1" x="612"/>
        <item m="1" x="1027"/>
        <item m="1" x="363"/>
        <item m="1" x="1750"/>
        <item m="1" x="1230"/>
        <item sd="0" m="1" x="1799"/>
        <item m="1" x="1231"/>
        <item m="1" x="2297"/>
        <item m="1" x="1936"/>
        <item m="1" x="579"/>
        <item m="1" x="220"/>
        <item m="1" x="666"/>
        <item m="1" x="391"/>
        <item sd="0" m="1" x="2724"/>
        <item m="1" x="2701"/>
        <item m="1" x="2656"/>
        <item m="1" x="778"/>
        <item m="1" x="1675"/>
        <item m="1" x="2298"/>
        <item m="1" x="53"/>
        <item sd="0" m="1" x="1820"/>
        <item m="1" x="1232"/>
        <item m="1" x="1853"/>
        <item m="1" x="1469"/>
        <item m="1" x="61"/>
        <item m="1" x="1884"/>
        <item m="1" x="1941"/>
        <item sd="0" m="1" x="623"/>
        <item m="1" x="2386"/>
        <item m="1" x="1263"/>
        <item m="1" x="1971"/>
        <item m="1" x="1039"/>
        <item m="1" x="1233"/>
        <item m="1" x="530"/>
        <item m="1" x="1892"/>
        <item m="1" x="2300"/>
        <item m="1" x="1165"/>
        <item m="1" x="1507"/>
        <item m="1" x="779"/>
        <item m="1" x="2645"/>
        <item m="1" x="2106"/>
        <item m="1" x="358"/>
        <item m="1" x="2301"/>
        <item m="1" x="1386"/>
        <item m="1" x="1822"/>
        <item m="1" x="1235"/>
        <item m="1" x="318"/>
        <item m="1" x="2302"/>
        <item m="1" x="1009"/>
        <item m="1" x="1108"/>
        <item m="1" x="2303"/>
        <item m="1" x="2304"/>
        <item m="1" x="1437"/>
        <item m="1" x="581"/>
        <item m="1" x="1100"/>
        <item m="1" x="1071"/>
        <item m="1" x="2305"/>
        <item m="1" x="370"/>
        <item m="1" x="1259"/>
        <item m="1" x="59"/>
        <item m="1" x="1683"/>
        <item m="1" x="336"/>
        <item m="1" x="60"/>
        <item sd="0" m="1" x="337"/>
        <item m="1" x="2306"/>
        <item m="1" x="1245"/>
        <item m="1" x="2307"/>
        <item m="1" x="268"/>
        <item m="1" x="512"/>
        <item m="1" x="1177"/>
        <item m="1" x="868"/>
        <item m="1" x="667"/>
        <item m="1" x="1516"/>
        <item m="1" x="494"/>
        <item m="1" x="1238"/>
        <item m="1" x="388"/>
        <item m="1" x="283"/>
        <item m="1" x="104"/>
        <item m="1" x="1513"/>
        <item m="1" x="2107"/>
        <item m="1" x="1539"/>
        <item m="1" x="537"/>
        <item m="1" x="1752"/>
        <item m="1" x="101"/>
        <item m="1" x="195"/>
        <item m="1" x="338"/>
        <item m="1" x="668"/>
        <item m="1" x="1193"/>
        <item m="1" x="438"/>
        <item sd="0" m="1" x="221"/>
        <item x="32"/>
        <item m="1" x="2309"/>
        <item m="1" x="2310"/>
        <item m="1" x="1679"/>
        <item m="1" x="2311"/>
        <item m="1" x="948"/>
        <item m="1" x="1928"/>
        <item m="1" x="1551"/>
        <item sd="0" m="1" x="288"/>
        <item sd="0" m="1" x="273"/>
        <item sd="0" m="1" x="1711"/>
        <item m="1" x="185"/>
        <item m="1" x="1461"/>
        <item m="1" x="1239"/>
        <item m="1" x="1937"/>
        <item m="1" x="903"/>
        <item m="1" x="692"/>
        <item m="1" x="506"/>
        <item m="1" x="2312"/>
        <item m="1" x="2313"/>
        <item m="1" x="669"/>
        <item m="1" x="876"/>
        <item m="1" x="2314"/>
        <item m="1" x="1244"/>
        <item m="1" x="2108"/>
        <item m="1" x="1420"/>
        <item m="1" x="2315"/>
        <item m="1" x="1992"/>
        <item m="1" x="826"/>
        <item m="1" x="2567"/>
        <item m="1" x="774"/>
        <item m="1" x="75"/>
        <item m="1" x="1246"/>
        <item m="1" x="2317"/>
        <item m="1" x="2318"/>
        <item m="1" x="672"/>
        <item m="1" x="2319"/>
        <item m="1" x="1645"/>
        <item m="1" x="2017"/>
        <item m="1" x="1248"/>
        <item m="1" x="1249"/>
        <item m="1" x="781"/>
        <item m="1" x="1250"/>
        <item m="1" x="1060"/>
        <item m="1" x="671"/>
        <item m="1" x="1252"/>
        <item m="1" x="1880"/>
        <item m="1" x="1286"/>
        <item x="6"/>
        <item m="1" x="348"/>
        <item m="1" x="2320"/>
        <item m="1" x="1243"/>
        <item m="1" x="354"/>
        <item m="1" x="2179"/>
        <item m="1" x="2321"/>
        <item m="1" x="1440"/>
        <item m="1" x="884"/>
        <item m="1" x="629"/>
        <item m="1" x="2152"/>
        <item m="1" x="764"/>
        <item m="1" x="782"/>
        <item m="1" x="2322"/>
        <item m="1" x="783"/>
        <item m="1" x="1371"/>
        <item m="1" x="2323"/>
        <item m="1" x="971"/>
        <item m="1" x="1304"/>
        <item m="1" x="2324"/>
        <item m="1" x="1921"/>
        <item m="1" x="368"/>
        <item m="1" x="279"/>
        <item m="1" x="57"/>
        <item m="1" x="2325"/>
        <item m="1" x="240"/>
        <item m="1" x="286"/>
        <item m="1" x="1589"/>
        <item m="1" x="1271"/>
        <item m="1" x="294"/>
        <item m="1" x="549"/>
        <item m="1" x="784"/>
        <item m="1" x="1602"/>
        <item m="1" x="2326"/>
        <item m="1" x="1546"/>
        <item m="1" x="1487"/>
        <item m="1" x="1419"/>
        <item m="1" x="281"/>
        <item m="1" x="566"/>
        <item m="1" x="341"/>
        <item m="1" x="2554"/>
        <item m="1" x="1740"/>
        <item sd="0" m="1" x="460"/>
        <item m="1" x="1897"/>
        <item m="1" x="1255"/>
        <item m="1" x="785"/>
        <item m="1" x="786"/>
        <item m="1" x="2598"/>
        <item m="1" x="477"/>
        <item m="1" x="1753"/>
        <item m="1" x="2056"/>
        <item m="1" x="417"/>
        <item sd="0" x="4"/>
        <item m="1" x="2075"/>
        <item sd="0" m="1" x="1093"/>
        <item sd="0" m="1" x="2737"/>
        <item sd="0" m="1" x="590"/>
        <item sd="0" m="1" x="2707"/>
        <item m="1" x="1057"/>
        <item m="1" x="599"/>
        <item m="1" x="1654"/>
        <item m="1" x="1257"/>
        <item m="1" x="788"/>
        <item m="1" x="1754"/>
        <item m="1" x="536"/>
        <item m="1" x="1258"/>
        <item m="1" x="2327"/>
        <item m="1" x="789"/>
        <item m="1" x="567"/>
        <item m="1" x="2328"/>
        <item m="1" x="2329"/>
        <item sd="0" m="1" x="439"/>
        <item m="1" x="406"/>
        <item m="1" x="269"/>
        <item m="1" x="1208"/>
        <item m="1" x="1261"/>
        <item m="1" x="1262"/>
        <item m="1" x="592"/>
        <item m="1" x="1522"/>
        <item m="1" x="791"/>
        <item m="1" x="1614"/>
        <item m="1" x="1871"/>
        <item m="1" x="2109"/>
        <item sd="0" m="1" x="1825"/>
        <item m="1" x="559"/>
        <item m="1" x="1591"/>
        <item m="1" x="580"/>
        <item m="1" x="1369"/>
        <item m="1" x="548"/>
        <item m="1" x="1192"/>
        <item sd="0" m="1" x="2105"/>
        <item m="1" x="1256"/>
        <item m="1" x="673"/>
        <item m="1" x="899"/>
        <item m="1" x="1264"/>
        <item m="1" x="1265"/>
        <item m="1" x="1824"/>
        <item m="1" x="2110"/>
        <item sd="0" x="8"/>
        <item m="1" x="511"/>
        <item m="1" x="546"/>
        <item sd="0" m="1" x="64"/>
        <item m="1" x="1201"/>
        <item m="1" x="1266"/>
        <item m="1" x="792"/>
        <item m="1" x="1982"/>
        <item sd="0" x="44"/>
        <item m="1" x="1577"/>
        <item m="1" x="1613"/>
        <item m="1" x="2330"/>
        <item m="1" x="793"/>
        <item m="1" x="2464"/>
        <item m="1" x="2084"/>
        <item m="1" x="794"/>
        <item m="1" x="583"/>
        <item m="1" x="1433"/>
        <item m="1" x="1640"/>
        <item m="1" x="2614"/>
        <item m="1" x="503"/>
        <item m="1" x="1267"/>
        <item m="1" x="1036"/>
        <item m="1" x="1302"/>
        <item m="1" x="1225"/>
        <item m="1" x="404"/>
        <item m="1" x="1251"/>
        <item m="1" x="2013"/>
        <item m="1" x="510"/>
        <item m="1" x="555"/>
        <item m="1" x="1671"/>
        <item m="1" x="1906"/>
        <item m="1" x="2111"/>
        <item m="1" x="1125"/>
        <item m="1" x="461"/>
        <item m="1" x="1351"/>
        <item m="1" x="518"/>
        <item m="1" x="2331"/>
        <item m="1" x="1368"/>
        <item m="1" x="222"/>
        <item m="1" x="2332"/>
        <item m="1" x="795"/>
        <item m="1" x="674"/>
        <item m="1" x="1132"/>
        <item m="1" x="584"/>
        <item m="1" x="1826"/>
        <item m="1" x="2605"/>
        <item m="1" x="1317"/>
        <item m="1" x="1980"/>
        <item m="1" x="1939"/>
        <item m="1" x="1272"/>
        <item m="1" x="675"/>
        <item m="1" x="676"/>
        <item m="1" x="1951"/>
        <item m="1" x="2625"/>
        <item x="13"/>
        <item m="1" x="1474"/>
        <item m="1" x="2333"/>
        <item m="1" x="1277"/>
        <item m="1" x="1572"/>
        <item m="1" x="1278"/>
        <item m="1" x="2334"/>
        <item m="1" x="2335"/>
        <item m="1" x="1784"/>
        <item m="1" x="300"/>
        <item m="1" x="1723"/>
        <item m="1" x="1279"/>
        <item m="1" x="1410"/>
        <item m="1" x="152"/>
        <item m="1" x="1594"/>
        <item m="1" x="277"/>
        <item m="1" x="1074"/>
        <item sd="0" m="1" x="132"/>
        <item m="1" x="1934"/>
        <item m="1" x="236"/>
        <item m="1" x="1283"/>
        <item m="1" x="2337"/>
        <item m="1" x="426"/>
        <item m="1" x="1606"/>
        <item m="1" x="1966"/>
        <item m="1" x="2391"/>
        <item m="1" x="2338"/>
        <item m="1" x="1354"/>
        <item m="1" x="1463"/>
        <item m="1" x="2340"/>
        <item m="1" x="657"/>
        <item m="1" x="2668"/>
        <item m="1" x="906"/>
        <item m="1" x="2341"/>
        <item sd="0" m="1" x="2739"/>
        <item sd="0" x="45"/>
        <item m="1" x="463"/>
        <item m="1" x="924"/>
        <item m="1" x="1925"/>
        <item m="1" x="2342"/>
        <item m="1" x="2343"/>
        <item m="1" x="2344"/>
        <item m="1" x="963"/>
        <item m="1" x="2033"/>
        <item m="1" x="2346"/>
        <item sd="0" m="1" x="2223"/>
        <item sd="0" m="1" x="2715"/>
        <item m="1" x="2613"/>
        <item m="1" x="677"/>
        <item m="1" x="1598"/>
        <item m="1" x="2021"/>
        <item m="1" x="2347"/>
        <item m="1" x="2348"/>
        <item m="1" x="1297"/>
        <item m="1" x="343"/>
        <item m="1" x="2551"/>
        <item m="1" x="353"/>
        <item m="1" x="1964"/>
        <item m="1" x="441"/>
        <item m="1" x="2050"/>
        <item m="1" x="901"/>
        <item m="1" x="1499"/>
        <item m="1" x="450"/>
        <item m="1" x="2654"/>
        <item m="1" x="1646"/>
        <item m="1" x="2466"/>
        <item m="1" x="1860"/>
        <item m="1" x="1299"/>
        <item m="1" x="2028"/>
        <item m="1" x="904"/>
        <item m="1" x="2350"/>
        <item m="1" x="135"/>
        <item m="1" x="2336"/>
        <item m="1" x="2349"/>
        <item m="1" x="2582"/>
        <item sd="0" m="1" x="234"/>
        <item m="1" x="1524"/>
        <item m="1" x="1414"/>
        <item m="1" x="1301"/>
        <item m="1" x="133"/>
        <item m="1" x="507"/>
        <item m="1" x="527"/>
        <item m="1" x="2112"/>
        <item sd="0" m="1" x="214"/>
        <item sd="0" m="1" x="213"/>
        <item m="1" x="1999"/>
        <item m="1" x="2352"/>
        <item m="1" x="1185"/>
        <item m="1" x="74"/>
        <item m="1" x="1311"/>
        <item m="1" x="2607"/>
        <item m="1" x="2151"/>
        <item m="1" x="1755"/>
        <item m="1" x="184"/>
        <item m="1" x="525"/>
        <item m="1" x="1312"/>
        <item m="1" x="1313"/>
        <item m="1" x="543"/>
        <item sd="0" m="1" x="495"/>
        <item m="1" x="2008"/>
        <item m="1" x="1855"/>
        <item m="1" x="944"/>
        <item m="1" x="1081"/>
        <item sd="0" m="1" x="223"/>
        <item m="1" x="2353"/>
        <item m="1" x="138"/>
        <item m="1" x="139"/>
        <item m="1" x="73"/>
        <item m="1" x="1007"/>
        <item m="1" x="2354"/>
        <item m="1" x="898"/>
        <item m="1" x="1756"/>
        <item m="1" x="2355"/>
        <item m="1" x="2356"/>
        <item m="1" x="1970"/>
        <item m="1" x="1985"/>
        <item m="1" x="1381"/>
        <item sd="0" m="1" x="345"/>
        <item m="1" x="797"/>
        <item m="1" x="678"/>
        <item m="1" x="2358"/>
        <item m="1" x="2496"/>
        <item sd="0" m="1" x="346"/>
        <item m="1" x="2661"/>
        <item m="1" x="237"/>
        <item m="1" x="1628"/>
        <item m="1" x="2359"/>
        <item m="1" x="140"/>
        <item m="1" x="1647"/>
        <item m="1" x="1316"/>
        <item m="1" x="1655"/>
        <item m="1" x="1632"/>
        <item m="1" x="1553"/>
        <item m="1" x="1942"/>
        <item m="1" x="1917"/>
        <item sd="0" m="1" x="2683"/>
        <item m="1" x="836"/>
        <item m="1" x="2360"/>
        <item m="1" x="1949"/>
        <item m="1" x="712"/>
        <item m="1" x="2113"/>
        <item m="1" x="1285"/>
        <item m="1" x="271"/>
        <item m="1" x="1319"/>
        <item m="1" x="1011"/>
        <item m="1" x="2361"/>
        <item m="1" x="1357"/>
        <item m="1" x="349"/>
        <item m="1" x="2051"/>
        <item x="3"/>
        <item m="1" x="1963"/>
        <item m="1" x="619"/>
        <item m="1" x="2362"/>
        <item m="1" x="877"/>
        <item m="1" x="1893"/>
        <item m="1" x="1827"/>
        <item sd="0" m="1" x="245"/>
        <item m="1" x="996"/>
        <item m="1" x="384"/>
        <item m="1" x="2363"/>
        <item m="1" x="980"/>
        <item m="1" x="1548"/>
        <item sd="0" m="1" x="2720"/>
        <item m="1" x="949"/>
        <item m="1" x="1102"/>
        <item m="1" x="689"/>
        <item m="1" x="639"/>
        <item m="1" x="1639"/>
        <item m="1" x="1321"/>
        <item m="1" x="1322"/>
        <item m="1" x="2366"/>
        <item m="1" x="528"/>
        <item m="1" x="1973"/>
        <item m="1" x="2553"/>
        <item m="1" x="2590"/>
        <item sd="0" m="1" x="2583"/>
        <item m="1" x="342"/>
        <item m="1" x="1323"/>
        <item m="1" x="2052"/>
        <item m="1" x="1523"/>
        <item m="1" x="1786"/>
        <item m="1" x="1641"/>
        <item m="1" x="1829"/>
        <item m="1" x="681"/>
        <item m="1" x="350"/>
        <item sd="0" m="1" x="2711"/>
        <item m="1" x="1324"/>
        <item m="1" x="390"/>
        <item m="1" x="1725"/>
        <item sd="0" m="1" x="780"/>
        <item sd="0" m="1" x="2621"/>
        <item m="1" x="955"/>
        <item m="1" x="1924"/>
        <item m="1" x="1950"/>
        <item m="1" x="787"/>
        <item sd="0" x="15"/>
        <item m="1" x="798"/>
        <item m="1" x="323"/>
        <item m="1" x="2364"/>
        <item m="1" x="973"/>
        <item m="1" x="142"/>
        <item m="1" x="2365"/>
        <item m="1" x="82"/>
        <item m="1" x="1372"/>
        <item m="1" x="1987"/>
        <item m="1" x="1831"/>
        <item m="1" x="1198"/>
        <item m="1" x="916"/>
        <item m="1" x="2685"/>
        <item m="1" x="1953"/>
        <item sd="0" m="1" x="2703"/>
        <item m="1" x="682"/>
        <item m="1" x="264"/>
        <item m="1" x="2367"/>
        <item m="1" x="524"/>
        <item m="1" x="1328"/>
        <item m="1" x="1389"/>
        <item m="1" x="2369"/>
        <item m="1" x="1758"/>
        <item m="1" x="1821"/>
        <item m="1" x="965"/>
        <item m="1" x="1334"/>
        <item m="1" x="544"/>
        <item m="1" x="2053"/>
        <item m="1" x="2655"/>
        <item m="1" x="1807"/>
        <item m="1" x="2114"/>
        <item m="1" x="1345"/>
        <item m="1" x="2467"/>
        <item m="1" x="2370"/>
        <item m="1" x="964"/>
        <item m="1" x="209"/>
        <item m="1" x="2628"/>
        <item m="1" x="1588"/>
        <item m="1" x="1908"/>
        <item m="1" x="1385"/>
        <item m="1" x="1759"/>
        <item m="1" x="51"/>
        <item m="1" x="2371"/>
        <item m="1" x="1275"/>
        <item sd="0" m="1" x="2677"/>
        <item m="1" x="987"/>
        <item m="1" x="2010"/>
        <item m="1" x="683"/>
        <item m="1" x="1760"/>
        <item m="1" x="2373"/>
        <item m="1" x="864"/>
        <item m="1" x="2054"/>
        <item m="1" x="1945"/>
        <item sd="0" m="1" x="684"/>
        <item m="1" x="572"/>
        <item m="1" x="145"/>
        <item m="1" x="479"/>
        <item m="1" x="1188"/>
        <item m="1" x="799"/>
        <item m="1" x="1833"/>
        <item m="1" x="2375"/>
        <item m="1" x="1761"/>
        <item m="1" x="1883"/>
        <item m="1" x="1048"/>
        <item m="1" x="2568"/>
        <item m="1" x="1891"/>
        <item m="1" x="2376"/>
        <item m="1" x="1716"/>
        <item m="1" x="1642"/>
        <item m="1" x="2377"/>
        <item m="1" x="2432"/>
        <item m="1" x="1542"/>
        <item m="1" x="2691"/>
        <item m="1" x="1370"/>
        <item m="1" x="1133"/>
        <item m="1" x="1636"/>
        <item sd="0" m="1" x="1815"/>
        <item m="1" x="2665"/>
        <item m="1" x="1320"/>
        <item m="1" x="1447"/>
        <item m="1" x="466"/>
        <item m="1" x="1431"/>
        <item m="1" x="481"/>
        <item m="1" x="1307"/>
        <item m="1" x="1527"/>
        <item m="1" x="1077"/>
        <item sd="0" m="1" x="297"/>
        <item m="1" x="2006"/>
        <item m="1" x="147"/>
        <item m="1" x="2378"/>
        <item m="1" x="1199"/>
        <item m="1" x="1452"/>
        <item m="1" x="999"/>
        <item m="1" x="2379"/>
        <item m="1" x="113"/>
        <item m="1" x="355"/>
        <item m="1" x="1196"/>
        <item m="1" x="1075"/>
        <item m="1" x="831"/>
        <item m="1" x="802"/>
        <item m="1" x="1202"/>
        <item m="1" x="2055"/>
        <item m="1" x="1536"/>
        <item m="1" x="568"/>
        <item m="1" x="1038"/>
        <item m="1" x="2025"/>
        <item sd="0" m="1" x="317"/>
        <item m="1" x="1157"/>
        <item m="1" x="154"/>
        <item m="1" x="1300"/>
        <item m="1" x="1485"/>
        <item m="1" x="975"/>
        <item m="1" x="2555"/>
        <item m="1" x="2393"/>
        <item m="1" x="687"/>
        <item sd="0" m="1" x="293"/>
        <item sd="0" m="1" x="262"/>
        <item m="1" x="2673"/>
        <item m="1" x="1068"/>
        <item m="1" x="2394"/>
        <item m="1" x="2604"/>
        <item m="1" x="1059"/>
        <item m="1" x="2626"/>
        <item m="1" x="976"/>
        <item m="1" x="2620"/>
        <item m="1" x="1926"/>
        <item m="1" x="2395"/>
        <item m="1" x="2396"/>
        <item m="1" x="224"/>
        <item m="1" x="263"/>
        <item m="1" x="1530"/>
        <item m="1" x="1692"/>
        <item m="1" x="1227"/>
        <item m="1" x="83"/>
        <item m="1" x="2629"/>
        <item m="1" x="2397"/>
        <item m="1" x="2595"/>
        <item m="1" x="1427"/>
        <item m="1" x="1920"/>
        <item m="1" x="808"/>
        <item m="1" x="1428"/>
        <item m="1" x="810"/>
        <item sd="0" m="1" x="2116"/>
        <item m="1" x="225"/>
        <item m="1" x="2398"/>
        <item m="1" x="1429"/>
        <item m="1" x="2399"/>
        <item m="1" x="688"/>
        <item m="1" x="377"/>
        <item m="1" x="2400"/>
        <item m="1" x="1430"/>
        <item m="1" x="1637"/>
        <item m="1" x="1488"/>
        <item m="1" x="1432"/>
        <item m="1" x="2401"/>
        <item m="1" x="2402"/>
        <item m="1" x="247"/>
        <item sd="0" m="1" x="480"/>
        <item m="1" x="2623"/>
        <item m="1" x="1765"/>
        <item m="1" x="1518"/>
        <item m="1" x="957"/>
        <item m="1" x="2403"/>
        <item m="1" x="885"/>
        <item m="1" x="2405"/>
        <item m="1" x="2082"/>
        <item m="1" x="2060"/>
        <item sd="0" m="1" x="467"/>
        <item m="1" x="1373"/>
        <item m="1" x="2406"/>
        <item m="1" x="1837"/>
        <item m="1" x="912"/>
        <item m="1" x="1576"/>
        <item m="1" x="1394"/>
        <item m="1" x="1448"/>
        <item m="1" x="1422"/>
        <item m="1" x="889"/>
        <item m="1" x="1449"/>
        <item m="1" x="1159"/>
        <item m="1" x="66"/>
        <item m="1" x="1894"/>
        <item m="1" x="314"/>
        <item m="1" x="163"/>
        <item m="1" x="1451"/>
        <item m="1" x="2491"/>
        <item m="1" x="381"/>
        <item m="1" x="2407"/>
        <item m="1" x="2408"/>
        <item m="1" x="2410"/>
        <item m="1" x="2675"/>
        <item m="1" x="1751"/>
        <item m="1" x="2409"/>
        <item m="1" x="382"/>
        <item m="1" x="1483"/>
        <item m="1" x="246"/>
        <item m="1" x="1454"/>
        <item m="1" x="1766"/>
        <item sd="0" m="1" x="55"/>
        <item m="1" x="468"/>
        <item m="1" x="1220"/>
        <item m="1" x="395"/>
        <item m="1" x="1206"/>
        <item sd="0" m="1" x="2727"/>
        <item sd="0" m="1" x="308"/>
        <item m="1" x="1910"/>
        <item m="1" x="1457"/>
        <item m="1" x="1456"/>
        <item m="1" x="1458"/>
        <item m="1" x="624"/>
        <item m="1" x="1444"/>
        <item m="1" x="1787"/>
        <item m="1" x="2566"/>
        <item m="1" x="2411"/>
        <item m="1" x="367"/>
        <item m="1" x="2412"/>
        <item m="1" x="289"/>
        <item m="1" x="2413"/>
        <item m="1" x="1543"/>
        <item m="1" x="2414"/>
        <item m="1" x="1722"/>
        <item m="1" x="170"/>
        <item m="1" x="2404"/>
        <item m="1" x="160"/>
        <item m="1" x="1392"/>
        <item m="1" x="2693"/>
        <item m="1" x="2556"/>
        <item m="1" x="2415"/>
        <item m="1" x="733"/>
        <item m="1" x="1656"/>
        <item sd="0" x="14"/>
        <item m="1" x="1912"/>
        <item m="1" x="1528"/>
        <item m="1" x="1284"/>
        <item m="1" x="165"/>
        <item m="1" x="2270"/>
        <item m="1" x="1914"/>
        <item m="1" x="2653"/>
        <item m="1" x="2118"/>
        <item m="1" x="1390"/>
        <item m="1" x="2034"/>
        <item m="1" x="816"/>
        <item sd="0" m="1" x="166"/>
        <item m="1" x="1281"/>
        <item m="1" x="1395"/>
        <item m="1" x="1471"/>
        <item m="1" x="144"/>
        <item m="1" x="2019"/>
        <item m="1" x="586"/>
        <item m="1" x="2602"/>
        <item m="1" x="2417"/>
        <item m="1" x="2418"/>
        <item m="1" x="817"/>
        <item m="1" x="2636"/>
        <item m="1" x="1409"/>
        <item m="1" x="1472"/>
        <item m="1" x="690"/>
        <item m="1" x="1473"/>
        <item sd="0" m="1" x="2419"/>
        <item m="1" x="2420"/>
        <item m="1" x="915"/>
        <item m="1" x="2421"/>
        <item sd="0" m="1" x="2709"/>
        <item m="1" x="2422"/>
        <item m="1" x="2423"/>
        <item m="1" x="2260"/>
        <item m="1" x="862"/>
        <item m="1" x="2684"/>
        <item m="1" x="882"/>
        <item sd="0" m="1" x="2424"/>
        <item m="1" x="1882"/>
        <item m="1" x="1347"/>
        <item m="1" x="691"/>
        <item m="1" x="2690"/>
        <item m="1" x="351"/>
        <item m="1" x="2139"/>
        <item m="1" x="2469"/>
        <item m="1" x="1034"/>
        <item m="1" x="501"/>
        <item m="1" x="818"/>
        <item m="1" x="819"/>
        <item m="1" x="914"/>
        <item m="1" x="63"/>
        <item m="1" x="2119"/>
        <item m="1" x="656"/>
        <item m="1" x="2425"/>
        <item m="1" x="149"/>
        <item sd="0" m="1" x="387"/>
        <item m="1" x="557"/>
        <item m="1" x="1785"/>
        <item m="1" x="2061"/>
        <item m="1" x="440"/>
        <item m="1" x="2099"/>
        <item m="1" x="2426"/>
        <item m="1" x="995"/>
        <item m="1" x="1767"/>
        <item m="1" x="991"/>
        <item m="1" x="386"/>
        <item sd="0" m="1" x="434"/>
        <item m="1" x="2428"/>
        <item m="1" x="2120"/>
        <item m="1" x="820"/>
        <item sd="0" m="1" x="1994"/>
        <item m="1" x="487"/>
        <item sd="0" m="1" x="95"/>
        <item m="1" x="482"/>
        <item m="1" x="87"/>
        <item m="1" x="1938"/>
        <item m="1" x="2062"/>
        <item m="1" x="371"/>
        <item m="1" x="210"/>
        <item m="1" x="2671"/>
        <item m="1" x="312"/>
        <item m="1" x="1923"/>
        <item m="1" x="120"/>
        <item m="1" x="2429"/>
        <item m="1" x="966"/>
        <item m="1" x="821"/>
        <item m="1" x="2068"/>
        <item m="1" x="1489"/>
        <item m="1" x="1490"/>
        <item m="1" x="1491"/>
        <item m="1" x="2430"/>
        <item m="1" x="1684"/>
        <item m="1" x="1379"/>
        <item m="1" x="1730"/>
        <item m="1" x="1800"/>
        <item m="1" x="162"/>
        <item m="1" x="1314"/>
        <item m="1" x="694"/>
        <item m="1" x="1493"/>
        <item m="1" x="1435"/>
        <item m="1" x="611"/>
        <item m="1" x="1018"/>
        <item m="1" x="2384"/>
        <item m="1" x="2616"/>
        <item m="1" x="2561"/>
        <item m="1" x="1290"/>
        <item m="1" x="1156"/>
        <item m="1" x="401"/>
        <item m="1" x="2142"/>
        <item m="1" x="383"/>
        <item m="1" x="2433"/>
        <item m="1" x="380"/>
        <item m="1" x="2434"/>
        <item m="1" x="1986"/>
        <item m="1" x="695"/>
        <item m="1" x="1688"/>
        <item m="1" x="907"/>
        <item m="1" x="2387"/>
        <item m="1" x="310"/>
        <item m="1" x="168"/>
        <item m="1" x="954"/>
        <item m="1" x="1342"/>
        <item sd="0" m="1" x="328"/>
        <item m="1" x="822"/>
        <item m="1" x="403"/>
        <item m="1" x="1486"/>
        <item m="1" x="339"/>
        <item m="1" x="823"/>
        <item m="1" x="2435"/>
        <item m="1" x="502"/>
        <item m="1" x="565"/>
        <item m="1" x="1501"/>
        <item m="1" x="1023"/>
        <item m="1" x="2436"/>
        <item sd="0" m="1" x="2733"/>
        <item m="1" x="1217"/>
        <item sd="0" m="1" x="800"/>
        <item m="1" x="1467"/>
        <item m="1" x="389"/>
        <item m="1" x="2063"/>
        <item m="1" x="2437"/>
        <item m="1" x="1064"/>
        <item m="1" x="853"/>
        <item m="1" x="936"/>
        <item m="1" x="1596"/>
        <item m="1" x="1502"/>
        <item m="1" x="2438"/>
        <item m="1" x="2129"/>
        <item m="1" x="174"/>
        <item m="1" x="2064"/>
        <item m="1" x="161"/>
        <item m="1" x="931"/>
        <item m="1" x="2584"/>
        <item m="1" x="923"/>
        <item m="1" x="2439"/>
        <item m="1" x="227"/>
        <item m="1" x="1517"/>
        <item m="1" x="2440"/>
        <item x="25"/>
        <item sd="0" m="1" x="392"/>
        <item m="1" x="824"/>
        <item m="1" x="886"/>
        <item m="1" x="1396"/>
        <item m="1" x="1480"/>
        <item m="1" x="2065"/>
        <item m="1" x="1680"/>
        <item m="1" x="1511"/>
        <item m="1" x="393"/>
        <item m="1" x="2441"/>
        <item m="1" x="1792"/>
        <item m="1" x="172"/>
        <item m="1" x="1967"/>
        <item m="1" x="1512"/>
        <item m="1" x="825"/>
        <item m="1" x="71"/>
        <item m="1" x="1944"/>
        <item m="1" x="2594"/>
        <item m="1" x="2382"/>
        <item m="1" x="1665"/>
        <item m="1" x="2442"/>
        <item m="1" x="375"/>
        <item m="1" x="985"/>
        <item m="1" x="257"/>
        <item m="1" x="1119"/>
        <item m="1" x="2443"/>
        <item m="1" x="721"/>
        <item m="1" x="2444"/>
        <item m="1" x="1376"/>
        <item m="1" x="670"/>
        <item m="1" x="1768"/>
        <item m="1" x="2445"/>
        <item m="1" x="1943"/>
        <item m="1" x="67"/>
        <item m="1" x="1222"/>
        <item m="1" x="2070"/>
        <item m="1" x="180"/>
        <item sd="0" m="1" x="124"/>
        <item m="1" x="1968"/>
        <item m="1" x="396"/>
        <item m="1" x="1525"/>
        <item m="1" x="1295"/>
        <item sd="0" m="1" x="340"/>
        <item m="1" x="2447"/>
        <item m="1" x="422"/>
        <item m="1" x="2448"/>
        <item m="1" x="563"/>
        <item m="1" x="893"/>
        <item m="1" x="894"/>
        <item m="1" x="696"/>
        <item m="1" x="2450"/>
        <item m="1" x="1066"/>
        <item m="1" x="2066"/>
        <item m="1" x="2646"/>
        <item sd="0" m="1" x="2570"/>
        <item m="1" x="1443"/>
        <item m="1" x="226"/>
        <item m="1" x="157"/>
        <item m="1" x="1383"/>
        <item m="1" x="940"/>
        <item m="1" x="2014"/>
        <item m="1" x="697"/>
        <item m="1" x="698"/>
        <item m="1" x="587"/>
        <item m="1" x="2451"/>
        <item m="1" x="1580"/>
        <item m="1" x="2532"/>
        <item m="1" x="253"/>
        <item m="1" x="1814"/>
        <item m="1" x="1118"/>
        <item m="1" x="1180"/>
        <item m="1" x="827"/>
        <item m="1" x="2121"/>
        <item m="1" x="1619"/>
        <item m="1" x="1035"/>
        <item sd="0" m="1" x="2723"/>
        <item m="1" x="2639"/>
        <item m="1" x="2009"/>
        <item m="1" x="119"/>
        <item m="1" x="1534"/>
        <item m="1" x="2452"/>
        <item m="1" x="1291"/>
        <item m="1" x="398"/>
        <item m="1" x="1728"/>
        <item m="1" x="2316"/>
        <item m="1" x="1560"/>
        <item m="1" x="2619"/>
        <item m="1" x="469"/>
        <item m="1" x="1769"/>
        <item m="1" x="1889"/>
        <item sd="0" m="1" x="699"/>
        <item sd="0" m="1" x="2732"/>
        <item m="1" x="569"/>
        <item m="1" x="803"/>
        <item x="17"/>
        <item m="1" x="2453"/>
        <item m="1" x="1995"/>
        <item m="1" x="2454"/>
        <item m="1" x="1296"/>
        <item m="1" x="1866"/>
        <item m="1" x="1731"/>
        <item sd="0" m="1" x="1537"/>
        <item m="1" x="1609"/>
        <item m="1" x="2574"/>
        <item m="1" x="1538"/>
        <item m="1" x="483"/>
        <item m="1" x="1603"/>
        <item m="1" x="178"/>
        <item m="1" x="1791"/>
        <item m="1" x="1840"/>
        <item m="1" x="958"/>
        <item m="1" x="402"/>
        <item sd="0" m="1" x="258"/>
        <item sd="0" m="1" x="2725"/>
        <item m="1" x="1033"/>
        <item m="1" x="1798"/>
        <item m="1" x="1013"/>
        <item m="1" x="186"/>
        <item m="1" x="1916"/>
        <item m="1" x="968"/>
        <item m="1" x="2599"/>
        <item m="1" x="2140"/>
        <item m="1" x="796"/>
        <item m="1" x="1540"/>
        <item m="1" x="1541"/>
        <item m="1" x="701"/>
        <item m="1" x="1856"/>
        <item m="1" x="897"/>
        <item m="1" x="1857"/>
        <item m="1" x="2455"/>
        <item m="1" x="2660"/>
        <item m="1" x="1115"/>
        <item m="1" x="2471"/>
        <item m="1" x="1896"/>
        <item m="1" x="680"/>
        <item m="1" x="705"/>
        <item m="1" x="446"/>
        <item m="1" x="1350"/>
        <item sd="0" m="1" x="600"/>
        <item m="1" x="1001"/>
        <item m="1" x="702"/>
        <item m="1" x="1545"/>
        <item x="2"/>
        <item m="1" x="531"/>
        <item sd="0" m="1" x="634"/>
        <item m="1" x="814"/>
        <item sd="0" m="1" x="556"/>
        <item sd="0" x="21"/>
        <item m="1" x="2679"/>
        <item sd="0" m="1" x="1190"/>
        <item m="1" x="1823"/>
        <item m="1" x="790"/>
        <item m="1" x="2696"/>
        <item m="1" x="1127"/>
        <item m="1" x="845"/>
        <item m="1" x="347"/>
        <item m="1" x="1559"/>
        <item m="1" x="1116"/>
        <item m="1" x="1839"/>
        <item m="1" x="1721"/>
        <item m="1" x="1144"/>
        <item m="1" x="1107"/>
        <item m="1" x="888"/>
        <item sd="0" m="1" x="1332"/>
        <item m="1" x="1845"/>
        <item sd="0" m="1" x="522"/>
        <item sd="0" m="1" x="1714"/>
        <item m="1" x="1841"/>
        <item m="1" x="627"/>
        <item m="1" x="409"/>
        <item m="1" x="1040"/>
        <item m="1" x="1862"/>
        <item m="1" x="1969"/>
        <item m="1" x="379"/>
        <item m="1" x="1988"/>
        <item m="1" x="703"/>
        <item m="1" x="187"/>
        <item m="1" x="470"/>
        <item sd="0" m="1" x="2122"/>
        <item m="1" x="1838"/>
        <item m="1" x="1564"/>
        <item m="1" x="198"/>
        <item x="39"/>
        <item m="1" x="913"/>
        <item m="1" x="1867"/>
        <item m="1" x="2458"/>
        <item m="1" x="1529"/>
        <item m="1" x="2459"/>
        <item m="1" x="2460"/>
        <item m="1" x="2462"/>
        <item m="1" x="830"/>
        <item m="1" x="704"/>
        <item m="1" x="2609"/>
        <item m="1" x="305"/>
        <item m="1" x="953"/>
        <item m="1" x="977"/>
        <item m="1" x="2463"/>
        <item m="1" x="2591"/>
        <item sd="0" m="1" x="2299"/>
        <item m="1" x="189"/>
        <item m="1" x="2381"/>
        <item m="1" x="2662"/>
        <item m="1" x="228"/>
        <item sd="0" m="1" x="2457"/>
        <item m="1" x="2032"/>
        <item m="1" x="961"/>
        <item m="1" x="1610"/>
        <item m="1" x="229"/>
        <item m="1" x="1772"/>
        <item m="1" x="1567"/>
        <item m="1" x="362"/>
        <item m="1" x="1029"/>
        <item m="1" x="829"/>
        <item m="1" x="1582"/>
        <item m="1" x="447"/>
        <item m="1" x="1150"/>
        <item sd="0" m="1" x="2736"/>
        <item m="1" x="1178"/>
        <item m="1" x="1514"/>
        <item m="1" x="1583"/>
        <item m="1" x="1584"/>
        <item m="1" x="1134"/>
        <item m="1" x="707"/>
        <item m="1" x="1561"/>
        <item m="1" x="2472"/>
        <item m="1" x="2011"/>
        <item m="1" x="1585"/>
        <item m="1" x="1338"/>
        <item m="1" x="909"/>
        <item sd="0" m="1" x="700"/>
        <item m="1" x="77"/>
        <item sd="0" m="1" x="2562"/>
        <item m="1" x="1586"/>
        <item m="1" x="2473"/>
        <item m="1" x="1685"/>
        <item m="1" x="564"/>
        <item m="1" x="1110"/>
        <item x="30"/>
        <item m="1" x="2474"/>
        <item m="1" x="2576"/>
        <item m="1" x="2610"/>
        <item m="1" x="1696"/>
        <item m="1" x="1051"/>
        <item m="1" x="2475"/>
        <item m="1" x="2476"/>
        <item m="1" x="1629"/>
        <item m="1" x="2477"/>
        <item m="1" x="1922"/>
        <item m="1" x="2479"/>
        <item m="1" x="2478"/>
        <item m="1" x="1676"/>
        <item m="1" x="1965"/>
        <item m="1" x="2695"/>
        <item m="1" x="496"/>
        <item m="1" x="1990"/>
        <item m="1" x="2689"/>
        <item m="1" x="1590"/>
        <item m="1" x="1155"/>
        <item m="1" x="881"/>
        <item m="1" x="2480"/>
        <item x="11"/>
        <item m="1" x="1960"/>
        <item m="1" x="2481"/>
        <item m="1" x="520"/>
        <item m="1" x="1028"/>
        <item m="1" x="352"/>
        <item m="1" x="2482"/>
        <item m="1" x="504"/>
        <item m="1" x="1496"/>
        <item m="1" x="928"/>
        <item m="1" x="2468"/>
        <item m="1" x="1024"/>
        <item m="1" x="1854"/>
        <item m="1" x="2483"/>
        <item m="1" x="1593"/>
        <item m="1" x="2680"/>
        <item m="1" x="1061"/>
        <item m="1" x="243"/>
        <item m="1" x="191"/>
        <item m="1" x="1579"/>
        <item m="1" x="1595"/>
        <item sd="0" m="1" x="192"/>
        <item m="1" x="298"/>
        <item m="1" x="1601"/>
        <item m="1" x="962"/>
        <item m="1" x="2485"/>
        <item m="1" x="2124"/>
        <item m="1" x="1421"/>
        <item m="1" x="2005"/>
        <item m="1" x="1648"/>
        <item m="1" x="2125"/>
        <item m="1" x="1184"/>
        <item m="1" x="2676"/>
        <item m="1" x="1604"/>
        <item m="1" x="1558"/>
        <item m="1" x="194"/>
        <item m="1" x="2126"/>
        <item sd="0" m="1" x="307"/>
        <item m="1" x="588"/>
        <item m="1" x="1168"/>
        <item m="1" x="193"/>
        <item m="1" x="972"/>
        <item m="1" x="413"/>
        <item m="1" x="414"/>
        <item sd="0" m="1" x="415"/>
        <item m="1" x="169"/>
        <item m="1" x="416"/>
        <item m="1" x="1445"/>
        <item m="1" x="833"/>
        <item m="1" x="2486"/>
        <item m="1" x="1570"/>
        <item m="1" x="855"/>
        <item m="1" x="1533"/>
        <item m="1" x="2487"/>
        <item sd="0" m="1" x="1842"/>
        <item m="1" x="1773"/>
        <item m="1" x="2488"/>
        <item m="1" x="1563"/>
        <item m="1" x="902"/>
        <item m="1" x="435"/>
        <item m="1" x="860"/>
        <item m="1" x="1121"/>
        <item m="1" x="708"/>
        <item m="1" x="2490"/>
        <item m="1" x="542"/>
        <item m="1" x="1607"/>
        <item m="1" x="1608"/>
        <item m="1" x="1335"/>
        <item sd="0" m="1" x="2719"/>
        <item m="1" x="1864"/>
        <item m="1" x="742"/>
        <item m="1" x="2368"/>
        <item m="1" x="832"/>
        <item m="1" x="1117"/>
        <item m="1" x="239"/>
        <item m="1" x="1426"/>
        <item m="1" x="2492"/>
        <item m="1" x="2493"/>
        <item m="1" x="196"/>
        <item m="1" x="2494"/>
        <item m="1" x="278"/>
        <item sd="0" m="1" x="2740"/>
        <item m="1" x="2069"/>
        <item m="1" x="1797"/>
        <item m="1" x="143"/>
        <item m="1" x="1611"/>
        <item sd="0" x="42"/>
        <item m="1" x="608"/>
        <item m="1" x="1848"/>
        <item m="1" x="602"/>
        <item m="1" x="1858"/>
        <item m="1" x="1849"/>
        <item m="1" x="1976"/>
        <item m="1" x="1929"/>
        <item m="1" x="603"/>
        <item m="1" x="770"/>
        <item m="1" x="1850"/>
        <item sd="0" m="1" x="601"/>
        <item sd="0" m="1" x="606"/>
        <item m="1" x="610"/>
        <item m="1" x="1852"/>
        <item m="1" x="515"/>
        <item sd="0" x="29"/>
        <item m="1" x="1661"/>
        <item x="41"/>
        <item sd="0" m="1" x="596"/>
        <item sd="0" m="1" x="1662"/>
        <item m="1" x="514"/>
        <item m="1" x="595"/>
        <item m="1" x="1977"/>
        <item m="1" x="1358"/>
        <item m="1" x="1847"/>
        <item m="1" x="605"/>
        <item m="1" x="1846"/>
        <item sd="0" m="1" x="609"/>
        <item sd="0" m="1" x="604"/>
        <item sd="0" x="28"/>
        <item sd="0" m="1" x="2730"/>
        <item sd="0" m="1" x="2735"/>
        <item sd="0" x="26"/>
        <item m="1" x="857"/>
        <item m="1" x="1861"/>
        <item m="1" x="2027"/>
        <item sd="0" m="1" x="2035"/>
        <item m="1" x="1881"/>
        <item sd="0" m="1" x="92"/>
        <item m="1" x="1666"/>
        <item m="1" x="1974"/>
        <item m="1" x="1017"/>
        <item m="1" x="805"/>
        <item m="1" x="2699"/>
        <item m="1" x="2427"/>
        <item m="1" x="2446"/>
        <item m="1" x="151"/>
        <item m="1" x="709"/>
        <item m="1" x="1659"/>
        <item m="1" x="421"/>
        <item m="1" x="2067"/>
        <item m="1" x="2495"/>
        <item sd="0" m="1" x="921"/>
        <item sd="0" m="1" x="2238"/>
        <item sd="0" m="1" x="2738"/>
        <item m="1" x="1423"/>
        <item sd="0" m="1" x="582"/>
        <item m="1" x="2123"/>
        <item m="1" x="70"/>
        <item m="1" x="2497"/>
        <item m="1" x="325"/>
        <item m="1" x="2156"/>
        <item m="1" x="2498"/>
        <item sd="0" m="1" x="2461"/>
        <item m="1" x="1234"/>
        <item m="1" x="934"/>
        <item m="1" x="2672"/>
        <item m="1" x="1067"/>
        <item sd="0" m="1" x="2256"/>
        <item m="1" x="1308"/>
        <item m="1" x="1669"/>
        <item m="1" x="1446"/>
        <item m="1" x="1154"/>
        <item m="1" x="2127"/>
        <item m="1" x="423"/>
        <item m="1" x="1400"/>
        <item m="1" x="424"/>
        <item m="1" x="1958"/>
        <item m="1" x="197"/>
        <item m="1" x="2499"/>
        <item m="1" x="1673"/>
        <item m="1" x="517"/>
        <item m="1" x="1477"/>
        <item m="1" x="2500"/>
        <item m="1" x="1808"/>
        <item m="1" x="892"/>
        <item m="1" x="1138"/>
        <item m="1" x="275"/>
        <item m="1" x="834"/>
        <item m="1" x="79"/>
        <item m="1" x="910"/>
        <item m="1" x="136"/>
        <item m="1" x="203"/>
        <item m="1" x="2575"/>
        <item m="1" x="2585"/>
        <item m="1" x="939"/>
        <item m="1" x="1366"/>
        <item m="1" x="1136"/>
        <item m="1" x="1605"/>
        <item sd="0" m="1" x="1226"/>
        <item m="1" x="484"/>
        <item m="1" x="1677"/>
        <item sd="0" m="1" x="2714"/>
        <item m="1" x="993"/>
        <item m="1" x="1387"/>
        <item m="1" x="1678"/>
        <item m="1" x="1895"/>
        <item m="1" x="1365"/>
        <item m="1" x="1649"/>
        <item m="1" x="1620"/>
        <item m="1" x="1599"/>
        <item m="1" x="1122"/>
        <item m="1" x="489"/>
        <item m="1" x="1352"/>
        <item m="1" x="1616"/>
        <item m="1" x="835"/>
        <item m="1" x="2515"/>
        <item m="1" x="230"/>
        <item m="1" x="533"/>
        <item m="1" x="2501"/>
        <item m="1" x="261"/>
        <item sd="0" m="1" x="201"/>
        <item m="1" x="285"/>
        <item m="1" x="2502"/>
        <item m="1" x="1187"/>
        <item m="1" x="552"/>
        <item m="1" x="2503"/>
        <item sd="0" m="1" x="630"/>
        <item m="1" x="859"/>
        <item m="1" x="1975"/>
        <item m="1" x="2504"/>
        <item sd="0" m="1" x="2713"/>
        <item sd="0" m="1" x="2694"/>
        <item m="1" x="1076"/>
        <item m="1" x="905"/>
        <item m="1" x="2514"/>
        <item m="1" x="1828"/>
        <item m="1" x="1164"/>
        <item m="1" x="1415"/>
        <item m="1" x="2587"/>
        <item m="1" x="2698"/>
        <item m="1" x="1697"/>
        <item m="1" x="1401"/>
        <item m="1" x="1292"/>
        <item m="1" x="2505"/>
        <item m="1" x="2702"/>
        <item m="1" x="280"/>
        <item m="1" x="879"/>
        <item m="1" x="937"/>
        <item x="34"/>
        <item m="1" x="365"/>
        <item m="1" x="1566"/>
        <item m="1" x="710"/>
        <item m="1" x="490"/>
        <item sd="0" m="1" x="493"/>
        <item m="1" x="711"/>
        <item m="1" x="400"/>
        <item m="1" x="2507"/>
        <item m="1" x="2624"/>
        <item m="1" x="632"/>
        <item m="1" x="2189"/>
        <item m="1" x="1631"/>
        <item sd="0" m="1" x="2706"/>
        <item sd="0" m="1" x="729"/>
        <item m="1" x="2617"/>
        <item x="24"/>
        <item m="1" x="1331"/>
        <item m="1" x="838"/>
        <item m="1" x="2022"/>
        <item m="1" x="1689"/>
        <item m="1" x="1690"/>
        <item m="1" x="2308"/>
        <item m="1" x="1794"/>
        <item m="1" x="1173"/>
        <item m="1" x="651"/>
        <item m="1" x="2652"/>
        <item m="1" x="1101"/>
        <item m="1" x="2128"/>
        <item m="1" x="613"/>
        <item sd="0" m="1" x="137"/>
        <item m="1" x="813"/>
        <item m="1" x="2603"/>
        <item m="1" x="1343"/>
        <item m="1" x="2509"/>
        <item sd="0" m="1" x="839"/>
        <item m="1" x="1691"/>
        <item m="1" x="121"/>
        <item m="1" x="425"/>
        <item m="1" x="2431"/>
        <item m="1" x="1890"/>
        <item m="1" x="1776"/>
        <item m="1" x="1904"/>
        <item m="1" x="2144"/>
        <item m="1" x="62"/>
        <item m="1" x="1055"/>
        <item m="1" x="840"/>
        <item m="1" x="2383"/>
        <item m="1" x="1578"/>
        <item m="1" x="2510"/>
        <item m="1" x="1660"/>
        <item m="1" x="485"/>
        <item m="1" x="1207"/>
        <item m="1" x="1693"/>
        <item m="1" x="1663"/>
        <item m="1" x="1657"/>
        <item m="1" x="858"/>
        <item m="1" x="2511"/>
        <item m="1" x="2001"/>
        <item m="1" x="841"/>
        <item m="1" x="1411"/>
        <item m="1" x="837"/>
        <item m="1" x="2597"/>
        <item m="1" x="1694"/>
        <item m="1" x="1801"/>
        <item m="1" x="1695"/>
        <item m="1" x="1681"/>
        <item m="1" x="1587"/>
        <item m="1" x="1160"/>
        <item m="1" x="1569"/>
        <item m="1" x="998"/>
        <item m="1" x="856"/>
        <item m="1" x="1166"/>
        <item m="1" x="2512"/>
        <item m="1" x="150"/>
        <item m="1" x="2149"/>
        <item m="1" x="1223"/>
        <item m="1" x="212"/>
        <item m="1" x="918"/>
        <item m="1" x="1989"/>
        <item m="1" x="1979"/>
        <item m="1" x="2268"/>
        <item m="1" x="56"/>
        <item m="1" x="1562"/>
        <item m="1" x="1581"/>
        <item m="1" x="2390"/>
        <item m="1" x="969"/>
        <item sd="0" m="1" x="473"/>
        <item m="1" x="843"/>
        <item m="1" x="1625"/>
        <item m="1" x="935"/>
        <item m="1" x="2023"/>
        <item m="1" x="1462"/>
        <item m="1" x="2666"/>
        <item m="1" x="2024"/>
        <item x="9"/>
        <item m="1" x="1698"/>
        <item m="1" x="1375"/>
        <item m="1" x="1699"/>
        <item m="1" x="179"/>
        <item m="1" x="2148"/>
        <item m="1" x="589"/>
        <item m="1" x="558"/>
        <item m="1" x="1019"/>
        <item m="1" x="69"/>
        <item m="1" x="199"/>
        <item m="1" x="844"/>
        <item m="1" x="714"/>
        <item m="1" x="2449"/>
        <item m="1" x="715"/>
        <item m="1" x="1670"/>
        <item m="1" x="1407"/>
        <item m="1" x="2130"/>
        <item m="1" x="1702"/>
        <item m="1" x="427"/>
        <item sd="0" m="1" x="190"/>
        <item m="1" x="1479"/>
        <item m="1" x="679"/>
        <item m="1" x="716"/>
        <item sd="0" m="1" x="65"/>
        <item m="1" x="1703"/>
        <item m="1" x="1851"/>
        <item m="1" x="717"/>
        <item m="1" x="486"/>
        <item m="1" x="231"/>
        <item m="1" x="2079"/>
        <item m="1" x="2131"/>
        <item m="1" x="1626"/>
        <item m="1" x="2516"/>
        <item m="1" x="1374"/>
        <item m="1" x="1280"/>
        <item m="1" x="927"/>
        <item m="1" x="299"/>
        <item sd="0" m="1" x="2734"/>
        <item sd="0" m="1" x="1843"/>
        <item m="1" x="1991"/>
        <item m="1" x="200"/>
        <item m="1" x="1859"/>
        <item m="1" x="86"/>
        <item m="1" x="1268"/>
        <item m="1" x="1417"/>
        <item m="1" x="1706"/>
        <item m="1" x="1269"/>
        <item m="1" x="2132"/>
        <item m="1" x="989"/>
        <item m="1" x="1704"/>
        <item sd="0" m="1" x="637"/>
        <item sd="0" m="1" x="706"/>
        <item sd="0" m="1" x="640"/>
        <item m="1" x="842"/>
        <item m="1" x="105"/>
        <item m="1" x="173"/>
        <item m="1" x="1495"/>
        <item m="1" x="896"/>
        <item m="1" x="2517"/>
        <item m="1" x="2518"/>
        <item m="1" x="982"/>
        <item m="1" x="2519"/>
        <item m="1" x="718"/>
        <item m="1" x="1705"/>
        <item m="1" x="1519"/>
        <item m="1" x="2644"/>
        <item m="1" x="2640"/>
        <item m="1" x="2520"/>
        <item m="1" x="1025"/>
        <item m="1" x="1182"/>
        <item m="1" x="1946"/>
        <item m="1" x="1635"/>
        <item m="1" x="984"/>
        <item m="1" x="1274"/>
        <item m="1" x="2521"/>
        <item m="1" x="1633"/>
        <item m="1" x="2522"/>
        <item m="1" x="861"/>
        <item m="1" x="1707"/>
        <item m="1" x="1834"/>
        <item m="1" x="1634"/>
        <item m="1" x="2700"/>
        <item m="1" x="127"/>
        <item m="1" x="1032"/>
        <item m="1" x="2203"/>
        <item m="1" x="1404"/>
        <item m="1" x="1494"/>
        <item m="1" x="1770"/>
        <item m="1" x="1983"/>
        <item m="1" x="2523"/>
        <item m="1" x="1709"/>
        <item m="1" x="1777"/>
        <item m="1" x="2525"/>
        <item m="1" x="719"/>
        <item m="1" x="1927"/>
        <item m="1" x="1996"/>
        <item m="1" x="846"/>
        <item m="1" x="2526"/>
        <item m="1" x="2392"/>
        <item m="1" x="519"/>
        <item m="1" x="1086"/>
        <item m="1" x="2059"/>
        <item m="1" x="598"/>
        <item m="1" x="757"/>
        <item m="1" x="535"/>
        <item m="1" x="2133"/>
        <item m="1" x="2527"/>
        <item m="1" x="204"/>
        <item m="1" x="720"/>
        <item x="35"/>
        <item m="1" x="1713"/>
        <item m="1" x="1014"/>
        <item m="1" x="1424"/>
        <item m="1" x="941"/>
        <item sd="0" m="1" x="2712"/>
        <item m="1" x="420"/>
        <item m="1" x="2528"/>
        <item m="1" x="1391"/>
        <item m="1" x="2012"/>
        <item m="1" x="2573"/>
        <item m="1" x="938"/>
        <item m="1" x="2134"/>
        <item m="1" x="267"/>
        <item m="1" x="2529"/>
        <item m="1" x="1293"/>
        <item m="1" x="614"/>
        <item sd="0" m="1" x="2722"/>
        <item sd="0" m="1" x="2593"/>
        <item m="1" x="1416"/>
        <item m="1" x="324"/>
        <item m="1" x="428"/>
        <item m="1" x="2530"/>
        <item m="1" x="2029"/>
        <item m="1" x="723"/>
        <item m="1" x="2259"/>
        <item m="1" x="541"/>
        <item m="1" x="1618"/>
        <item m="1" x="1674"/>
        <item m="1" x="1778"/>
        <item m="1" x="911"/>
        <item m="1" x="2531"/>
        <item m="1" x="847"/>
        <item x="23"/>
        <item m="1" x="478"/>
        <item m="1" x="848"/>
        <item m="1" x="929"/>
        <item m="1" x="1844"/>
        <item m="1" x="1715"/>
        <item m="1" x="1710"/>
        <item m="1" x="1004"/>
        <item m="1" x="726"/>
        <item m="1" x="2135"/>
        <item m="1" x="1353"/>
        <item m="1" x="1717"/>
        <item m="1" x="1779"/>
        <item sd="0" m="1" x="465"/>
        <item m="1" x="1260"/>
        <item m="1" x="974"/>
        <item m="1" x="2533"/>
        <item m="1" x="188"/>
        <item m="1" x="2647"/>
        <item m="1" x="2686"/>
        <item m="1" x="866"/>
        <item m="1" x="1811"/>
        <item sd="0" m="1" x="812"/>
        <item x="43"/>
        <item m="1" x="1718"/>
        <item m="1" x="1719"/>
        <item m="1" x="1398"/>
        <item m="1" x="1720"/>
        <item sd="0" m="1" x="2728"/>
        <item sd="0" m="1" x="128"/>
        <item m="1" x="205"/>
        <item m="1" x="686"/>
        <item m="1" x="2622"/>
        <item m="1" x="1780"/>
        <item m="1" x="685"/>
        <item m="1" x="2416"/>
        <item m="1" x="2705"/>
        <item m="1" x="1333"/>
        <item m="1" x="1667"/>
        <item m="1" x="2136"/>
        <item m="1" x="1781"/>
        <item sd="0" m="1" x="329"/>
        <item m="1" x="1724"/>
        <item m="1" x="206"/>
        <item m="1" x="153"/>
        <item sd="0" m="1" x="2643"/>
        <item m="1" x="849"/>
        <item m="1" x="854"/>
        <item m="1" x="2631"/>
        <item sd="0" m="1" x="471"/>
        <item m="1" x="2535"/>
        <item m="1" x="1902"/>
        <item m="1" x="722"/>
        <item m="1" x="540"/>
        <item m="1" x="2255"/>
        <item m="1" x="850"/>
        <item m="1" x="183"/>
        <item m="1" x="693"/>
        <item m="1" x="644"/>
        <item m="1" x="1726"/>
        <item m="1" x="967"/>
        <item sd="0" m="1" x="2117"/>
        <item m="1" x="397"/>
        <item m="1" x="1504"/>
        <item sd="0" x="40"/>
        <item sd="0" m="1" x="2729"/>
        <item m="1" x="1273"/>
        <item m="1" x="2536"/>
        <item m="1" x="2470"/>
        <item m="1" x="429"/>
        <item m="1" x="2537"/>
        <item m="1" x="2538"/>
        <item m="1" x="2569"/>
        <item m="1" x="2539"/>
        <item m="1" x="1460"/>
        <item m="1" x="2058"/>
        <item m="1" x="2540"/>
        <item m="1" x="942"/>
        <item m="1" x="2031"/>
        <item m="1" x="1597"/>
        <item m="1" x="2541"/>
        <item m="1" x="1325"/>
        <item m="1" x="2071"/>
        <item m="1" x="828"/>
        <item m="1" x="430"/>
        <item m="1" x="1356"/>
        <item m="1" x="1031"/>
        <item x="16"/>
        <item m="1" x="1957"/>
        <item m="1" x="1434"/>
        <item m="1" x="874"/>
        <item sd="0" m="1" x="2542"/>
        <item m="1" x="2543"/>
        <item m="1" x="249"/>
        <item m="1" x="207"/>
        <item m="1" x="2544"/>
        <item m="1" x="2545"/>
        <item m="1" x="2137"/>
        <item m="1" x="2138"/>
        <item m="1" x="1002"/>
        <item m="1" x="134"/>
        <item m="1" x="1732"/>
        <item m="1" x="1326"/>
        <item sd="0" m="1" x="155"/>
        <item m="1" x="211"/>
        <item m="1" x="1161"/>
        <item x="36"/>
        <item sd="0" m="1" x="141"/>
        <item m="1" x="2548"/>
        <item m="1" x="508"/>
        <item m="1" x="930"/>
        <item m="1" x="571"/>
        <item m="1" x="2372"/>
        <item m="1" x="2357"/>
        <item sd="0" m="1" x="241"/>
        <item m="1" x="1733"/>
        <item m="1" x="1734"/>
        <item m="1" x="431"/>
        <item m="1" x="851"/>
        <item m="1" x="2546"/>
        <item m="1" x="532"/>
        <item m="1" x="1521"/>
        <item m="1" x="1554"/>
        <item m="1" x="2547"/>
        <item m="1" x="1782"/>
        <item m="1" x="1903"/>
        <item m="1" x="2549"/>
        <item m="1" x="1735"/>
        <item m="1" x="1650"/>
        <item m="1" x="1736"/>
        <item sd="0" m="1" x="2708"/>
        <item t="default" sd="0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4"/>
    <field x="0"/>
  </rowFields>
  <rowItems count="16">
    <i>
      <x v="464"/>
    </i>
    <i>
      <x v="513"/>
    </i>
    <i r="1">
      <x v="8"/>
    </i>
    <i>
      <x v="516"/>
    </i>
    <i r="1">
      <x v="46"/>
    </i>
    <i>
      <x v="617"/>
    </i>
    <i r="1">
      <x v="13"/>
    </i>
    <i>
      <x v="622"/>
    </i>
    <i>
      <x v="623"/>
    </i>
    <i r="1">
      <x v="9"/>
    </i>
    <i>
      <x v="767"/>
    </i>
    <i r="1">
      <x v="47"/>
    </i>
    <i>
      <x v="2023"/>
    </i>
    <i>
      <x v="2610"/>
    </i>
    <i r="1">
      <x v="20"/>
    </i>
    <i t="grand">
      <x/>
    </i>
  </rowItems>
  <colItems count="1">
    <i/>
  </colItems>
  <pageFields count="1">
    <pageField fld="3" hier="-1"/>
  </pageFields>
  <dataFields count="1">
    <dataField name="Total" fld="9" baseField="0" baseItem="0" numFmtId="44"/>
  </dataFields>
  <formats count="9">
    <format dxfId="171">
      <pivotArea collapsedLevelsAreSubtotals="1" fieldPosition="0">
        <references count="1">
          <reference field="4" count="1">
            <x v="275"/>
          </reference>
        </references>
      </pivotArea>
    </format>
    <format dxfId="170">
      <pivotArea collapsedLevelsAreSubtotals="1" fieldPosition="0">
        <references count="1">
          <reference field="4" count="1">
            <x v="664"/>
          </reference>
        </references>
      </pivotArea>
    </format>
    <format dxfId="169">
      <pivotArea collapsedLevelsAreSubtotals="1" fieldPosition="0">
        <references count="1">
          <reference field="4" count="1">
            <x v="789"/>
          </reference>
        </references>
      </pivotArea>
    </format>
    <format dxfId="168">
      <pivotArea collapsedLevelsAreSubtotals="1" fieldPosition="0">
        <references count="1">
          <reference field="4" count="1">
            <x v="1446"/>
          </reference>
        </references>
      </pivotArea>
    </format>
    <format dxfId="167">
      <pivotArea collapsedLevelsAreSubtotals="1" fieldPosition="0">
        <references count="1">
          <reference field="4" count="1">
            <x v="1688"/>
          </reference>
        </references>
      </pivotArea>
    </format>
    <format dxfId="166">
      <pivotArea collapsedLevelsAreSubtotals="1" fieldPosition="0">
        <references count="1">
          <reference field="4" count="1">
            <x v="1989"/>
          </reference>
        </references>
      </pivotArea>
    </format>
    <format dxfId="165">
      <pivotArea dataOnly="0" labelOnly="1" fieldPosition="0">
        <references count="1">
          <reference field="4" count="6">
            <x v="275"/>
            <x v="664"/>
            <x v="789"/>
            <x v="1446"/>
            <x v="1688"/>
            <x v="1989"/>
          </reference>
        </references>
      </pivotArea>
    </format>
    <format dxfId="164">
      <pivotArea field="4" type="button" dataOnly="0" labelOnly="1" outline="0" axis="axisRow" fieldPosition="0"/>
    </format>
    <format dxfId="163">
      <pivotArea dataOnly="0" labelOnly="1" outline="0" axis="axisValues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47264-9816-CB49-BF80-0C7F83DD9724}" name="PivotTable6" cacheId="42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D4:E14" firstHeaderRow="1" firstDataRow="1" firstDataCol="1" rowPageCount="1" colPageCount="1"/>
  <pivotFields count="15">
    <pivotField showAll="0"/>
    <pivotField numFmtId="165" showAll="0"/>
    <pivotField axis="axisRow" showAll="0" measureFilter="1" sortType="ascending">
      <items count="537">
        <item m="1" x="433"/>
        <item x="0"/>
        <item x="1"/>
        <item x="2"/>
        <item m="1" x="209"/>
        <item x="3"/>
        <item m="1" x="352"/>
        <item m="1" x="358"/>
        <item m="1" x="215"/>
        <item m="1" x="182"/>
        <item m="1" x="297"/>
        <item m="1" x="373"/>
        <item m="1" x="192"/>
        <item m="1" x="381"/>
        <item m="1" x="202"/>
        <item m="1" x="303"/>
        <item x="4"/>
        <item x="5"/>
        <item x="6"/>
        <item m="1" x="533"/>
        <item m="1" x="295"/>
        <item m="1" x="184"/>
        <item m="1" x="488"/>
        <item x="7"/>
        <item m="1" x="510"/>
        <item x="8"/>
        <item x="9"/>
        <item x="10"/>
        <item m="1" x="426"/>
        <item x="11"/>
        <item x="12"/>
        <item x="13"/>
        <item x="14"/>
        <item m="1" x="413"/>
        <item m="1" x="518"/>
        <item m="1" x="385"/>
        <item m="1" x="392"/>
        <item x="15"/>
        <item x="16"/>
        <item m="1" x="504"/>
        <item x="17"/>
        <item m="1" x="447"/>
        <item m="1" x="481"/>
        <item x="18"/>
        <item x="19"/>
        <item m="1" x="347"/>
        <item m="1" x="354"/>
        <item m="1" x="411"/>
        <item m="1" x="418"/>
        <item m="1" x="186"/>
        <item x="20"/>
        <item m="1" x="277"/>
        <item m="1" x="214"/>
        <item x="21"/>
        <item m="1" x="479"/>
        <item m="1" x="436"/>
        <item x="22"/>
        <item m="1" x="367"/>
        <item m="1" x="267"/>
        <item x="23"/>
        <item m="1" x="219"/>
        <item x="24"/>
        <item m="1" x="265"/>
        <item m="1" x="357"/>
        <item x="25"/>
        <item x="26"/>
        <item x="27"/>
        <item m="1" x="228"/>
        <item m="1" x="485"/>
        <item x="28"/>
        <item m="1" x="469"/>
        <item m="1" x="394"/>
        <item x="29"/>
        <item m="1" x="435"/>
        <item x="30"/>
        <item m="1" x="248"/>
        <item x="31"/>
        <item x="32"/>
        <item x="33"/>
        <item x="34"/>
        <item x="35"/>
        <item m="1" x="482"/>
        <item x="36"/>
        <item m="1" x="226"/>
        <item m="1" x="235"/>
        <item x="37"/>
        <item m="1" x="283"/>
        <item x="38"/>
        <item m="1" x="213"/>
        <item m="1" x="274"/>
        <item m="1" x="425"/>
        <item m="1" x="205"/>
        <item m="1" x="345"/>
        <item m="1" x="532"/>
        <item m="1" x="346"/>
        <item m="1" x="443"/>
        <item m="1" x="331"/>
        <item m="1" x="396"/>
        <item m="1" x="253"/>
        <item x="39"/>
        <item m="1" x="501"/>
        <item m="1" x="387"/>
        <item x="40"/>
        <item m="1" x="355"/>
        <item x="41"/>
        <item x="42"/>
        <item x="43"/>
        <item x="44"/>
        <item x="45"/>
        <item m="1" x="289"/>
        <item m="1" x="475"/>
        <item m="1" x="521"/>
        <item m="1" x="200"/>
        <item m="1" x="376"/>
        <item m="1" x="221"/>
        <item m="1" x="270"/>
        <item x="46"/>
        <item m="1" x="431"/>
        <item m="1" x="292"/>
        <item m="1" x="414"/>
        <item m="1" x="375"/>
        <item m="1" x="471"/>
        <item x="47"/>
        <item m="1" x="393"/>
        <item x="48"/>
        <item m="1" x="494"/>
        <item x="49"/>
        <item x="50"/>
        <item m="1" x="183"/>
        <item x="51"/>
        <item m="1" x="416"/>
        <item x="52"/>
        <item m="1" x="290"/>
        <item m="1" x="341"/>
        <item m="1" x="439"/>
        <item m="1" x="257"/>
        <item m="1" x="340"/>
        <item m="1" x="256"/>
        <item x="53"/>
        <item m="1" x="203"/>
        <item x="54"/>
        <item x="55"/>
        <item x="56"/>
        <item m="1" x="529"/>
        <item x="57"/>
        <item m="1" x="461"/>
        <item m="1" x="415"/>
        <item x="58"/>
        <item m="1" x="238"/>
        <item x="59"/>
        <item x="60"/>
        <item m="1" x="452"/>
        <item m="1" x="457"/>
        <item x="61"/>
        <item m="1" x="508"/>
        <item m="1" x="208"/>
        <item m="1" x="321"/>
        <item m="1" x="390"/>
        <item x="62"/>
        <item m="1" x="293"/>
        <item m="1" x="232"/>
        <item m="1" x="366"/>
        <item m="1" x="310"/>
        <item x="63"/>
        <item m="1" x="400"/>
        <item m="1" x="446"/>
        <item m="1" x="251"/>
        <item x="64"/>
        <item x="65"/>
        <item m="1" x="349"/>
        <item x="66"/>
        <item x="67"/>
        <item m="1" x="259"/>
        <item m="1" x="519"/>
        <item x="68"/>
        <item m="1" x="490"/>
        <item x="69"/>
        <item m="1" x="344"/>
        <item m="1" x="255"/>
        <item x="70"/>
        <item x="71"/>
        <item m="1" x="406"/>
        <item x="72"/>
        <item m="1" x="458"/>
        <item x="73"/>
        <item m="1" x="196"/>
        <item m="1" x="314"/>
        <item m="1" x="419"/>
        <item x="74"/>
        <item x="75"/>
        <item x="76"/>
        <item m="1" x="404"/>
        <item m="1" x="302"/>
        <item m="1" x="372"/>
        <item m="1" x="316"/>
        <item x="77"/>
        <item m="1" x="279"/>
        <item m="1" x="276"/>
        <item m="1" x="361"/>
        <item m="1" x="468"/>
        <item m="1" x="371"/>
        <item m="1" x="258"/>
        <item m="1" x="260"/>
        <item m="1" x="430"/>
        <item m="1" x="187"/>
        <item x="78"/>
        <item x="79"/>
        <item x="80"/>
        <item m="1" x="227"/>
        <item m="1" x="427"/>
        <item x="81"/>
        <item m="1" x="395"/>
        <item m="1" x="407"/>
        <item m="1" x="473"/>
        <item m="1" x="445"/>
        <item m="1" x="405"/>
        <item m="1" x="252"/>
        <item m="1" x="464"/>
        <item x="82"/>
        <item m="1" x="230"/>
        <item x="83"/>
        <item m="1" x="514"/>
        <item m="1" x="456"/>
        <item m="1" x="517"/>
        <item m="1" x="325"/>
        <item m="1" x="422"/>
        <item m="1" x="505"/>
        <item m="1" x="241"/>
        <item x="84"/>
        <item m="1" x="195"/>
        <item m="1" x="233"/>
        <item x="85"/>
        <item m="1" x="286"/>
        <item m="1" x="250"/>
        <item x="86"/>
        <item m="1" x="189"/>
        <item m="1" x="470"/>
        <item x="87"/>
        <item x="88"/>
        <item x="89"/>
        <item m="1" x="465"/>
        <item x="90"/>
        <item x="91"/>
        <item m="1" x="489"/>
        <item m="1" x="268"/>
        <item m="1" x="300"/>
        <item m="1" x="360"/>
        <item x="92"/>
        <item m="1" x="315"/>
        <item m="1" x="263"/>
        <item m="1" x="278"/>
        <item m="1" x="199"/>
        <item m="1" x="486"/>
        <item m="1" x="454"/>
        <item m="1" x="211"/>
        <item m="1" x="317"/>
        <item x="93"/>
        <item m="1" x="298"/>
        <item m="1" x="288"/>
        <item x="94"/>
        <item m="1" x="448"/>
        <item x="95"/>
        <item m="1" x="307"/>
        <item m="1" x="294"/>
        <item m="1" x="450"/>
        <item m="1" x="190"/>
        <item m="1" x="512"/>
        <item x="96"/>
        <item x="97"/>
        <item x="98"/>
        <item m="1" x="516"/>
        <item m="1" x="365"/>
        <item m="1" x="242"/>
        <item m="1" x="377"/>
        <item m="1" x="491"/>
        <item x="99"/>
        <item m="1" x="472"/>
        <item x="100"/>
        <item m="1" x="384"/>
        <item x="101"/>
        <item x="102"/>
        <item m="1" x="309"/>
        <item m="1" x="311"/>
        <item x="103"/>
        <item x="104"/>
        <item m="1" x="291"/>
        <item m="1" x="338"/>
        <item m="1" x="285"/>
        <item m="1" x="306"/>
        <item x="105"/>
        <item m="1" x="386"/>
        <item m="1" x="197"/>
        <item m="1" x="528"/>
        <item m="1" x="223"/>
        <item m="1" x="275"/>
        <item m="1" x="194"/>
        <item x="106"/>
        <item m="1" x="403"/>
        <item m="1" x="525"/>
        <item m="1" x="324"/>
        <item m="1" x="201"/>
        <item m="1" x="243"/>
        <item x="107"/>
        <item m="1" x="434"/>
        <item m="1" x="362"/>
        <item x="108"/>
        <item m="1" x="363"/>
        <item m="1" x="437"/>
        <item m="1" x="339"/>
        <item m="1" x="329"/>
        <item m="1" x="284"/>
        <item m="1" x="441"/>
        <item x="109"/>
        <item m="1" x="244"/>
        <item x="110"/>
        <item m="1" x="225"/>
        <item m="1" x="442"/>
        <item m="1" x="402"/>
        <item m="1" x="333"/>
        <item m="1" x="224"/>
        <item x="111"/>
        <item m="1" x="217"/>
        <item m="1" x="188"/>
        <item x="112"/>
        <item m="1" x="383"/>
        <item x="113"/>
        <item m="1" x="212"/>
        <item m="1" x="313"/>
        <item x="114"/>
        <item m="1" x="507"/>
        <item x="115"/>
        <item x="116"/>
        <item m="1" x="493"/>
        <item x="117"/>
        <item m="1" x="330"/>
        <item m="1" x="389"/>
        <item m="1" x="234"/>
        <item m="1" x="408"/>
        <item x="118"/>
        <item x="119"/>
        <item m="1" x="220"/>
        <item m="1" x="506"/>
        <item m="1" x="391"/>
        <item x="120"/>
        <item m="1" x="266"/>
        <item m="1" x="509"/>
        <item m="1" x="374"/>
        <item x="121"/>
        <item m="1" x="359"/>
        <item m="1" x="305"/>
        <item m="1" x="282"/>
        <item x="122"/>
        <item m="1" x="280"/>
        <item x="123"/>
        <item x="124"/>
        <item m="1" x="356"/>
        <item m="1" x="327"/>
        <item m="1" x="398"/>
        <item m="1" x="246"/>
        <item m="1" x="498"/>
        <item x="125"/>
        <item x="126"/>
        <item m="1" x="451"/>
        <item x="127"/>
        <item m="1" x="530"/>
        <item m="1" x="388"/>
        <item x="128"/>
        <item m="1" x="206"/>
        <item m="1" x="191"/>
        <item m="1" x="322"/>
        <item x="129"/>
        <item m="1" x="417"/>
        <item m="1" x="308"/>
        <item m="1" x="534"/>
        <item m="1" x="440"/>
        <item m="1" x="254"/>
        <item x="130"/>
        <item m="1" x="455"/>
        <item m="1" x="523"/>
        <item x="131"/>
        <item m="1" x="296"/>
        <item x="132"/>
        <item x="133"/>
        <item m="1" x="474"/>
        <item m="1" x="334"/>
        <item m="1" x="531"/>
        <item m="1" x="229"/>
        <item x="134"/>
        <item x="135"/>
        <item m="1" x="535"/>
        <item m="1" x="476"/>
        <item x="136"/>
        <item x="137"/>
        <item m="1" x="239"/>
        <item m="1" x="478"/>
        <item x="138"/>
        <item x="139"/>
        <item x="140"/>
        <item m="1" x="423"/>
        <item m="1" x="401"/>
        <item m="1" x="193"/>
        <item x="141"/>
        <item m="1" x="397"/>
        <item m="1" x="526"/>
        <item x="142"/>
        <item m="1" x="271"/>
        <item x="143"/>
        <item m="1" x="428"/>
        <item x="144"/>
        <item x="145"/>
        <item x="146"/>
        <item x="147"/>
        <item x="148"/>
        <item m="1" x="247"/>
        <item x="149"/>
        <item m="1" x="502"/>
        <item m="1" x="207"/>
        <item m="1" x="222"/>
        <item m="1" x="462"/>
        <item m="1" x="520"/>
        <item m="1" x="410"/>
        <item m="1" x="336"/>
        <item m="1" x="511"/>
        <item m="1" x="328"/>
        <item m="1" x="424"/>
        <item m="1" x="421"/>
        <item m="1" x="499"/>
        <item m="1" x="515"/>
        <item m="1" x="527"/>
        <item m="1" x="379"/>
        <item x="150"/>
        <item m="1" x="369"/>
        <item x="151"/>
        <item m="1" x="237"/>
        <item m="1" x="323"/>
        <item x="152"/>
        <item x="153"/>
        <item x="154"/>
        <item m="1" x="348"/>
        <item m="1" x="236"/>
        <item x="155"/>
        <item x="156"/>
        <item m="1" x="483"/>
        <item m="1" x="420"/>
        <item m="1" x="503"/>
        <item m="1" x="332"/>
        <item m="1" x="204"/>
        <item m="1" x="460"/>
        <item x="157"/>
        <item x="158"/>
        <item m="1" x="326"/>
        <item m="1" x="513"/>
        <item x="159"/>
        <item m="1" x="351"/>
        <item m="1" x="216"/>
        <item m="1" x="262"/>
        <item m="1" x="320"/>
        <item m="1" x="453"/>
        <item m="1" x="272"/>
        <item m="1" x="500"/>
        <item x="160"/>
        <item m="1" x="484"/>
        <item m="1" x="231"/>
        <item m="1" x="399"/>
        <item x="161"/>
        <item m="1" x="304"/>
        <item m="1" x="382"/>
        <item m="1" x="318"/>
        <item m="1" x="319"/>
        <item m="1" x="429"/>
        <item m="1" x="378"/>
        <item m="1" x="269"/>
        <item m="1" x="496"/>
        <item m="1" x="281"/>
        <item m="1" x="495"/>
        <item m="1" x="301"/>
        <item x="162"/>
        <item x="163"/>
        <item m="1" x="353"/>
        <item m="1" x="210"/>
        <item m="1" x="343"/>
        <item m="1" x="312"/>
        <item m="1" x="497"/>
        <item m="1" x="185"/>
        <item m="1" x="350"/>
        <item m="1" x="249"/>
        <item m="1" x="368"/>
        <item m="1" x="438"/>
        <item m="1" x="264"/>
        <item m="1" x="342"/>
        <item m="1" x="198"/>
        <item m="1" x="240"/>
        <item m="1" x="467"/>
        <item x="164"/>
        <item m="1" x="337"/>
        <item m="1" x="524"/>
        <item m="1" x="299"/>
        <item x="165"/>
        <item m="1" x="459"/>
        <item m="1" x="218"/>
        <item m="1" x="466"/>
        <item m="1" x="492"/>
        <item x="166"/>
        <item m="1" x="477"/>
        <item m="1" x="449"/>
        <item m="1" x="409"/>
        <item m="1" x="480"/>
        <item x="167"/>
        <item m="1" x="522"/>
        <item x="168"/>
        <item m="1" x="261"/>
        <item m="1" x="245"/>
        <item m="1" x="412"/>
        <item m="1" x="432"/>
        <item x="169"/>
        <item m="1" x="444"/>
        <item m="1" x="370"/>
        <item x="170"/>
        <item x="171"/>
        <item x="172"/>
        <item m="1" x="287"/>
        <item m="1" x="273"/>
        <item x="173"/>
        <item m="1" x="487"/>
        <item x="174"/>
        <item m="1" x="463"/>
        <item x="175"/>
        <item m="1" x="335"/>
        <item x="176"/>
        <item m="1" x="380"/>
        <item m="1" x="364"/>
        <item x="177"/>
        <item x="178"/>
        <item x="179"/>
        <item x="180"/>
        <item m="1" x="181"/>
        <item t="default"/>
      </items>
    </pivotField>
    <pivotField axis="axisPage" multipleItemSelectionAllowed="1" showAll="0">
      <items count="41">
        <item h="1" x="2"/>
        <item h="1" x="7"/>
        <item h="1" x="3"/>
        <item h="1" m="1" x="35"/>
        <item h="1" x="20"/>
        <item h="1" m="1" x="32"/>
        <item h="1" x="5"/>
        <item h="1" x="6"/>
        <item h="1" x="11"/>
        <item x="15"/>
        <item h="1" m="1" x="30"/>
        <item h="1" x="1"/>
        <item h="1" x="16"/>
        <item h="1" x="21"/>
        <item h="1" x="19"/>
        <item h="1" x="8"/>
        <item h="1" x="0"/>
        <item h="1" x="9"/>
        <item h="1" x="13"/>
        <item h="1" x="4"/>
        <item h="1" x="10"/>
        <item h="1" m="1" x="38"/>
        <item h="1" m="1" x="33"/>
        <item h="1" m="1" x="26"/>
        <item h="1" x="12"/>
        <item h="1" m="1" x="28"/>
        <item h="1" m="1" x="36"/>
        <item h="1" m="1" x="37"/>
        <item h="1" m="1" x="29"/>
        <item h="1" m="1" x="39"/>
        <item h="1" m="1" x="23"/>
        <item h="1" m="1" x="31"/>
        <item h="1" m="1" x="25"/>
        <item h="1" x="17"/>
        <item h="1" m="1" x="34"/>
        <item h="1" x="14"/>
        <item h="1" m="1" x="24"/>
        <item h="1" m="1" x="27"/>
        <item h="1" x="18"/>
        <item h="1" x="22"/>
        <item t="default"/>
      </items>
    </pivotField>
    <pivotField showAll="0"/>
    <pivotField numFmtId="4" showAll="0"/>
    <pivotField numFmtId="4" showAll="0"/>
    <pivotField dataField="1" numFmtId="4" showAll="0"/>
    <pivotField numFmtId="4" showAll="0"/>
    <pivotField numFmtId="4" showAll="0"/>
    <pivotField numFmtId="166" showAll="0"/>
    <pivotField showAll="0"/>
    <pivotField showAll="0"/>
    <pivotField showAll="0"/>
    <pivotField showAll="0"/>
  </pivotFields>
  <rowFields count="1">
    <field x="2"/>
  </rowFields>
  <rowItems count="10">
    <i>
      <x v="79"/>
    </i>
    <i>
      <x v="85"/>
    </i>
    <i>
      <x v="107"/>
    </i>
    <i>
      <x v="174"/>
    </i>
    <i>
      <x v="184"/>
    </i>
    <i>
      <x v="289"/>
    </i>
    <i>
      <x v="387"/>
    </i>
    <i>
      <x v="395"/>
    </i>
    <i>
      <x v="509"/>
    </i>
    <i t="grand">
      <x/>
    </i>
  </rowItems>
  <colItems count="1">
    <i/>
  </colItems>
  <pageFields count="1">
    <pageField fld="3" hier="-1"/>
  </pageFields>
  <dataFields count="1">
    <dataField name="Total" fld="7" baseField="0" baseItem="0" numFmtId="44"/>
  </dataFields>
  <formats count="2">
    <format dxfId="173">
      <pivotArea field="2" type="button" dataOnly="0" labelOnly="1" outline="0" axis="axisRow" fieldPosition="0"/>
    </format>
    <format dxfId="172">
      <pivotArea dataOnly="0" labelOnly="1" outline="0" axis="axisValues" fieldPosition="0"/>
    </format>
  </formats>
  <pivotTableStyleInfo name="PivotStyleLight16" showRowHeaders="1" showColHeaders="1" showRowStripes="1" showColStripes="0" showLastColumn="1"/>
  <filters count="1">
    <filter fld="2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2502C-8785-314F-97F8-B51415B0AB07}" name="PivotTable6" cacheId="42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D4:E5" firstHeaderRow="1" firstDataRow="1" firstDataCol="1" rowPageCount="1" colPageCount="1"/>
  <pivotFields count="15">
    <pivotField showAll="0"/>
    <pivotField numFmtId="165" showAll="0"/>
    <pivotField axis="axisRow" showAll="0" measureFilter="1" sortType="ascending">
      <items count="537">
        <item m="1" x="433"/>
        <item x="0"/>
        <item x="1"/>
        <item x="2"/>
        <item m="1" x="209"/>
        <item x="3"/>
        <item m="1" x="352"/>
        <item m="1" x="358"/>
        <item m="1" x="215"/>
        <item m="1" x="182"/>
        <item m="1" x="297"/>
        <item m="1" x="373"/>
        <item m="1" x="192"/>
        <item m="1" x="381"/>
        <item m="1" x="202"/>
        <item m="1" x="303"/>
        <item x="4"/>
        <item x="5"/>
        <item x="6"/>
        <item m="1" x="533"/>
        <item m="1" x="295"/>
        <item m="1" x="184"/>
        <item m="1" x="488"/>
        <item x="7"/>
        <item m="1" x="510"/>
        <item x="8"/>
        <item x="9"/>
        <item x="10"/>
        <item m="1" x="426"/>
        <item x="11"/>
        <item x="12"/>
        <item x="13"/>
        <item x="14"/>
        <item m="1" x="413"/>
        <item m="1" x="518"/>
        <item m="1" x="385"/>
        <item m="1" x="392"/>
        <item x="15"/>
        <item x="16"/>
        <item m="1" x="504"/>
        <item x="17"/>
        <item m="1" x="447"/>
        <item m="1" x="481"/>
        <item x="18"/>
        <item x="19"/>
        <item m="1" x="347"/>
        <item m="1" x="354"/>
        <item m="1" x="411"/>
        <item m="1" x="418"/>
        <item m="1" x="186"/>
        <item x="20"/>
        <item m="1" x="277"/>
        <item m="1" x="214"/>
        <item x="21"/>
        <item m="1" x="479"/>
        <item m="1" x="436"/>
        <item x="22"/>
        <item m="1" x="367"/>
        <item m="1" x="267"/>
        <item x="23"/>
        <item m="1" x="219"/>
        <item x="24"/>
        <item m="1" x="265"/>
        <item m="1" x="357"/>
        <item x="25"/>
        <item x="26"/>
        <item x="27"/>
        <item m="1" x="228"/>
        <item m="1" x="485"/>
        <item x="28"/>
        <item m="1" x="469"/>
        <item m="1" x="394"/>
        <item x="29"/>
        <item m="1" x="435"/>
        <item x="30"/>
        <item m="1" x="248"/>
        <item x="31"/>
        <item x="32"/>
        <item x="33"/>
        <item x="34"/>
        <item x="35"/>
        <item m="1" x="482"/>
        <item x="36"/>
        <item m="1" x="226"/>
        <item m="1" x="235"/>
        <item x="37"/>
        <item m="1" x="283"/>
        <item x="38"/>
        <item m="1" x="213"/>
        <item m="1" x="274"/>
        <item m="1" x="425"/>
        <item m="1" x="205"/>
        <item m="1" x="345"/>
        <item m="1" x="532"/>
        <item m="1" x="346"/>
        <item m="1" x="443"/>
        <item m="1" x="331"/>
        <item m="1" x="396"/>
        <item m="1" x="253"/>
        <item x="39"/>
        <item m="1" x="501"/>
        <item m="1" x="387"/>
        <item x="40"/>
        <item m="1" x="355"/>
        <item x="41"/>
        <item x="42"/>
        <item x="43"/>
        <item x="44"/>
        <item x="45"/>
        <item m="1" x="289"/>
        <item m="1" x="475"/>
        <item m="1" x="521"/>
        <item m="1" x="200"/>
        <item m="1" x="376"/>
        <item m="1" x="221"/>
        <item m="1" x="270"/>
        <item x="46"/>
        <item m="1" x="431"/>
        <item m="1" x="292"/>
        <item m="1" x="414"/>
        <item m="1" x="375"/>
        <item m="1" x="471"/>
        <item x="47"/>
        <item m="1" x="393"/>
        <item x="48"/>
        <item m="1" x="494"/>
        <item x="49"/>
        <item x="50"/>
        <item m="1" x="183"/>
        <item x="51"/>
        <item m="1" x="416"/>
        <item x="52"/>
        <item m="1" x="290"/>
        <item m="1" x="341"/>
        <item m="1" x="439"/>
        <item m="1" x="257"/>
        <item m="1" x="340"/>
        <item m="1" x="256"/>
        <item x="53"/>
        <item m="1" x="203"/>
        <item x="54"/>
        <item x="55"/>
        <item x="56"/>
        <item m="1" x="529"/>
        <item x="57"/>
        <item m="1" x="461"/>
        <item m="1" x="415"/>
        <item x="58"/>
        <item m="1" x="238"/>
        <item x="59"/>
        <item x="60"/>
        <item m="1" x="452"/>
        <item m="1" x="457"/>
        <item x="61"/>
        <item m="1" x="508"/>
        <item m="1" x="208"/>
        <item m="1" x="321"/>
        <item m="1" x="390"/>
        <item x="62"/>
        <item m="1" x="293"/>
        <item m="1" x="232"/>
        <item m="1" x="366"/>
        <item m="1" x="310"/>
        <item x="63"/>
        <item m="1" x="400"/>
        <item m="1" x="446"/>
        <item m="1" x="251"/>
        <item x="64"/>
        <item x="65"/>
        <item m="1" x="349"/>
        <item x="66"/>
        <item x="67"/>
        <item m="1" x="259"/>
        <item m="1" x="519"/>
        <item x="68"/>
        <item m="1" x="490"/>
        <item x="69"/>
        <item m="1" x="344"/>
        <item m="1" x="255"/>
        <item x="70"/>
        <item x="71"/>
        <item m="1" x="406"/>
        <item x="72"/>
        <item m="1" x="458"/>
        <item x="73"/>
        <item m="1" x="196"/>
        <item m="1" x="314"/>
        <item m="1" x="419"/>
        <item x="74"/>
        <item x="75"/>
        <item x="76"/>
        <item m="1" x="404"/>
        <item m="1" x="302"/>
        <item m="1" x="372"/>
        <item m="1" x="316"/>
        <item x="77"/>
        <item m="1" x="279"/>
        <item m="1" x="276"/>
        <item m="1" x="361"/>
        <item m="1" x="468"/>
        <item m="1" x="371"/>
        <item m="1" x="258"/>
        <item m="1" x="260"/>
        <item m="1" x="430"/>
        <item m="1" x="187"/>
        <item x="78"/>
        <item x="79"/>
        <item x="80"/>
        <item m="1" x="227"/>
        <item m="1" x="427"/>
        <item x="81"/>
        <item m="1" x="395"/>
        <item m="1" x="407"/>
        <item m="1" x="473"/>
        <item m="1" x="445"/>
        <item m="1" x="405"/>
        <item m="1" x="252"/>
        <item m="1" x="464"/>
        <item x="82"/>
        <item m="1" x="230"/>
        <item x="83"/>
        <item m="1" x="514"/>
        <item m="1" x="456"/>
        <item m="1" x="517"/>
        <item m="1" x="325"/>
        <item m="1" x="422"/>
        <item m="1" x="505"/>
        <item m="1" x="241"/>
        <item x="84"/>
        <item m="1" x="195"/>
        <item m="1" x="233"/>
        <item x="85"/>
        <item m="1" x="286"/>
        <item m="1" x="250"/>
        <item x="86"/>
        <item m="1" x="189"/>
        <item m="1" x="470"/>
        <item x="87"/>
        <item x="88"/>
        <item x="89"/>
        <item m="1" x="465"/>
        <item x="90"/>
        <item x="91"/>
        <item m="1" x="489"/>
        <item m="1" x="268"/>
        <item m="1" x="300"/>
        <item m="1" x="360"/>
        <item x="92"/>
        <item m="1" x="315"/>
        <item m="1" x="263"/>
        <item m="1" x="278"/>
        <item m="1" x="199"/>
        <item m="1" x="486"/>
        <item m="1" x="454"/>
        <item m="1" x="211"/>
        <item m="1" x="317"/>
        <item x="93"/>
        <item m="1" x="298"/>
        <item m="1" x="288"/>
        <item x="94"/>
        <item m="1" x="448"/>
        <item x="95"/>
        <item m="1" x="307"/>
        <item m="1" x="294"/>
        <item m="1" x="450"/>
        <item m="1" x="190"/>
        <item m="1" x="512"/>
        <item x="96"/>
        <item x="97"/>
        <item x="98"/>
        <item m="1" x="516"/>
        <item m="1" x="365"/>
        <item m="1" x="242"/>
        <item m="1" x="377"/>
        <item m="1" x="491"/>
        <item x="99"/>
        <item m="1" x="472"/>
        <item x="100"/>
        <item m="1" x="384"/>
        <item x="101"/>
        <item x="102"/>
        <item m="1" x="309"/>
        <item m="1" x="311"/>
        <item x="103"/>
        <item x="104"/>
        <item m="1" x="291"/>
        <item m="1" x="338"/>
        <item m="1" x="285"/>
        <item m="1" x="306"/>
        <item x="105"/>
        <item m="1" x="386"/>
        <item m="1" x="197"/>
        <item m="1" x="528"/>
        <item m="1" x="223"/>
        <item m="1" x="275"/>
        <item m="1" x="194"/>
        <item x="106"/>
        <item m="1" x="403"/>
        <item m="1" x="525"/>
        <item m="1" x="324"/>
        <item m="1" x="201"/>
        <item m="1" x="243"/>
        <item x="107"/>
        <item m="1" x="434"/>
        <item m="1" x="362"/>
        <item x="108"/>
        <item m="1" x="363"/>
        <item m="1" x="437"/>
        <item m="1" x="339"/>
        <item m="1" x="329"/>
        <item m="1" x="284"/>
        <item m="1" x="441"/>
        <item x="109"/>
        <item m="1" x="244"/>
        <item x="110"/>
        <item m="1" x="225"/>
        <item m="1" x="442"/>
        <item m="1" x="402"/>
        <item m="1" x="333"/>
        <item m="1" x="224"/>
        <item x="111"/>
        <item m="1" x="217"/>
        <item m="1" x="188"/>
        <item x="112"/>
        <item m="1" x="383"/>
        <item x="113"/>
        <item m="1" x="212"/>
        <item m="1" x="313"/>
        <item x="114"/>
        <item m="1" x="507"/>
        <item x="115"/>
        <item x="116"/>
        <item m="1" x="493"/>
        <item x="117"/>
        <item m="1" x="330"/>
        <item m="1" x="389"/>
        <item m="1" x="234"/>
        <item m="1" x="408"/>
        <item x="118"/>
        <item x="119"/>
        <item m="1" x="220"/>
        <item m="1" x="506"/>
        <item m="1" x="391"/>
        <item x="120"/>
        <item m="1" x="266"/>
        <item m="1" x="509"/>
        <item m="1" x="374"/>
        <item x="121"/>
        <item m="1" x="359"/>
        <item m="1" x="305"/>
        <item m="1" x="282"/>
        <item x="122"/>
        <item m="1" x="280"/>
        <item x="123"/>
        <item x="124"/>
        <item m="1" x="356"/>
        <item m="1" x="327"/>
        <item m="1" x="398"/>
        <item m="1" x="246"/>
        <item m="1" x="498"/>
        <item x="125"/>
        <item x="126"/>
        <item m="1" x="451"/>
        <item x="127"/>
        <item m="1" x="530"/>
        <item m="1" x="388"/>
        <item x="128"/>
        <item m="1" x="206"/>
        <item m="1" x="191"/>
        <item m="1" x="322"/>
        <item x="129"/>
        <item m="1" x="417"/>
        <item m="1" x="308"/>
        <item m="1" x="534"/>
        <item m="1" x="440"/>
        <item m="1" x="254"/>
        <item x="130"/>
        <item m="1" x="455"/>
        <item m="1" x="523"/>
        <item x="131"/>
        <item m="1" x="296"/>
        <item x="132"/>
        <item x="133"/>
        <item m="1" x="474"/>
        <item m="1" x="334"/>
        <item m="1" x="531"/>
        <item m="1" x="229"/>
        <item x="134"/>
        <item x="135"/>
        <item m="1" x="535"/>
        <item m="1" x="476"/>
        <item x="136"/>
        <item x="137"/>
        <item m="1" x="239"/>
        <item m="1" x="478"/>
        <item x="138"/>
        <item x="139"/>
        <item x="140"/>
        <item m="1" x="423"/>
        <item m="1" x="401"/>
        <item m="1" x="193"/>
        <item x="141"/>
        <item m="1" x="397"/>
        <item m="1" x="526"/>
        <item x="142"/>
        <item m="1" x="271"/>
        <item x="143"/>
        <item m="1" x="428"/>
        <item x="144"/>
        <item x="145"/>
        <item x="146"/>
        <item x="147"/>
        <item x="148"/>
        <item m="1" x="247"/>
        <item x="149"/>
        <item m="1" x="502"/>
        <item m="1" x="207"/>
        <item m="1" x="222"/>
        <item m="1" x="462"/>
        <item m="1" x="520"/>
        <item m="1" x="410"/>
        <item m="1" x="336"/>
        <item m="1" x="511"/>
        <item m="1" x="328"/>
        <item m="1" x="424"/>
        <item m="1" x="421"/>
        <item m="1" x="499"/>
        <item m="1" x="515"/>
        <item m="1" x="527"/>
        <item m="1" x="379"/>
        <item x="150"/>
        <item m="1" x="369"/>
        <item x="151"/>
        <item m="1" x="237"/>
        <item m="1" x="323"/>
        <item x="152"/>
        <item x="153"/>
        <item x="154"/>
        <item m="1" x="348"/>
        <item m="1" x="236"/>
        <item x="155"/>
        <item x="156"/>
        <item m="1" x="483"/>
        <item m="1" x="420"/>
        <item m="1" x="503"/>
        <item m="1" x="332"/>
        <item m="1" x="204"/>
        <item m="1" x="460"/>
        <item x="157"/>
        <item x="158"/>
        <item m="1" x="326"/>
        <item m="1" x="513"/>
        <item x="159"/>
        <item m="1" x="351"/>
        <item m="1" x="216"/>
        <item m="1" x="262"/>
        <item m="1" x="320"/>
        <item m="1" x="453"/>
        <item m="1" x="272"/>
        <item m="1" x="500"/>
        <item x="160"/>
        <item m="1" x="484"/>
        <item m="1" x="231"/>
        <item m="1" x="399"/>
        <item x="161"/>
        <item m="1" x="304"/>
        <item m="1" x="382"/>
        <item m="1" x="318"/>
        <item m="1" x="319"/>
        <item m="1" x="429"/>
        <item m="1" x="378"/>
        <item m="1" x="269"/>
        <item m="1" x="496"/>
        <item m="1" x="281"/>
        <item m="1" x="495"/>
        <item m="1" x="301"/>
        <item x="162"/>
        <item x="163"/>
        <item m="1" x="353"/>
        <item m="1" x="210"/>
        <item m="1" x="343"/>
        <item m="1" x="312"/>
        <item m="1" x="497"/>
        <item m="1" x="185"/>
        <item m="1" x="350"/>
        <item m="1" x="249"/>
        <item m="1" x="368"/>
        <item m="1" x="438"/>
        <item m="1" x="264"/>
        <item m="1" x="342"/>
        <item m="1" x="198"/>
        <item m="1" x="240"/>
        <item m="1" x="467"/>
        <item x="164"/>
        <item m="1" x="337"/>
        <item m="1" x="524"/>
        <item m="1" x="299"/>
        <item x="165"/>
        <item m="1" x="459"/>
        <item m="1" x="218"/>
        <item m="1" x="466"/>
        <item m="1" x="492"/>
        <item x="166"/>
        <item m="1" x="477"/>
        <item m="1" x="449"/>
        <item m="1" x="409"/>
        <item m="1" x="480"/>
        <item x="167"/>
        <item m="1" x="522"/>
        <item x="168"/>
        <item m="1" x="261"/>
        <item m="1" x="245"/>
        <item m="1" x="412"/>
        <item m="1" x="432"/>
        <item x="169"/>
        <item m="1" x="444"/>
        <item m="1" x="370"/>
        <item x="170"/>
        <item x="171"/>
        <item x="172"/>
        <item m="1" x="287"/>
        <item m="1" x="273"/>
        <item x="173"/>
        <item m="1" x="487"/>
        <item x="174"/>
        <item m="1" x="463"/>
        <item x="175"/>
        <item m="1" x="335"/>
        <item x="176"/>
        <item m="1" x="380"/>
        <item m="1" x="364"/>
        <item x="177"/>
        <item x="178"/>
        <item x="179"/>
        <item x="180"/>
        <item m="1" x="181"/>
        <item t="default"/>
      </items>
    </pivotField>
    <pivotField axis="axisPage" multipleItemSelectionAllowed="1" showAll="0">
      <items count="41">
        <item h="1" x="2"/>
        <item h="1" x="7"/>
        <item h="1" x="3"/>
        <item h="1" m="1" x="35"/>
        <item h="1" x="20"/>
        <item h="1" m="1" x="32"/>
        <item h="1" x="5"/>
        <item h="1" x="6"/>
        <item h="1" x="11"/>
        <item h="1" x="15"/>
        <item m="1" x="30"/>
        <item h="1" x="1"/>
        <item h="1" x="16"/>
        <item h="1" x="21"/>
        <item h="1" x="19"/>
        <item h="1" x="8"/>
        <item h="1" x="0"/>
        <item h="1" x="9"/>
        <item h="1" x="13"/>
        <item h="1" x="4"/>
        <item h="1" x="10"/>
        <item h="1" m="1" x="38"/>
        <item h="1" m="1" x="33"/>
        <item h="1" m="1" x="26"/>
        <item h="1" x="12"/>
        <item h="1" m="1" x="28"/>
        <item h="1" m="1" x="36"/>
        <item h="1" m="1" x="37"/>
        <item h="1" m="1" x="29"/>
        <item h="1" m="1" x="39"/>
        <item h="1" m="1" x="23"/>
        <item h="1" m="1" x="31"/>
        <item h="1" m="1" x="25"/>
        <item h="1" x="17"/>
        <item h="1" m="1" x="34"/>
        <item h="1" x="14"/>
        <item h="1" m="1" x="24"/>
        <item h="1" m="1" x="27"/>
        <item h="1" x="18"/>
        <item h="1" x="22"/>
        <item t="default"/>
      </items>
    </pivotField>
    <pivotField showAll="0"/>
    <pivotField numFmtId="4" showAll="0"/>
    <pivotField numFmtId="4" showAll="0"/>
    <pivotField dataField="1" numFmtId="4" showAll="0"/>
    <pivotField numFmtId="4" showAll="0"/>
    <pivotField numFmtId="4" showAll="0"/>
    <pivotField numFmtId="166" showAll="0"/>
    <pivotField showAll="0"/>
    <pivotField showAll="0"/>
    <pivotField showAll="0"/>
    <pivotField showAll="0"/>
  </pivotFields>
  <rowFields count="1">
    <field x="2"/>
  </rowFields>
  <rowItems count="1">
    <i t="grand">
      <x/>
    </i>
  </rowItems>
  <colItems count="1">
    <i/>
  </colItems>
  <pageFields count="1">
    <pageField fld="3" hier="-1"/>
  </pageFields>
  <dataFields count="1">
    <dataField name="Total" fld="7" baseField="0" baseItem="0" numFmtId="44"/>
  </dataFields>
  <formats count="2">
    <format dxfId="153">
      <pivotArea field="2" type="button" dataOnly="0" labelOnly="1" outline="0" axis="axisRow" fieldPosition="0"/>
    </format>
    <format dxfId="152">
      <pivotArea dataOnly="0" labelOnly="1" outline="0" axis="axisValues" fieldPosition="0"/>
    </format>
  </formats>
  <pivotTableStyleInfo name="PivotStyleLight16" showRowHeaders="1" showColHeaders="1" showRowStripes="1" showColStripes="0" showLastColumn="1"/>
  <filters count="1">
    <filter fld="2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AB992-39BC-0B4D-809B-B247B844954A}" name="PivotTable5" cacheId="4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A4:B8" firstHeaderRow="1" firstDataRow="1" firstDataCol="1" rowPageCount="1" colPageCount="1"/>
  <pivotFields count="15">
    <pivotField axis="axisRow" showAll="0">
      <items count="71">
        <item x="56"/>
        <item x="64"/>
        <item x="57"/>
        <item x="65"/>
        <item x="25"/>
        <item x="34"/>
        <item x="36"/>
        <item x="30"/>
        <item x="21"/>
        <item x="52"/>
        <item x="13"/>
        <item x="44"/>
        <item x="14"/>
        <item x="22"/>
        <item x="16"/>
        <item x="29"/>
        <item x="2"/>
        <item x="8"/>
        <item x="51"/>
        <item x="20"/>
        <item x="26"/>
        <item x="35"/>
        <item x="19"/>
        <item x="6"/>
        <item x="61"/>
        <item x="4"/>
        <item x="43"/>
        <item x="11"/>
        <item x="54"/>
        <item x="33"/>
        <item x="38"/>
        <item x="39"/>
        <item x="63"/>
        <item x="17"/>
        <item x="55"/>
        <item x="0"/>
        <item x="1"/>
        <item m="1" x="67"/>
        <item x="46"/>
        <item x="45"/>
        <item x="24"/>
        <item x="18"/>
        <item x="50"/>
        <item x="58"/>
        <item x="59"/>
        <item x="7"/>
        <item x="47"/>
        <item x="31"/>
        <item x="53"/>
        <item x="48"/>
        <item x="23"/>
        <item x="27"/>
        <item x="32"/>
        <item x="37"/>
        <item x="49"/>
        <item m="1" x="68"/>
        <item m="1" x="69"/>
        <item x="3"/>
        <item x="9"/>
        <item x="60"/>
        <item x="28"/>
        <item x="10"/>
        <item x="66"/>
        <item x="62"/>
        <item x="40"/>
        <item x="41"/>
        <item x="42"/>
        <item x="12"/>
        <item x="15"/>
        <item x="5"/>
        <item t="default"/>
      </items>
    </pivotField>
    <pivotField showAll="0"/>
    <pivotField showAll="0"/>
    <pivotField axis="axisPage" multipleItemSelectionAllowed="1" showAll="0">
      <items count="49">
        <item h="1" x="10"/>
        <item h="1" x="15"/>
        <item h="1" x="17"/>
        <item h="1" x="5"/>
        <item h="1" x="7"/>
        <item h="1" m="1" x="18"/>
        <item h="1" x="6"/>
        <item x="12"/>
        <item h="1" x="14"/>
        <item h="1" m="1" x="36"/>
        <item h="1" x="3"/>
        <item h="1" x="8"/>
        <item h="1" x="9"/>
        <item h="1" m="1" x="41"/>
        <item h="1" m="1" x="42"/>
        <item h="1" x="13"/>
        <item h="1" x="0"/>
        <item h="1" m="1" x="23"/>
        <item h="1" m="1" x="45"/>
        <item h="1" m="1" x="47"/>
        <item h="1" x="1"/>
        <item h="1" m="1" x="39"/>
        <item h="1" x="4"/>
        <item h="1" m="1" x="44"/>
        <item h="1" m="1" x="46"/>
        <item h="1" x="2"/>
        <item h="1" m="1" x="40"/>
        <item h="1" x="11"/>
        <item h="1" m="1" x="34"/>
        <item h="1" m="1" x="21"/>
        <item h="1" m="1" x="31"/>
        <item h="1" m="1" x="33"/>
        <item h="1" m="1" x="22"/>
        <item h="1" m="1" x="20"/>
        <item h="1" m="1" x="26"/>
        <item h="1" m="1" x="27"/>
        <item h="1" m="1" x="19"/>
        <item h="1" x="16"/>
        <item h="1" m="1" x="43"/>
        <item h="1" m="1" x="24"/>
        <item h="1" m="1" x="25"/>
        <item h="1" m="1" x="28"/>
        <item h="1" m="1" x="29"/>
        <item h="1" m="1" x="30"/>
        <item h="1" m="1" x="32"/>
        <item h="1" m="1" x="35"/>
        <item h="1" m="1" x="37"/>
        <item h="1" m="1" x="38"/>
        <item t="default"/>
      </items>
    </pivotField>
    <pivotField axis="axisRow" showAll="0" sortType="ascending">
      <items count="2742">
        <item m="1" x="956"/>
        <item m="1" x="1464"/>
        <item m="1" x="2141"/>
        <item m="1" x="272"/>
        <item m="1" x="870"/>
        <item m="1" x="575"/>
        <item m="1" x="2057"/>
        <item m="1" x="1442"/>
        <item m="1" x="361"/>
        <item m="1" x="118"/>
        <item m="1" x="1346"/>
        <item m="1" x="725"/>
        <item m="1" x="1254"/>
        <item m="1" x="282"/>
        <item m="1" x="2036"/>
        <item m="1" x="2157"/>
        <item m="1" x="1796"/>
        <item m="1" x="951"/>
        <item m="1" x="1887"/>
        <item m="1" x="1870"/>
        <item m="1" x="2717"/>
        <item x="5"/>
        <item m="1" x="491"/>
        <item m="1" x="1549"/>
        <item m="1" x="1484"/>
        <item m="1" x="727"/>
        <item m="1" x="1288"/>
        <item m="1" x="1739"/>
        <item m="1" x="804"/>
        <item m="1" x="451"/>
        <item m="1" x="1888"/>
        <item x="12"/>
        <item m="1" x="2159"/>
        <item m="1" x="1623"/>
        <item m="1" x="2037"/>
        <item m="1" x="78"/>
        <item m="1" x="2611"/>
        <item m="1" x="1378"/>
        <item m="1" x="1556"/>
        <item m="1" x="959"/>
        <item m="1" x="177"/>
        <item m="1" x="2038"/>
        <item m="1" x="1737"/>
        <item m="1" x="2160"/>
        <item m="1" x="2161"/>
        <item m="1" x="357"/>
        <item m="1" x="1142"/>
        <item m="1" x="1003"/>
        <item m="1" x="2688"/>
        <item m="1" x="2162"/>
        <item m="1" x="1096"/>
        <item m="1" x="1016"/>
        <item m="1" x="2039"/>
        <item m="1" x="88"/>
        <item m="1" x="1738"/>
        <item m="1" x="2163"/>
        <item m="1" x="1459"/>
        <item m="1" x="2164"/>
        <item m="1" x="2153"/>
        <item m="1" x="89"/>
        <item m="1" x="2165"/>
        <item m="1" x="730"/>
        <item m="1" x="1630"/>
        <item m="1" x="1005"/>
        <item m="1" x="2166"/>
        <item m="1" x="1348"/>
        <item m="1" x="1006"/>
        <item m="1" x="731"/>
        <item m="1" x="1651"/>
        <item m="1" x="2167"/>
        <item m="1" x="1008"/>
        <item m="1" x="2168"/>
        <item m="1" x="1367"/>
        <item m="1" x="2146"/>
        <item m="1" x="90"/>
        <item m="1" x="2169"/>
        <item m="1" x="266"/>
        <item m="1" x="922"/>
        <item m="1" x="442"/>
        <item m="1" x="364"/>
        <item m="1" x="732"/>
        <item m="1" x="1555"/>
        <item m="1" x="2170"/>
        <item m="1" x="418"/>
        <item m="1" x="887"/>
        <item m="1" x="265"/>
        <item m="1" x="292"/>
        <item m="1" x="2171"/>
        <item m="1" x="68"/>
        <item m="1" x="521"/>
        <item m="1" x="616"/>
        <item m="1" x="2484"/>
        <item m="1" x="617"/>
        <item m="1" x="284"/>
        <item m="1" x="2172"/>
        <item m="1" x="2659"/>
        <item m="1" x="1617"/>
        <item m="1" x="1363"/>
        <item m="1" x="2173"/>
        <item m="1" x="232"/>
        <item m="1" x="2174"/>
        <item m="1" x="2175"/>
        <item m="1" x="2176"/>
        <item m="1" x="2040"/>
        <item m="1" x="562"/>
        <item m="1" x="1476"/>
        <item m="1" x="242"/>
        <item m="1" x="181"/>
        <item m="1" x="1465"/>
        <item m="1" x="2678"/>
        <item m="1" x="1482"/>
        <item m="1" x="815"/>
        <item m="1" x="1128"/>
        <item m="1" x="2489"/>
        <item m="1" x="2177"/>
        <item m="1" x="2385"/>
        <item m="1" x="1129"/>
        <item m="1" x="2178"/>
        <item m="1" x="2181"/>
        <item m="1" x="1012"/>
        <item m="1" x="890"/>
        <item m="1" x="2182"/>
        <item m="1" x="1874"/>
        <item m="1" x="2183"/>
        <item m="1" x="1727"/>
        <item m="1" x="2184"/>
        <item m="1" x="1408"/>
        <item m="1" x="238"/>
        <item m="1" x="2185"/>
        <item m="1" x="93"/>
        <item m="1" x="1041"/>
        <item m="1" x="734"/>
        <item m="1" x="1042"/>
        <item m="1" x="1309"/>
        <item m="1" x="1399"/>
        <item m="1" x="1547"/>
        <item m="1" x="2186"/>
        <item m="1" x="344"/>
        <item m="1" x="94"/>
        <item m="1" x="2187"/>
        <item m="1" x="2188"/>
        <item m="1" x="983"/>
        <item m="1" x="2041"/>
        <item m="1" x="547"/>
        <item m="1" x="1359"/>
        <item m="1" x="1303"/>
        <item m="1" x="1552"/>
        <item m="1" x="981"/>
        <item m="1" x="54"/>
        <item m="1" x="255"/>
        <item m="1" x="497"/>
        <item m="1" x="2190"/>
        <item m="1" x="2191"/>
        <item m="1" x="2192"/>
        <item m="1" x="2650"/>
        <item m="1" x="621"/>
        <item m="1" x="1045"/>
        <item m="1" x="880"/>
        <item m="1" x="1046"/>
        <item m="1" x="274"/>
        <item m="1" x="1047"/>
        <item m="1" x="2193"/>
        <item m="1" x="1049"/>
        <item m="1" x="1050"/>
        <item m="1" x="1962"/>
        <item m="1" x="735"/>
        <item m="1" x="2194"/>
        <item m="1" x="2083"/>
        <item m="1" x="2682"/>
        <item m="1" x="287"/>
        <item m="1" x="432"/>
        <item m="1" x="472"/>
        <item m="1" x="1868"/>
        <item m="1" x="419"/>
        <item m="1" x="2389"/>
        <item m="1" x="1052"/>
        <item m="1" x="1053"/>
        <item m="1" x="2618"/>
        <item m="1" x="2637"/>
        <item m="1" x="2641"/>
        <item m="1" x="366"/>
        <item m="1" x="296"/>
        <item m="1" x="1218"/>
        <item m="1" x="1151"/>
        <item m="1" x="620"/>
        <item m="1" x="1344"/>
        <item m="1" x="1203"/>
        <item m="1" x="2195"/>
        <item m="1" x="736"/>
        <item m="1" x="538"/>
        <item m="1" x="2196"/>
        <item m="1" x="1200"/>
        <item m="1" x="1873"/>
        <item m="1" x="1744"/>
        <item m="1" x="2197"/>
        <item m="1" x="1505"/>
        <item m="1" x="622"/>
        <item m="1" x="2261"/>
        <item m="1" x="2000"/>
        <item m="1" x="374"/>
        <item m="1" x="1741"/>
        <item m="1" x="1948"/>
        <item m="1" x="1056"/>
        <item m="1" x="304"/>
        <item m="1" x="498"/>
        <item m="1" x="737"/>
        <item m="1" x="2042"/>
        <item m="1" x="2198"/>
        <item m="1" x="1643"/>
        <item m="1" x="1475"/>
        <item m="1" x="738"/>
        <item m="1" x="1058"/>
        <item m="1" x="1863"/>
        <item m="1" x="2635"/>
        <item m="1" x="97"/>
        <item m="1" x="739"/>
        <item m="1" x="516"/>
        <item m="1" x="807"/>
        <item m="1" x="2651"/>
        <item m="1" x="2115"/>
        <item m="1" x="625"/>
        <item m="1" x="1978"/>
        <item m="1" x="2043"/>
        <item m="1" x="895"/>
        <item m="1" x="626"/>
        <item m="1" x="1063"/>
        <item m="1" x="1253"/>
        <item m="1" x="1393"/>
        <item m="1" x="1020"/>
        <item m="1" x="492"/>
        <item m="1" x="1804"/>
        <item m="1" x="2085"/>
        <item m="1" x="1900"/>
        <item m="1" x="1886"/>
        <item m="1" x="573"/>
        <item m="1" x="2638"/>
        <item m="1" x="628"/>
        <item m="1" x="2508"/>
        <item m="1" x="464"/>
        <item m="1" x="1224"/>
        <item m="1" x="2002"/>
        <item m="1" x="1500"/>
        <item m="1" x="2199"/>
        <item m="1" x="448"/>
        <item m="1" x="412"/>
        <item m="1" x="98"/>
        <item m="1" x="1575"/>
        <item m="1" x="2601"/>
        <item m="1" x="1508"/>
        <item m="1" x="741"/>
        <item m="1" x="2200"/>
        <item m="1" x="175"/>
        <item m="1" x="1349"/>
        <item m="1" x="1622"/>
        <item m="1" x="2080"/>
        <item m="1" x="806"/>
        <item m="1" x="1981"/>
        <item m="1" x="594"/>
        <item m="1" x="2201"/>
        <item m="1" x="1947"/>
        <item m="1" x="1069"/>
        <item sd="0" m="1" x="47"/>
        <item m="1" x="1382"/>
        <item m="1" x="1701"/>
        <item m="1" x="2681"/>
        <item m="1" x="1355"/>
        <item m="1" x="2202"/>
        <item m="1" x="1364"/>
        <item m="1" x="743"/>
        <item m="1" x="1072"/>
        <item m="1" x="1327"/>
        <item m="1" x="1240"/>
        <item m="1" x="250"/>
        <item m="1" x="2704"/>
        <item m="1" x="301"/>
        <item sd="0" m="1" x="2726"/>
        <item m="1" x="2572"/>
        <item m="1" x="744"/>
        <item m="1" x="2018"/>
        <item m="1" x="1073"/>
        <item m="1" x="745"/>
        <item m="1" x="746"/>
        <item m="1" x="2204"/>
        <item m="1" x="1137"/>
        <item m="1" x="2205"/>
        <item m="1" x="529"/>
        <item m="1" x="577"/>
        <item m="1" x="215"/>
        <item m="1" x="499"/>
        <item m="1" x="1418"/>
        <item m="1" x="1940"/>
        <item m="1" x="474"/>
        <item m="1" x="986"/>
        <item m="1" x="72"/>
        <item m="1" x="1388"/>
        <item m="1" x="2206"/>
        <item m="1" x="99"/>
        <item m="1" x="1330"/>
        <item m="1" x="1237"/>
        <item m="1" x="1282"/>
        <item m="1" x="1294"/>
        <item m="1" x="2207"/>
        <item m="1" x="2208"/>
        <item m="1" x="811"/>
        <item m="1" x="747"/>
        <item m="1" x="1310"/>
        <item m="1" x="2081"/>
        <item m="1" x="1771"/>
        <item m="1" x="449"/>
        <item m="1" x="1341"/>
        <item m="1" x="1878"/>
        <item m="1" x="159"/>
        <item m="1" x="576"/>
        <item m="1" x="551"/>
        <item m="1" x="2209"/>
        <item m="1" x="2003"/>
        <item m="1" x="1078"/>
        <item m="1" x="2210"/>
        <item m="1" x="1453"/>
        <item m="1" x="1935"/>
        <item m="1" x="251"/>
        <item m="1" x="1574"/>
        <item m="1" x="1306"/>
        <item m="1" x="1905"/>
        <item m="1" x="1652"/>
        <item m="1" x="313"/>
        <item m="1" x="631"/>
        <item m="1" x="1079"/>
        <item m="1" x="526"/>
        <item m="1" x="1757"/>
        <item m="1" x="2211"/>
        <item m="1" x="1037"/>
        <item m="1" x="561"/>
        <item m="1" x="926"/>
        <item m="1" x="2577"/>
        <item m="1" x="2212"/>
        <item m="1" x="1360"/>
        <item m="1" x="2086"/>
        <item m="1" x="1377"/>
        <item m="1" x="2213"/>
        <item m="1" x="100"/>
        <item m="1" x="476"/>
        <item m="1" x="1336"/>
        <item m="1" x="1907"/>
        <item m="1" x="1956"/>
        <item m="1" x="1909"/>
        <item m="1" x="452"/>
        <item m="1" x="109"/>
        <item m="1" x="399"/>
        <item m="1" x="1083"/>
        <item m="1" x="2214"/>
        <item m="1" x="1085"/>
        <item m="1" x="748"/>
        <item m="1" x="2215"/>
        <item m="1" x="2589"/>
        <item m="1" x="1087"/>
        <item m="1" x="254"/>
        <item m="1" x="2563"/>
        <item m="1" x="749"/>
        <item m="1" x="1088"/>
        <item m="1" x="2581"/>
        <item m="1" x="81"/>
        <item m="1" x="1095"/>
        <item m="1" x="158"/>
        <item m="1" x="950"/>
        <item m="1" x="979"/>
        <item m="1" x="1098"/>
        <item sd="0" m="1" x="2571"/>
        <item m="1" x="1084"/>
        <item x="38"/>
        <item m="1" x="2630"/>
        <item m="1" x="103"/>
        <item m="1" x="2716"/>
        <item m="1" x="633"/>
        <item m="1" x="1438"/>
        <item m="1" x="1147"/>
        <item m="1" x="1520"/>
        <item m="1" x="1149"/>
        <item m="1" x="102"/>
        <item m="1" x="1091"/>
        <item m="1" x="115"/>
        <item sd="0" m="1" x="116"/>
        <item m="1" x="1152"/>
        <item m="1" x="618"/>
        <item m="1" x="1380"/>
        <item m="1" x="117"/>
        <item m="1" x="649"/>
        <item m="1" x="648"/>
        <item m="1" x="1089"/>
        <item m="1" x="2670"/>
        <item m="1" x="2216"/>
        <item m="1" x="1090"/>
        <item m="1" x="2004"/>
        <item m="1" x="1021"/>
        <item m="1" x="523"/>
        <item m="1" x="578"/>
        <item m="1" x="1764"/>
        <item m="1" x="908"/>
        <item m="1" x="2560"/>
        <item m="1" x="1803"/>
        <item m="1" x="2242"/>
        <item m="1" x="49"/>
        <item m="1" x="2044"/>
        <item m="1" x="1397"/>
        <item m="1" x="2649"/>
        <item m="1" x="2217"/>
        <item m="1" x="1163"/>
        <item m="1" x="148"/>
        <item m="1" x="2596"/>
        <item m="1" x="167"/>
        <item m="1" x="970"/>
        <item m="1" x="1094"/>
        <item m="1" x="2218"/>
        <item m="1" x="1898"/>
        <item m="1" x="2219"/>
        <item m="1" x="883"/>
        <item m="1" x="873"/>
        <item m="1" x="2600"/>
        <item m="1" x="2380"/>
        <item m="1" x="1932"/>
        <item m="1" x="1062"/>
        <item m="1" x="2220"/>
        <item m="1" x="1952"/>
        <item m="1" x="1082"/>
        <item m="1" x="1289"/>
        <item sd="0" m="1" x="2721"/>
        <item m="1" x="106"/>
        <item m="1" x="360"/>
        <item m="1" x="1998"/>
        <item m="1" x="2339"/>
        <item m="1" x="2667"/>
        <item m="1" x="545"/>
        <item m="1" x="2087"/>
        <item m="1" x="751"/>
        <item m="1" x="107"/>
        <item m="1" x="509"/>
        <item m="1" x="259"/>
        <item m="1" x="1097"/>
        <item m="1" x="1080"/>
        <item x="10"/>
        <item m="1" x="2559"/>
        <item m="1" x="1621"/>
        <item m="1" x="753"/>
        <item m="1" x="331"/>
        <item m="1" x="932"/>
        <item x="22"/>
        <item x="1"/>
        <item m="1" x="2221"/>
        <item m="1" x="2222"/>
        <item m="1" x="369"/>
        <item m="1" x="453"/>
        <item m="1" x="58"/>
        <item m="1" x="437"/>
        <item m="1" x="1687"/>
        <item m="1" x="1099"/>
        <item m="1" x="2224"/>
        <item m="1" x="2045"/>
        <item m="1" x="2608"/>
        <item m="1" x="1783"/>
        <item m="1" x="1885"/>
        <item m="1" x="636"/>
        <item m="1" x="108"/>
        <item m="1" x="52"/>
        <item m="1" x="1103"/>
        <item x="18"/>
        <item m="1" x="1993"/>
        <item m="1" x="2016"/>
        <item m="1" x="1911"/>
        <item m="1" x="593"/>
        <item m="1" x="754"/>
        <item m="1" x="755"/>
        <item m="1" x="407"/>
        <item m="1" x="356"/>
        <item m="1" x="1104"/>
        <item m="1" x="2225"/>
        <item m="1" x="1105"/>
        <item m="1" x="756"/>
        <item m="1" x="2158"/>
        <item m="1" x="752"/>
        <item m="1" x="2046"/>
        <item m="1" x="2226"/>
        <item m="1" x="1913"/>
        <item m="1" x="2150"/>
        <item m="1" x="919"/>
        <item m="1" x="2020"/>
        <item m="1" x="208"/>
        <item m="1" x="1708"/>
        <item m="1" x="1111"/>
        <item m="1" x="454"/>
        <item m="1" x="1112"/>
        <item m="1" x="309"/>
        <item m="1" x="1869"/>
        <item m="1" x="302"/>
        <item m="1" x="852"/>
        <item m="1" x="1205"/>
        <item m="1" x="1113"/>
        <item m="1" x="713"/>
        <item m="1" x="638"/>
        <item m="1" x="1210"/>
        <item m="1" x="1070"/>
        <item m="1" x="1805"/>
        <item m="1" x="1806"/>
        <item m="1" x="216"/>
        <item m="1" x="1809"/>
        <item m="1" x="875"/>
        <item m="1" x="2669"/>
        <item m="1" x="1126"/>
        <item m="1" x="110"/>
        <item m="1" x="1054"/>
        <item m="1" x="1830"/>
        <item m="1" x="1832"/>
        <item m="1" x="1818"/>
        <item m="1" x="1106"/>
        <item x="19"/>
        <item m="1" x="1043"/>
        <item m="1" x="1712"/>
        <item x="33"/>
        <item m="1" x="1615"/>
        <item m="1" x="1810"/>
        <item sd="0" m="1" x="1114"/>
        <item m="1" x="1143"/>
        <item m="1" x="1535"/>
        <item m="1" x="1812"/>
        <item m="1" x="2088"/>
        <item m="1" x="1813"/>
        <item m="1" x="111"/>
        <item m="1" x="2228"/>
        <item m="1" x="1000"/>
        <item m="1" x="2229"/>
        <item m="1" x="2578"/>
        <item m="1" x="2230"/>
        <item m="1" x="1030"/>
        <item m="1" x="2564"/>
        <item m="1" x="946"/>
        <item m="1" x="2231"/>
        <item m="1" x="50"/>
        <item m="1" x="378"/>
        <item m="1" x="2232"/>
        <item m="1" x="2456"/>
        <item m="1" x="276"/>
        <item m="1" x="758"/>
        <item m="1" x="1010"/>
        <item m="1" x="1120"/>
        <item m="1" x="900"/>
        <item m="1" x="2663"/>
        <item m="1" x="2233"/>
        <item m="1" x="1015"/>
        <item m="1" x="1026"/>
        <item m="1" x="641"/>
        <item m="1" x="642"/>
        <item m="1" x="597"/>
        <item m="1" x="2606"/>
        <item m="1" x="643"/>
        <item m="1" x="1918"/>
        <item m="1" x="635"/>
        <item m="1" x="1123"/>
        <item m="1" x="2234"/>
        <item m="1" x="112"/>
        <item m="1" x="1742"/>
        <item m="1" x="878"/>
        <item m="1" x="2235"/>
        <item m="1" x="1984"/>
        <item m="1" x="2007"/>
        <item m="1" x="2236"/>
        <item m="1" x="759"/>
        <item m="1" x="933"/>
        <item m="1" x="436"/>
        <item m="1" x="2664"/>
        <item m="1" x="2078"/>
        <item m="1" x="1775"/>
        <item m="1" x="2586"/>
        <item m="1" x="475"/>
        <item m="1" x="1109"/>
        <item m="1" x="2674"/>
        <item m="1" x="2657"/>
        <item m="1" x="1700"/>
        <item m="1" x="539"/>
        <item m="1" x="455"/>
        <item m="1" x="952"/>
        <item m="1" x="315"/>
        <item m="1" x="408"/>
        <item m="1" x="867"/>
        <item m="1" x="2506"/>
        <item m="1" x="114"/>
        <item m="1" x="2237"/>
        <item m="1" x="1402"/>
        <item m="1" x="164"/>
        <item m="1" x="645"/>
        <item m="1" x="1638"/>
        <item m="1" x="1139"/>
        <item m="1" x="1146"/>
        <item m="1" x="554"/>
        <item m="1" x="2634"/>
        <item m="1" x="994"/>
        <item m="1" x="2465"/>
        <item m="1" x="1406"/>
        <item m="1" x="1236"/>
        <item m="1" x="1959"/>
        <item m="1" x="1247"/>
        <item m="1" x="1481"/>
        <item m="1" x="1876"/>
        <item m="1" x="1141"/>
        <item m="1" x="1065"/>
        <item m="1" x="646"/>
        <item sd="0" m="1" x="2731"/>
        <item m="1" x="1573"/>
        <item m="1" x="647"/>
        <item m="1" x="2239"/>
        <item m="1" x="126"/>
        <item m="1" x="96"/>
        <item m="1" x="1329"/>
        <item m="1" x="760"/>
        <item m="1" x="1270"/>
        <item m="1" x="2558"/>
        <item m="1" x="869"/>
        <item m="1" x="1145"/>
        <item m="1" x="1510"/>
        <item x="20"/>
        <item m="1" x="1175"/>
        <item m="1" x="1795"/>
        <item m="1" x="1124"/>
        <item m="1" x="1802"/>
        <item sd="0" x="7"/>
        <item x="37"/>
        <item m="1" x="1298"/>
        <item m="1" x="1339"/>
        <item m="1" x="1816"/>
        <item m="1" x="1762"/>
        <item m="1" x="1532"/>
        <item m="1" x="2240"/>
        <item m="1" x="871"/>
        <item m="1" x="2718"/>
        <item m="1" x="91"/>
        <item m="1" x="2241"/>
        <item m="1" x="2030"/>
        <item m="1" x="1672"/>
        <item m="1" x="761"/>
        <item m="1" x="2089"/>
        <item m="1" x="2227"/>
        <item m="1" x="762"/>
        <item m="1" x="1148"/>
        <item m="1" x="316"/>
        <item m="1" x="2633"/>
        <item m="1" x="1242"/>
        <item m="1" x="260"/>
        <item m="1" x="1412"/>
        <item m="1" x="1384"/>
        <item m="1" x="763"/>
        <item m="1" x="1682"/>
        <item m="1" x="385"/>
        <item m="1" x="591"/>
        <item m="1" x="1565"/>
        <item m="1" x="2243"/>
        <item m="1" x="1153"/>
        <item m="1" x="500"/>
        <item m="1" x="2552"/>
        <item m="1" x="217"/>
        <item m="1" x="1229"/>
        <item m="1" x="373"/>
        <item m="1" x="433"/>
        <item m="1" x="2632"/>
        <item m="1" x="1092"/>
        <item m="1" x="1241"/>
        <item m="1" x="1743"/>
        <item sd="0" m="1" x="244"/>
        <item m="1" x="444"/>
        <item m="1" x="2047"/>
        <item m="1" x="1403"/>
        <item m="1" x="1644"/>
        <item m="1" x="1158"/>
        <item m="1" x="1612"/>
        <item m="1" x="372"/>
        <item m="1" x="2588"/>
        <item m="1" x="1872"/>
        <item m="1" x="1478"/>
        <item m="1" x="2244"/>
        <item m="1" x="1865"/>
        <item m="1" x="319"/>
        <item m="1" x="303"/>
        <item m="1" x="1879"/>
        <item m="1" x="2351"/>
        <item m="1" x="1875"/>
        <item sd="0" m="1" x="2090"/>
        <item m="1" x="2245"/>
        <item m="1" x="2072"/>
        <item m="1" x="2374"/>
        <item m="1" x="2091"/>
        <item m="1" x="311"/>
        <item m="1" x="2246"/>
        <item m="1" x="2247"/>
        <item m="1" x="333"/>
        <item m="1" x="765"/>
        <item m="1" x="1318"/>
        <item m="1" x="2248"/>
        <item m="1" x="1276"/>
        <item m="1" x="650"/>
        <item m="1" x="2557"/>
        <item m="1" x="997"/>
        <item m="1" x="1130"/>
        <item m="1" x="2249"/>
        <item m="1" x="1362"/>
        <item m="1" x="1836"/>
        <item m="1" x="131"/>
        <item m="1" x="202"/>
        <item m="1" x="2250"/>
        <item m="1" x="321"/>
        <item m="1" x="146"/>
        <item m="1" x="2697"/>
        <item m="1" x="652"/>
        <item m="1" x="740"/>
        <item m="1" x="920"/>
        <item m="1" x="291"/>
        <item m="1" x="1170"/>
        <item m="1" x="513"/>
        <item m="1" x="2251"/>
        <item m="1" x="1899"/>
        <item m="1" x="766"/>
        <item sd="0" m="1" x="456"/>
        <item m="1" x="1171"/>
        <item m="1" x="2687"/>
        <item m="1" x="1172"/>
        <item m="1" x="1439"/>
        <item m="1" x="2252"/>
        <item m="1" x="1544"/>
        <item m="1" x="2143"/>
        <item m="1" x="653"/>
        <item m="1" x="615"/>
        <item m="1" x="2615"/>
        <item m="1" x="550"/>
        <item m="1" x="1174"/>
        <item m="1" x="2253"/>
        <item m="1" x="2254"/>
        <item sd="0" m="1" x="445"/>
        <item m="1" x="290"/>
        <item m="1" x="1305"/>
        <item m="1" x="1930"/>
        <item m="1" x="767"/>
        <item m="1" x="992"/>
        <item m="1" x="2565"/>
        <item m="1" x="2658"/>
        <item m="1" x="1915"/>
        <item m="1" x="1221"/>
        <item m="1" x="411"/>
        <item m="1" x="2257"/>
        <item m="1" x="1211"/>
        <item m="1" x="2258"/>
        <item m="1" x="1931"/>
        <item m="1" x="84"/>
        <item m="1" x="1745"/>
        <item m="1" x="1135"/>
        <item m="1" x="2092"/>
        <item m="1" x="654"/>
        <item m="1" x="1413"/>
        <item m="1" x="1131"/>
        <item m="1" x="1215"/>
        <item m="1" x="947"/>
        <item m="1" x="1668"/>
        <item m="1" x="1179"/>
        <item m="1" x="85"/>
        <item m="1" x="553"/>
        <item m="1" x="768"/>
        <item m="1" x="1194"/>
        <item sd="0" x="31"/>
        <item m="1" x="1140"/>
        <item m="1" x="655"/>
        <item m="1" x="233"/>
        <item m="1" x="769"/>
        <item x="27"/>
        <item m="1" x="1627"/>
        <item m="1" x="945"/>
        <item m="1" x="1746"/>
        <item m="1" x="322"/>
        <item m="1" x="1747"/>
        <item m="1" x="1664"/>
        <item m="1" x="1515"/>
        <item m="1" x="1600"/>
        <item m="1" x="1181"/>
        <item m="1" x="1877"/>
        <item m="1" x="2073"/>
        <item m="1" x="891"/>
        <item m="1" x="574"/>
        <item m="1" x="2262"/>
        <item m="1" x="1748"/>
        <item m="1" x="570"/>
        <item m="1" x="2093"/>
        <item m="1" x="2263"/>
        <item m="1" x="1183"/>
        <item m="1" x="2642"/>
        <item m="1" x="171"/>
        <item sd="0" m="1" x="256"/>
        <item m="1" x="1405"/>
        <item m="1" x="1531"/>
        <item m="1" x="488"/>
        <item m="1" x="443"/>
        <item m="1" x="122"/>
        <item m="1" x="1186"/>
        <item m="1" x="2264"/>
        <item m="1" x="326"/>
        <item m="1" x="2265"/>
        <item m="1" x="327"/>
        <item m="1" x="978"/>
        <item m="1" x="2266"/>
        <item m="1" x="248"/>
        <item m="1" x="534"/>
        <item m="1" x="1506"/>
        <item m="1" x="2077"/>
        <item m="1" x="1498"/>
        <item m="1" x="1287"/>
        <item m="1" x="156"/>
        <item m="1" x="394"/>
        <item m="1" x="1361"/>
        <item m="1" x="1592"/>
        <item m="1" x="1492"/>
        <item m="1" x="1468"/>
        <item m="1" x="2580"/>
        <item m="1" x="1568"/>
        <item m="1" x="2026"/>
        <item m="1" x="664"/>
        <item m="1" x="1955"/>
        <item m="1" x="2267"/>
        <item m="1" x="295"/>
        <item m="1" x="1191"/>
        <item m="1" x="1729"/>
        <item m="1" x="771"/>
        <item m="1" x="1195"/>
        <item m="1" x="1571"/>
        <item m="1" x="2094"/>
        <item m="1" x="2015"/>
        <item m="1" x="2524"/>
        <item m="1" x="2271"/>
        <item m="1" x="1789"/>
        <item m="1" x="306"/>
        <item m="1" x="1954"/>
        <item m="1" x="865"/>
        <item m="1" x="1835"/>
        <item m="1" x="801"/>
        <item m="1" x="1790"/>
        <item m="1" x="2272"/>
        <item m="1" x="1774"/>
        <item m="1" x="1653"/>
        <item m="1" x="1441"/>
        <item m="1" x="2095"/>
        <item m="1" x="2274"/>
        <item m="1" x="1793"/>
        <item m="1" x="990"/>
        <item m="1" x="2273"/>
        <item m="1" x="1819"/>
        <item m="1" x="2275"/>
        <item m="1" x="2076"/>
        <item m="1" x="2276"/>
        <item m="1" x="1204"/>
        <item m="1" x="1526"/>
        <item m="1" x="2145"/>
        <item m="1" x="1503"/>
        <item m="1" x="560"/>
        <item m="1" x="1550"/>
        <item m="1" x="872"/>
        <item m="1" x="2277"/>
        <item m="1" x="1425"/>
        <item m="1" x="1340"/>
        <item m="1" x="1167"/>
        <item m="1" x="2278"/>
        <item m="1" x="2279"/>
        <item m="1" x="772"/>
        <item m="1" x="728"/>
        <item m="1" x="658"/>
        <item m="1" x="1176"/>
        <item m="1" x="1315"/>
        <item m="1" x="2096"/>
        <item m="1" x="123"/>
        <item m="1" x="1337"/>
        <item m="1" x="270"/>
        <item m="1" x="2280"/>
        <item m="1" x="125"/>
        <item m="1" x="2074"/>
        <item m="1" x="2281"/>
        <item m="1" x="2282"/>
        <item m="1" x="659"/>
        <item m="1" x="1450"/>
        <item m="1" x="2283"/>
        <item m="1" x="925"/>
        <item m="1" x="1470"/>
        <item m="1" x="1209"/>
        <item m="1" x="660"/>
        <item m="1" x="2550"/>
        <item m="1" x="2648"/>
        <item m="1" x="2345"/>
        <item m="1" x="2097"/>
        <item m="1" x="2048"/>
        <item x="0"/>
        <item m="1" x="1497"/>
        <item m="1" x="2627"/>
        <item m="1" x="1763"/>
        <item m="1" x="1212"/>
        <item m="1" x="410"/>
        <item m="1" x="1961"/>
        <item m="1" x="917"/>
        <item m="1" x="988"/>
        <item m="1" x="1197"/>
        <item m="1" x="2284"/>
        <item m="1" x="1213"/>
        <item m="1" x="773"/>
        <item m="1" x="1214"/>
        <item m="1" x="1686"/>
        <item m="1" x="218"/>
        <item m="1" x="1509"/>
        <item m="1" x="724"/>
        <item m="1" x="1557"/>
        <item m="1" x="330"/>
        <item m="1" x="1216"/>
        <item m="1" x="457"/>
        <item m="1" x="1162"/>
        <item m="1" x="2285"/>
        <item m="1" x="2155"/>
        <item m="1" x="2286"/>
        <item m="1" x="2579"/>
        <item m="1" x="1219"/>
        <item m="1" x="2287"/>
        <item m="1" x="2098"/>
        <item m="1" x="2288"/>
        <item m="1" x="1466"/>
        <item m="1" x="2612"/>
        <item m="1" x="2049"/>
        <item m="1" x="176"/>
        <item m="1" x="1749"/>
        <item m="1" x="1455"/>
        <item m="1" x="458"/>
        <item m="1" x="1933"/>
        <item m="1" x="1658"/>
        <item m="1" x="775"/>
        <item m="1" x="459"/>
        <item m="1" x="129"/>
        <item m="1" x="219"/>
        <item m="1" x="2180"/>
        <item m="1" x="750"/>
        <item m="1" x="1044"/>
        <item m="1" x="661"/>
        <item m="1" x="663"/>
        <item m="1" x="809"/>
        <item m="1" x="130"/>
        <item m="1" x="585"/>
        <item m="1" x="1624"/>
        <item m="1" x="943"/>
        <item m="1" x="80"/>
        <item m="1" x="1817"/>
        <item m="1" x="2289"/>
        <item m="1" x="1997"/>
        <item m="1" x="960"/>
        <item m="1" x="665"/>
        <item m="1" x="505"/>
        <item m="1" x="2100"/>
        <item m="1" x="332"/>
        <item m="1" x="776"/>
        <item m="1" x="2290"/>
        <item m="1" x="2291"/>
        <item m="1" x="1169"/>
        <item m="1" x="1022"/>
        <item m="1" x="2101"/>
        <item m="1" x="2710"/>
        <item m="1" x="2292"/>
        <item m="1" x="182"/>
        <item m="1" x="48"/>
        <item m="1" x="2269"/>
        <item m="1" x="607"/>
        <item m="1" x="2388"/>
        <item m="1" x="252"/>
        <item m="1" x="2692"/>
        <item m="1" x="320"/>
        <item m="1" x="863"/>
        <item m="1" x="2293"/>
        <item m="1" x="1436"/>
        <item m="1" x="2102"/>
        <item m="1" x="376"/>
        <item m="1" x="2513"/>
        <item m="1" x="359"/>
        <item m="1" x="2147"/>
        <item m="1" x="2154"/>
        <item m="1" x="662"/>
        <item m="1" x="334"/>
        <item m="1" x="235"/>
        <item m="1" x="2103"/>
        <item m="1" x="76"/>
        <item m="1" x="1919"/>
        <item m="1" x="405"/>
        <item m="1" x="2534"/>
        <item m="1" x="2104"/>
        <item m="1" x="2294"/>
        <item m="1" x="1972"/>
        <item m="1" x="1228"/>
        <item m="1" x="1788"/>
        <item x="46"/>
        <item m="1" x="1189"/>
        <item m="1" x="462"/>
        <item m="1" x="1901"/>
        <item m="1" x="777"/>
        <item m="1" x="2592"/>
        <item m="1" x="335"/>
        <item m="1" x="2295"/>
        <item m="1" x="2296"/>
        <item m="1" x="612"/>
        <item m="1" x="1027"/>
        <item m="1" x="363"/>
        <item m="1" x="1750"/>
        <item m="1" x="1230"/>
        <item m="1" x="1799"/>
        <item m="1" x="1231"/>
        <item m="1" x="2297"/>
        <item m="1" x="1936"/>
        <item m="1" x="579"/>
        <item m="1" x="220"/>
        <item m="1" x="666"/>
        <item m="1" x="391"/>
        <item m="1" x="2724"/>
        <item m="1" x="2701"/>
        <item m="1" x="2656"/>
        <item m="1" x="778"/>
        <item m="1" x="1675"/>
        <item m="1" x="2298"/>
        <item m="1" x="53"/>
        <item m="1" x="1820"/>
        <item m="1" x="1232"/>
        <item m="1" x="1853"/>
        <item m="1" x="1469"/>
        <item m="1" x="61"/>
        <item m="1" x="1884"/>
        <item m="1" x="1941"/>
        <item m="1" x="623"/>
        <item m="1" x="2386"/>
        <item m="1" x="1263"/>
        <item m="1" x="1971"/>
        <item m="1" x="1039"/>
        <item m="1" x="1233"/>
        <item m="1" x="530"/>
        <item m="1" x="1892"/>
        <item m="1" x="2300"/>
        <item m="1" x="1165"/>
        <item m="1" x="1507"/>
        <item m="1" x="779"/>
        <item m="1" x="2645"/>
        <item m="1" x="2106"/>
        <item m="1" x="358"/>
        <item m="1" x="2301"/>
        <item m="1" x="1386"/>
        <item m="1" x="1822"/>
        <item m="1" x="1235"/>
        <item m="1" x="318"/>
        <item m="1" x="2302"/>
        <item m="1" x="1009"/>
        <item m="1" x="1108"/>
        <item m="1" x="2303"/>
        <item m="1" x="2304"/>
        <item m="1" x="1437"/>
        <item m="1" x="581"/>
        <item m="1" x="1100"/>
        <item m="1" x="1071"/>
        <item m="1" x="2305"/>
        <item m="1" x="370"/>
        <item m="1" x="1259"/>
        <item m="1" x="59"/>
        <item m="1" x="1683"/>
        <item m="1" x="336"/>
        <item m="1" x="60"/>
        <item m="1" x="337"/>
        <item m="1" x="2306"/>
        <item m="1" x="1245"/>
        <item m="1" x="2307"/>
        <item m="1" x="268"/>
        <item m="1" x="512"/>
        <item m="1" x="1177"/>
        <item m="1" x="868"/>
        <item m="1" x="667"/>
        <item m="1" x="1516"/>
        <item m="1" x="494"/>
        <item m="1" x="1238"/>
        <item m="1" x="388"/>
        <item m="1" x="283"/>
        <item m="1" x="104"/>
        <item m="1" x="1513"/>
        <item m="1" x="2107"/>
        <item m="1" x="1539"/>
        <item m="1" x="537"/>
        <item m="1" x="1752"/>
        <item m="1" x="101"/>
        <item m="1" x="195"/>
        <item m="1" x="338"/>
        <item m="1" x="668"/>
        <item m="1" x="1193"/>
        <item m="1" x="438"/>
        <item m="1" x="221"/>
        <item x="32"/>
        <item m="1" x="2309"/>
        <item m="1" x="2310"/>
        <item m="1" x="1679"/>
        <item m="1" x="2311"/>
        <item m="1" x="948"/>
        <item m="1" x="1928"/>
        <item m="1" x="1551"/>
        <item m="1" x="288"/>
        <item m="1" x="273"/>
        <item m="1" x="1711"/>
        <item m="1" x="185"/>
        <item m="1" x="1461"/>
        <item m="1" x="1239"/>
        <item m="1" x="1937"/>
        <item m="1" x="903"/>
        <item m="1" x="692"/>
        <item m="1" x="506"/>
        <item m="1" x="2312"/>
        <item m="1" x="2313"/>
        <item m="1" x="669"/>
        <item m="1" x="876"/>
        <item m="1" x="2314"/>
        <item m="1" x="1244"/>
        <item m="1" x="2108"/>
        <item m="1" x="1420"/>
        <item m="1" x="2315"/>
        <item m="1" x="1992"/>
        <item m="1" x="826"/>
        <item m="1" x="2567"/>
        <item m="1" x="774"/>
        <item m="1" x="75"/>
        <item m="1" x="1246"/>
        <item m="1" x="2317"/>
        <item m="1" x="2318"/>
        <item m="1" x="672"/>
        <item m="1" x="2319"/>
        <item m="1" x="1645"/>
        <item m="1" x="2017"/>
        <item m="1" x="1248"/>
        <item m="1" x="1249"/>
        <item m="1" x="781"/>
        <item m="1" x="1250"/>
        <item m="1" x="1060"/>
        <item m="1" x="671"/>
        <item m="1" x="1252"/>
        <item m="1" x="1880"/>
        <item m="1" x="1286"/>
        <item x="6"/>
        <item m="1" x="348"/>
        <item m="1" x="2320"/>
        <item m="1" x="1243"/>
        <item m="1" x="354"/>
        <item m="1" x="2179"/>
        <item m="1" x="2321"/>
        <item m="1" x="1440"/>
        <item m="1" x="884"/>
        <item m="1" x="629"/>
        <item m="1" x="2152"/>
        <item m="1" x="764"/>
        <item m="1" x="782"/>
        <item m="1" x="2322"/>
        <item m="1" x="783"/>
        <item m="1" x="1371"/>
        <item m="1" x="2323"/>
        <item m="1" x="971"/>
        <item m="1" x="1304"/>
        <item m="1" x="2324"/>
        <item m="1" x="1921"/>
        <item m="1" x="368"/>
        <item m="1" x="279"/>
        <item m="1" x="57"/>
        <item m="1" x="2325"/>
        <item m="1" x="240"/>
        <item m="1" x="286"/>
        <item m="1" x="1589"/>
        <item m="1" x="1271"/>
        <item m="1" x="294"/>
        <item m="1" x="549"/>
        <item m="1" x="784"/>
        <item m="1" x="1602"/>
        <item m="1" x="2326"/>
        <item m="1" x="1546"/>
        <item m="1" x="1487"/>
        <item m="1" x="1419"/>
        <item m="1" x="281"/>
        <item m="1" x="566"/>
        <item m="1" x="341"/>
        <item m="1" x="2554"/>
        <item m="1" x="1740"/>
        <item m="1" x="460"/>
        <item m="1" x="1897"/>
        <item m="1" x="1255"/>
        <item m="1" x="785"/>
        <item m="1" x="786"/>
        <item m="1" x="2598"/>
        <item m="1" x="477"/>
        <item m="1" x="1753"/>
        <item m="1" x="2056"/>
        <item m="1" x="417"/>
        <item x="4"/>
        <item m="1" x="2075"/>
        <item m="1" x="1093"/>
        <item sd="0" m="1" x="2737"/>
        <item m="1" x="590"/>
        <item m="1" x="2707"/>
        <item m="1" x="1057"/>
        <item m="1" x="599"/>
        <item m="1" x="1654"/>
        <item m="1" x="1257"/>
        <item m="1" x="788"/>
        <item m="1" x="1754"/>
        <item m="1" x="536"/>
        <item m="1" x="1258"/>
        <item m="1" x="2327"/>
        <item m="1" x="789"/>
        <item m="1" x="567"/>
        <item m="1" x="2328"/>
        <item m="1" x="2329"/>
        <item m="1" x="439"/>
        <item m="1" x="406"/>
        <item m="1" x="269"/>
        <item m="1" x="1208"/>
        <item m="1" x="1261"/>
        <item m="1" x="1262"/>
        <item m="1" x="592"/>
        <item m="1" x="1522"/>
        <item m="1" x="791"/>
        <item m="1" x="1614"/>
        <item m="1" x="1871"/>
        <item m="1" x="2109"/>
        <item m="1" x="1825"/>
        <item m="1" x="559"/>
        <item m="1" x="1591"/>
        <item m="1" x="580"/>
        <item m="1" x="1369"/>
        <item m="1" x="548"/>
        <item m="1" x="1192"/>
        <item sd="0" m="1" x="2105"/>
        <item m="1" x="1256"/>
        <item m="1" x="673"/>
        <item m="1" x="899"/>
        <item m="1" x="1264"/>
        <item m="1" x="1265"/>
        <item m="1" x="1824"/>
        <item m="1" x="2110"/>
        <item x="8"/>
        <item m="1" x="511"/>
        <item m="1" x="546"/>
        <item m="1" x="64"/>
        <item m="1" x="1201"/>
        <item m="1" x="1266"/>
        <item m="1" x="792"/>
        <item m="1" x="1982"/>
        <item x="44"/>
        <item m="1" x="1577"/>
        <item m="1" x="1613"/>
        <item m="1" x="2330"/>
        <item m="1" x="793"/>
        <item m="1" x="2464"/>
        <item m="1" x="2084"/>
        <item m="1" x="794"/>
        <item m="1" x="583"/>
        <item m="1" x="1433"/>
        <item m="1" x="1640"/>
        <item m="1" x="2614"/>
        <item m="1" x="503"/>
        <item m="1" x="1267"/>
        <item m="1" x="1036"/>
        <item m="1" x="1302"/>
        <item m="1" x="1225"/>
        <item m="1" x="404"/>
        <item m="1" x="1251"/>
        <item m="1" x="2013"/>
        <item m="1" x="510"/>
        <item m="1" x="555"/>
        <item m="1" x="1671"/>
        <item m="1" x="1906"/>
        <item m="1" x="2111"/>
        <item m="1" x="1125"/>
        <item m="1" x="461"/>
        <item m="1" x="1351"/>
        <item m="1" x="518"/>
        <item m="1" x="2331"/>
        <item m="1" x="1368"/>
        <item m="1" x="222"/>
        <item m="1" x="2332"/>
        <item m="1" x="795"/>
        <item m="1" x="674"/>
        <item m="1" x="1132"/>
        <item m="1" x="584"/>
        <item m="1" x="1826"/>
        <item m="1" x="2605"/>
        <item m="1" x="1317"/>
        <item m="1" x="1980"/>
        <item m="1" x="1939"/>
        <item m="1" x="1272"/>
        <item m="1" x="675"/>
        <item m="1" x="676"/>
        <item m="1" x="1951"/>
        <item m="1" x="2625"/>
        <item x="13"/>
        <item m="1" x="1474"/>
        <item m="1" x="2333"/>
        <item m="1" x="1277"/>
        <item m="1" x="1572"/>
        <item m="1" x="1278"/>
        <item m="1" x="2334"/>
        <item m="1" x="2335"/>
        <item m="1" x="1784"/>
        <item m="1" x="300"/>
        <item m="1" x="1723"/>
        <item m="1" x="1279"/>
        <item m="1" x="1410"/>
        <item m="1" x="152"/>
        <item m="1" x="1594"/>
        <item m="1" x="277"/>
        <item m="1" x="1074"/>
        <item m="1" x="132"/>
        <item m="1" x="1934"/>
        <item m="1" x="236"/>
        <item m="1" x="1283"/>
        <item m="1" x="2337"/>
        <item m="1" x="426"/>
        <item m="1" x="1606"/>
        <item m="1" x="1966"/>
        <item m="1" x="2391"/>
        <item m="1" x="2338"/>
        <item m="1" x="1354"/>
        <item m="1" x="1463"/>
        <item m="1" x="2340"/>
        <item m="1" x="657"/>
        <item m="1" x="2668"/>
        <item m="1" x="906"/>
        <item m="1" x="2341"/>
        <item sd="0" m="1" x="2739"/>
        <item x="45"/>
        <item m="1" x="463"/>
        <item m="1" x="924"/>
        <item m="1" x="1925"/>
        <item m="1" x="2342"/>
        <item m="1" x="2343"/>
        <item m="1" x="2344"/>
        <item m="1" x="963"/>
        <item m="1" x="2033"/>
        <item m="1" x="2346"/>
        <item sd="0" m="1" x="2223"/>
        <item m="1" x="2715"/>
        <item m="1" x="2613"/>
        <item m="1" x="677"/>
        <item m="1" x="1598"/>
        <item m="1" x="2021"/>
        <item m="1" x="2347"/>
        <item m="1" x="2348"/>
        <item m="1" x="1297"/>
        <item m="1" x="343"/>
        <item m="1" x="2551"/>
        <item m="1" x="353"/>
        <item m="1" x="1964"/>
        <item m="1" x="441"/>
        <item m="1" x="2050"/>
        <item m="1" x="901"/>
        <item m="1" x="1499"/>
        <item m="1" x="450"/>
        <item m="1" x="2654"/>
        <item m="1" x="1646"/>
        <item m="1" x="2466"/>
        <item m="1" x="1860"/>
        <item m="1" x="1299"/>
        <item m="1" x="2028"/>
        <item m="1" x="904"/>
        <item m="1" x="2350"/>
        <item m="1" x="135"/>
        <item m="1" x="2336"/>
        <item m="1" x="2349"/>
        <item m="1" x="2582"/>
        <item m="1" x="234"/>
        <item m="1" x="1524"/>
        <item m="1" x="1414"/>
        <item m="1" x="1301"/>
        <item m="1" x="133"/>
        <item m="1" x="507"/>
        <item m="1" x="527"/>
        <item m="1" x="2112"/>
        <item m="1" x="214"/>
        <item m="1" x="213"/>
        <item m="1" x="1999"/>
        <item m="1" x="2352"/>
        <item m="1" x="1185"/>
        <item m="1" x="74"/>
        <item m="1" x="1311"/>
        <item m="1" x="2607"/>
        <item m="1" x="2151"/>
        <item m="1" x="1755"/>
        <item m="1" x="184"/>
        <item m="1" x="525"/>
        <item m="1" x="1312"/>
        <item m="1" x="1313"/>
        <item m="1" x="543"/>
        <item m="1" x="495"/>
        <item m="1" x="2008"/>
        <item m="1" x="1855"/>
        <item m="1" x="944"/>
        <item m="1" x="1081"/>
        <item m="1" x="223"/>
        <item m="1" x="2353"/>
        <item m="1" x="138"/>
        <item m="1" x="139"/>
        <item m="1" x="73"/>
        <item m="1" x="1007"/>
        <item m="1" x="2354"/>
        <item m="1" x="898"/>
        <item m="1" x="1756"/>
        <item m="1" x="2355"/>
        <item m="1" x="2356"/>
        <item m="1" x="1970"/>
        <item m="1" x="1985"/>
        <item m="1" x="1381"/>
        <item m="1" x="345"/>
        <item m="1" x="797"/>
        <item m="1" x="678"/>
        <item m="1" x="2358"/>
        <item m="1" x="2496"/>
        <item m="1" x="346"/>
        <item m="1" x="2661"/>
        <item m="1" x="237"/>
        <item m="1" x="1628"/>
        <item m="1" x="2359"/>
        <item m="1" x="140"/>
        <item m="1" x="1647"/>
        <item m="1" x="1316"/>
        <item m="1" x="1655"/>
        <item m="1" x="1632"/>
        <item m="1" x="1553"/>
        <item m="1" x="1942"/>
        <item m="1" x="1917"/>
        <item m="1" x="2683"/>
        <item m="1" x="836"/>
        <item m="1" x="2360"/>
        <item m="1" x="1949"/>
        <item m="1" x="712"/>
        <item m="1" x="2113"/>
        <item m="1" x="1285"/>
        <item m="1" x="271"/>
        <item m="1" x="1319"/>
        <item m="1" x="1011"/>
        <item m="1" x="2361"/>
        <item m="1" x="1357"/>
        <item m="1" x="349"/>
        <item m="1" x="2051"/>
        <item x="3"/>
        <item m="1" x="1963"/>
        <item m="1" x="619"/>
        <item m="1" x="2362"/>
        <item m="1" x="877"/>
        <item m="1" x="1893"/>
        <item m="1" x="1827"/>
        <item sd="0" m="1" x="245"/>
        <item m="1" x="996"/>
        <item m="1" x="384"/>
        <item m="1" x="2363"/>
        <item m="1" x="980"/>
        <item m="1" x="1548"/>
        <item m="1" x="2720"/>
        <item m="1" x="949"/>
        <item m="1" x="1102"/>
        <item m="1" x="689"/>
        <item m="1" x="639"/>
        <item m="1" x="1639"/>
        <item m="1" x="1321"/>
        <item m="1" x="1322"/>
        <item m="1" x="2366"/>
        <item m="1" x="528"/>
        <item m="1" x="1973"/>
        <item m="1" x="2553"/>
        <item m="1" x="2590"/>
        <item m="1" x="2583"/>
        <item m="1" x="342"/>
        <item m="1" x="1323"/>
        <item m="1" x="2052"/>
        <item m="1" x="1523"/>
        <item m="1" x="1786"/>
        <item m="1" x="1641"/>
        <item m="1" x="1829"/>
        <item m="1" x="681"/>
        <item m="1" x="350"/>
        <item m="1" x="2711"/>
        <item m="1" x="1324"/>
        <item m="1" x="390"/>
        <item m="1" x="1725"/>
        <item m="1" x="780"/>
        <item m="1" x="2621"/>
        <item m="1" x="955"/>
        <item m="1" x="1924"/>
        <item m="1" x="1950"/>
        <item m="1" x="787"/>
        <item sd="0" x="15"/>
        <item m="1" x="798"/>
        <item m="1" x="323"/>
        <item m="1" x="2364"/>
        <item m="1" x="973"/>
        <item m="1" x="142"/>
        <item m="1" x="2365"/>
        <item m="1" x="82"/>
        <item m="1" x="1372"/>
        <item m="1" x="1987"/>
        <item m="1" x="1831"/>
        <item m="1" x="1198"/>
        <item m="1" x="916"/>
        <item m="1" x="2685"/>
        <item m="1" x="1953"/>
        <item m="1" x="2703"/>
        <item m="1" x="682"/>
        <item m="1" x="264"/>
        <item m="1" x="2367"/>
        <item m="1" x="524"/>
        <item m="1" x="1328"/>
        <item m="1" x="1389"/>
        <item m="1" x="2369"/>
        <item m="1" x="1758"/>
        <item m="1" x="1821"/>
        <item m="1" x="965"/>
        <item m="1" x="1334"/>
        <item m="1" x="544"/>
        <item m="1" x="2053"/>
        <item m="1" x="2655"/>
        <item m="1" x="1807"/>
        <item m="1" x="2114"/>
        <item m="1" x="1345"/>
        <item m="1" x="2467"/>
        <item m="1" x="2370"/>
        <item m="1" x="964"/>
        <item m="1" x="209"/>
        <item m="1" x="2628"/>
        <item m="1" x="1588"/>
        <item m="1" x="1908"/>
        <item m="1" x="1385"/>
        <item m="1" x="1759"/>
        <item m="1" x="51"/>
        <item m="1" x="2371"/>
        <item m="1" x="1275"/>
        <item sd="0" m="1" x="2677"/>
        <item m="1" x="987"/>
        <item m="1" x="2010"/>
        <item m="1" x="683"/>
        <item m="1" x="1760"/>
        <item m="1" x="2373"/>
        <item m="1" x="864"/>
        <item m="1" x="2054"/>
        <item m="1" x="1945"/>
        <item m="1" x="684"/>
        <item m="1" x="572"/>
        <item m="1" x="145"/>
        <item m="1" x="479"/>
        <item m="1" x="1188"/>
        <item m="1" x="799"/>
        <item m="1" x="1833"/>
        <item m="1" x="2375"/>
        <item m="1" x="1761"/>
        <item m="1" x="1883"/>
        <item m="1" x="1048"/>
        <item m="1" x="2568"/>
        <item m="1" x="1891"/>
        <item m="1" x="2376"/>
        <item m="1" x="1716"/>
        <item m="1" x="1642"/>
        <item m="1" x="2377"/>
        <item m="1" x="2432"/>
        <item m="1" x="1542"/>
        <item m="1" x="2691"/>
        <item m="1" x="1370"/>
        <item m="1" x="1133"/>
        <item m="1" x="1636"/>
        <item m="1" x="1815"/>
        <item m="1" x="2665"/>
        <item m="1" x="1320"/>
        <item m="1" x="1447"/>
        <item m="1" x="466"/>
        <item m="1" x="1431"/>
        <item m="1" x="481"/>
        <item m="1" x="1307"/>
        <item m="1" x="1527"/>
        <item m="1" x="1077"/>
        <item m="1" x="297"/>
        <item m="1" x="2006"/>
        <item m="1" x="147"/>
        <item m="1" x="2378"/>
        <item m="1" x="1199"/>
        <item m="1" x="1452"/>
        <item m="1" x="999"/>
        <item m="1" x="2379"/>
        <item m="1" x="113"/>
        <item m="1" x="355"/>
        <item m="1" x="1196"/>
        <item m="1" x="1075"/>
        <item m="1" x="831"/>
        <item m="1" x="802"/>
        <item m="1" x="1202"/>
        <item m="1" x="2055"/>
        <item m="1" x="1536"/>
        <item m="1" x="568"/>
        <item m="1" x="1038"/>
        <item m="1" x="2025"/>
        <item m="1" x="317"/>
        <item m="1" x="1157"/>
        <item m="1" x="154"/>
        <item m="1" x="1300"/>
        <item m="1" x="1485"/>
        <item m="1" x="975"/>
        <item m="1" x="2555"/>
        <item m="1" x="2393"/>
        <item m="1" x="687"/>
        <item m="1" x="293"/>
        <item m="1" x="262"/>
        <item m="1" x="2673"/>
        <item m="1" x="1068"/>
        <item m="1" x="2394"/>
        <item m="1" x="2604"/>
        <item m="1" x="1059"/>
        <item m="1" x="2626"/>
        <item m="1" x="976"/>
        <item m="1" x="2620"/>
        <item m="1" x="1926"/>
        <item m="1" x="2395"/>
        <item m="1" x="2396"/>
        <item m="1" x="224"/>
        <item m="1" x="263"/>
        <item m="1" x="1530"/>
        <item m="1" x="1692"/>
        <item m="1" x="1227"/>
        <item m="1" x="83"/>
        <item m="1" x="2629"/>
        <item m="1" x="2397"/>
        <item m="1" x="2595"/>
        <item m="1" x="1427"/>
        <item m="1" x="1920"/>
        <item m="1" x="808"/>
        <item m="1" x="1428"/>
        <item m="1" x="810"/>
        <item m="1" x="2116"/>
        <item m="1" x="225"/>
        <item m="1" x="2398"/>
        <item m="1" x="1429"/>
        <item m="1" x="2399"/>
        <item m="1" x="688"/>
        <item m="1" x="377"/>
        <item m="1" x="2400"/>
        <item m="1" x="1430"/>
        <item m="1" x="1637"/>
        <item m="1" x="1488"/>
        <item m="1" x="1432"/>
        <item m="1" x="2401"/>
        <item m="1" x="2402"/>
        <item m="1" x="247"/>
        <item m="1" x="480"/>
        <item m="1" x="2623"/>
        <item m="1" x="1765"/>
        <item m="1" x="1518"/>
        <item m="1" x="957"/>
        <item m="1" x="2403"/>
        <item m="1" x="885"/>
        <item m="1" x="2405"/>
        <item m="1" x="2082"/>
        <item m="1" x="2060"/>
        <item m="1" x="467"/>
        <item m="1" x="1373"/>
        <item m="1" x="2406"/>
        <item m="1" x="1837"/>
        <item m="1" x="912"/>
        <item m="1" x="1576"/>
        <item m="1" x="1394"/>
        <item m="1" x="1448"/>
        <item m="1" x="1422"/>
        <item m="1" x="889"/>
        <item m="1" x="1449"/>
        <item m="1" x="1159"/>
        <item m="1" x="66"/>
        <item m="1" x="1894"/>
        <item m="1" x="314"/>
        <item m="1" x="163"/>
        <item m="1" x="1451"/>
        <item m="1" x="2491"/>
        <item m="1" x="381"/>
        <item m="1" x="2407"/>
        <item m="1" x="2408"/>
        <item m="1" x="2410"/>
        <item m="1" x="2675"/>
        <item m="1" x="1751"/>
        <item m="1" x="2409"/>
        <item m="1" x="382"/>
        <item m="1" x="1483"/>
        <item m="1" x="246"/>
        <item m="1" x="1454"/>
        <item m="1" x="1766"/>
        <item m="1" x="55"/>
        <item m="1" x="468"/>
        <item m="1" x="1220"/>
        <item m="1" x="395"/>
        <item m="1" x="1206"/>
        <item sd="0" m="1" x="2727"/>
        <item m="1" x="308"/>
        <item m="1" x="1910"/>
        <item m="1" x="1457"/>
        <item m="1" x="1456"/>
        <item m="1" x="1458"/>
        <item m="1" x="624"/>
        <item m="1" x="1444"/>
        <item m="1" x="1787"/>
        <item m="1" x="2566"/>
        <item m="1" x="2411"/>
        <item m="1" x="367"/>
        <item m="1" x="2412"/>
        <item m="1" x="289"/>
        <item m="1" x="2413"/>
        <item m="1" x="1543"/>
        <item m="1" x="2414"/>
        <item m="1" x="1722"/>
        <item m="1" x="170"/>
        <item m="1" x="2404"/>
        <item m="1" x="160"/>
        <item m="1" x="1392"/>
        <item m="1" x="2693"/>
        <item m="1" x="2556"/>
        <item m="1" x="2415"/>
        <item m="1" x="733"/>
        <item m="1" x="1656"/>
        <item x="14"/>
        <item m="1" x="1912"/>
        <item m="1" x="1528"/>
        <item m="1" x="1284"/>
        <item m="1" x="165"/>
        <item m="1" x="2270"/>
        <item m="1" x="1914"/>
        <item m="1" x="2653"/>
        <item m="1" x="2118"/>
        <item m="1" x="1390"/>
        <item m="1" x="2034"/>
        <item m="1" x="816"/>
        <item m="1" x="166"/>
        <item m="1" x="1281"/>
        <item m="1" x="1395"/>
        <item m="1" x="1471"/>
        <item m="1" x="144"/>
        <item m="1" x="2019"/>
        <item m="1" x="586"/>
        <item m="1" x="2602"/>
        <item m="1" x="2417"/>
        <item m="1" x="2418"/>
        <item m="1" x="817"/>
        <item m="1" x="2636"/>
        <item m="1" x="1409"/>
        <item m="1" x="1472"/>
        <item m="1" x="690"/>
        <item m="1" x="1473"/>
        <item m="1" x="2419"/>
        <item m="1" x="2420"/>
        <item m="1" x="915"/>
        <item m="1" x="2421"/>
        <item m="1" x="2709"/>
        <item m="1" x="2422"/>
        <item m="1" x="2423"/>
        <item m="1" x="2260"/>
        <item m="1" x="862"/>
        <item m="1" x="2684"/>
        <item m="1" x="882"/>
        <item m="1" x="2424"/>
        <item m="1" x="1882"/>
        <item m="1" x="1347"/>
        <item m="1" x="691"/>
        <item m="1" x="2690"/>
        <item m="1" x="351"/>
        <item m="1" x="2139"/>
        <item m="1" x="2469"/>
        <item m="1" x="1034"/>
        <item m="1" x="501"/>
        <item m="1" x="818"/>
        <item m="1" x="819"/>
        <item m="1" x="914"/>
        <item m="1" x="63"/>
        <item m="1" x="2119"/>
        <item m="1" x="656"/>
        <item m="1" x="2425"/>
        <item m="1" x="149"/>
        <item m="1" x="387"/>
        <item m="1" x="557"/>
        <item m="1" x="1785"/>
        <item m="1" x="2061"/>
        <item m="1" x="440"/>
        <item m="1" x="2099"/>
        <item m="1" x="2426"/>
        <item m="1" x="995"/>
        <item m="1" x="1767"/>
        <item m="1" x="991"/>
        <item m="1" x="386"/>
        <item m="1" x="434"/>
        <item m="1" x="2428"/>
        <item m="1" x="2120"/>
        <item m="1" x="820"/>
        <item m="1" x="1994"/>
        <item m="1" x="487"/>
        <item m="1" x="95"/>
        <item m="1" x="482"/>
        <item m="1" x="87"/>
        <item m="1" x="1938"/>
        <item m="1" x="2062"/>
        <item m="1" x="371"/>
        <item m="1" x="210"/>
        <item m="1" x="2671"/>
        <item m="1" x="312"/>
        <item m="1" x="1923"/>
        <item m="1" x="120"/>
        <item m="1" x="2429"/>
        <item m="1" x="966"/>
        <item m="1" x="821"/>
        <item m="1" x="2068"/>
        <item m="1" x="1489"/>
        <item m="1" x="1490"/>
        <item m="1" x="1491"/>
        <item m="1" x="2430"/>
        <item m="1" x="1684"/>
        <item m="1" x="1379"/>
        <item m="1" x="1730"/>
        <item m="1" x="1800"/>
        <item m="1" x="162"/>
        <item m="1" x="1314"/>
        <item m="1" x="694"/>
        <item m="1" x="1493"/>
        <item m="1" x="1435"/>
        <item m="1" x="611"/>
        <item m="1" x="1018"/>
        <item m="1" x="2384"/>
        <item m="1" x="2616"/>
        <item m="1" x="2561"/>
        <item m="1" x="1290"/>
        <item m="1" x="1156"/>
        <item m="1" x="401"/>
        <item m="1" x="2142"/>
        <item m="1" x="383"/>
        <item m="1" x="2433"/>
        <item m="1" x="380"/>
        <item m="1" x="2434"/>
        <item m="1" x="1986"/>
        <item m="1" x="695"/>
        <item m="1" x="1688"/>
        <item m="1" x="907"/>
        <item m="1" x="2387"/>
        <item m="1" x="310"/>
        <item m="1" x="168"/>
        <item m="1" x="954"/>
        <item m="1" x="1342"/>
        <item m="1" x="328"/>
        <item m="1" x="822"/>
        <item m="1" x="403"/>
        <item m="1" x="1486"/>
        <item m="1" x="339"/>
        <item m="1" x="823"/>
        <item m="1" x="2435"/>
        <item m="1" x="502"/>
        <item m="1" x="565"/>
        <item m="1" x="1501"/>
        <item m="1" x="1023"/>
        <item m="1" x="2436"/>
        <item sd="0" m="1" x="2733"/>
        <item m="1" x="1217"/>
        <item m="1" x="800"/>
        <item m="1" x="1467"/>
        <item m="1" x="389"/>
        <item m="1" x="2063"/>
        <item m="1" x="2437"/>
        <item m="1" x="1064"/>
        <item m="1" x="853"/>
        <item m="1" x="936"/>
        <item m="1" x="1596"/>
        <item m="1" x="1502"/>
        <item m="1" x="2438"/>
        <item m="1" x="2129"/>
        <item m="1" x="174"/>
        <item m="1" x="2064"/>
        <item m="1" x="161"/>
        <item m="1" x="931"/>
        <item m="1" x="2584"/>
        <item m="1" x="923"/>
        <item m="1" x="2439"/>
        <item m="1" x="227"/>
        <item m="1" x="1517"/>
        <item m="1" x="2440"/>
        <item x="25"/>
        <item m="1" x="392"/>
        <item m="1" x="824"/>
        <item m="1" x="886"/>
        <item m="1" x="1396"/>
        <item m="1" x="1480"/>
        <item m="1" x="2065"/>
        <item m="1" x="1680"/>
        <item m="1" x="1511"/>
        <item m="1" x="393"/>
        <item m="1" x="2441"/>
        <item m="1" x="1792"/>
        <item m="1" x="172"/>
        <item m="1" x="1967"/>
        <item m="1" x="1512"/>
        <item m="1" x="825"/>
        <item m="1" x="71"/>
        <item m="1" x="1944"/>
        <item m="1" x="2594"/>
        <item m="1" x="2382"/>
        <item m="1" x="1665"/>
        <item m="1" x="2442"/>
        <item m="1" x="375"/>
        <item m="1" x="985"/>
        <item m="1" x="257"/>
        <item m="1" x="1119"/>
        <item m="1" x="2443"/>
        <item m="1" x="721"/>
        <item m="1" x="2444"/>
        <item m="1" x="1376"/>
        <item m="1" x="670"/>
        <item m="1" x="1768"/>
        <item m="1" x="2445"/>
        <item m="1" x="1943"/>
        <item m="1" x="67"/>
        <item m="1" x="1222"/>
        <item m="1" x="2070"/>
        <item m="1" x="180"/>
        <item m="1" x="124"/>
        <item m="1" x="1968"/>
        <item m="1" x="396"/>
        <item m="1" x="1525"/>
        <item m="1" x="1295"/>
        <item m="1" x="340"/>
        <item m="1" x="2447"/>
        <item m="1" x="422"/>
        <item m="1" x="2448"/>
        <item m="1" x="563"/>
        <item m="1" x="893"/>
        <item m="1" x="894"/>
        <item m="1" x="696"/>
        <item m="1" x="2450"/>
        <item m="1" x="1066"/>
        <item m="1" x="2066"/>
        <item m="1" x="2646"/>
        <item m="1" x="2570"/>
        <item m="1" x="1443"/>
        <item m="1" x="226"/>
        <item m="1" x="157"/>
        <item m="1" x="1383"/>
        <item m="1" x="940"/>
        <item m="1" x="2014"/>
        <item m="1" x="697"/>
        <item m="1" x="698"/>
        <item m="1" x="587"/>
        <item m="1" x="2451"/>
        <item m="1" x="1580"/>
        <item m="1" x="2532"/>
        <item m="1" x="253"/>
        <item m="1" x="1814"/>
        <item m="1" x="1118"/>
        <item m="1" x="1180"/>
        <item m="1" x="827"/>
        <item m="1" x="2121"/>
        <item m="1" x="1619"/>
        <item m="1" x="1035"/>
        <item m="1" x="2723"/>
        <item m="1" x="2639"/>
        <item m="1" x="2009"/>
        <item m="1" x="119"/>
        <item m="1" x="1534"/>
        <item m="1" x="2452"/>
        <item m="1" x="1291"/>
        <item m="1" x="398"/>
        <item m="1" x="1728"/>
        <item m="1" x="2316"/>
        <item m="1" x="1560"/>
        <item m="1" x="2619"/>
        <item m="1" x="469"/>
        <item m="1" x="1769"/>
        <item m="1" x="1889"/>
        <item m="1" x="699"/>
        <item sd="0" m="1" x="2732"/>
        <item m="1" x="569"/>
        <item m="1" x="803"/>
        <item x="17"/>
        <item m="1" x="2453"/>
        <item m="1" x="1995"/>
        <item m="1" x="2454"/>
        <item m="1" x="1296"/>
        <item m="1" x="1866"/>
        <item m="1" x="1731"/>
        <item m="1" x="1537"/>
        <item m="1" x="1609"/>
        <item m="1" x="2574"/>
        <item m="1" x="1538"/>
        <item m="1" x="483"/>
        <item m="1" x="1603"/>
        <item m="1" x="178"/>
        <item m="1" x="1791"/>
        <item m="1" x="1840"/>
        <item m="1" x="958"/>
        <item m="1" x="402"/>
        <item m="1" x="258"/>
        <item sd="0" m="1" x="2725"/>
        <item m="1" x="1033"/>
        <item m="1" x="1798"/>
        <item m="1" x="1013"/>
        <item m="1" x="186"/>
        <item m="1" x="1916"/>
        <item m="1" x="968"/>
        <item m="1" x="2599"/>
        <item m="1" x="2140"/>
        <item m="1" x="796"/>
        <item m="1" x="1540"/>
        <item m="1" x="1541"/>
        <item m="1" x="701"/>
        <item m="1" x="1856"/>
        <item m="1" x="897"/>
        <item m="1" x="1857"/>
        <item m="1" x="2455"/>
        <item m="1" x="2660"/>
        <item m="1" x="1115"/>
        <item m="1" x="2471"/>
        <item m="1" x="1896"/>
        <item m="1" x="680"/>
        <item m="1" x="705"/>
        <item m="1" x="446"/>
        <item m="1" x="1350"/>
        <item m="1" x="600"/>
        <item m="1" x="1001"/>
        <item m="1" x="702"/>
        <item m="1" x="1545"/>
        <item x="2"/>
        <item m="1" x="531"/>
        <item m="1" x="634"/>
        <item m="1" x="814"/>
        <item m="1" x="556"/>
        <item x="21"/>
        <item m="1" x="2679"/>
        <item sd="0" m="1" x="1190"/>
        <item m="1" x="1823"/>
        <item m="1" x="790"/>
        <item m="1" x="2696"/>
        <item m="1" x="1127"/>
        <item m="1" x="845"/>
        <item m="1" x="347"/>
        <item m="1" x="1559"/>
        <item m="1" x="1116"/>
        <item m="1" x="1839"/>
        <item m="1" x="1721"/>
        <item m="1" x="1144"/>
        <item m="1" x="1107"/>
        <item m="1" x="888"/>
        <item m="1" x="1332"/>
        <item m="1" x="1845"/>
        <item sd="0" m="1" x="522"/>
        <item m="1" x="1714"/>
        <item m="1" x="1841"/>
        <item m="1" x="627"/>
        <item m="1" x="409"/>
        <item m="1" x="1040"/>
        <item m="1" x="1862"/>
        <item m="1" x="1969"/>
        <item m="1" x="379"/>
        <item m="1" x="1988"/>
        <item m="1" x="703"/>
        <item m="1" x="187"/>
        <item m="1" x="470"/>
        <item m="1" x="2122"/>
        <item m="1" x="1838"/>
        <item m="1" x="1564"/>
        <item m="1" x="198"/>
        <item x="39"/>
        <item m="1" x="913"/>
        <item m="1" x="1867"/>
        <item m="1" x="2458"/>
        <item m="1" x="1529"/>
        <item m="1" x="2459"/>
        <item m="1" x="2460"/>
        <item m="1" x="2462"/>
        <item m="1" x="830"/>
        <item m="1" x="704"/>
        <item m="1" x="2609"/>
        <item m="1" x="305"/>
        <item m="1" x="953"/>
        <item m="1" x="977"/>
        <item m="1" x="2463"/>
        <item m="1" x="2591"/>
        <item m="1" x="2299"/>
        <item m="1" x="189"/>
        <item m="1" x="2381"/>
        <item m="1" x="2662"/>
        <item m="1" x="228"/>
        <item m="1" x="2457"/>
        <item m="1" x="2032"/>
        <item m="1" x="961"/>
        <item m="1" x="1610"/>
        <item m="1" x="229"/>
        <item m="1" x="1772"/>
        <item m="1" x="1567"/>
        <item m="1" x="362"/>
        <item m="1" x="1029"/>
        <item m="1" x="829"/>
        <item m="1" x="1582"/>
        <item m="1" x="447"/>
        <item m="1" x="1150"/>
        <item sd="0" m="1" x="2736"/>
        <item m="1" x="1178"/>
        <item m="1" x="1514"/>
        <item m="1" x="1583"/>
        <item m="1" x="1584"/>
        <item m="1" x="1134"/>
        <item m="1" x="707"/>
        <item m="1" x="1561"/>
        <item m="1" x="2472"/>
        <item m="1" x="2011"/>
        <item m="1" x="1585"/>
        <item m="1" x="1338"/>
        <item m="1" x="909"/>
        <item m="1" x="700"/>
        <item m="1" x="77"/>
        <item m="1" x="2562"/>
        <item m="1" x="1586"/>
        <item m="1" x="2473"/>
        <item m="1" x="1685"/>
        <item m="1" x="564"/>
        <item m="1" x="1110"/>
        <item x="30"/>
        <item m="1" x="2474"/>
        <item m="1" x="2576"/>
        <item m="1" x="2610"/>
        <item m="1" x="1696"/>
        <item m="1" x="1051"/>
        <item m="1" x="2475"/>
        <item m="1" x="2476"/>
        <item m="1" x="1629"/>
        <item m="1" x="2477"/>
        <item m="1" x="1922"/>
        <item m="1" x="2479"/>
        <item m="1" x="2478"/>
        <item m="1" x="1676"/>
        <item m="1" x="1965"/>
        <item m="1" x="2695"/>
        <item m="1" x="496"/>
        <item m="1" x="1990"/>
        <item m="1" x="2689"/>
        <item m="1" x="1590"/>
        <item m="1" x="1155"/>
        <item m="1" x="881"/>
        <item m="1" x="2480"/>
        <item x="11"/>
        <item m="1" x="1960"/>
        <item m="1" x="2481"/>
        <item m="1" x="520"/>
        <item m="1" x="1028"/>
        <item m="1" x="352"/>
        <item m="1" x="2482"/>
        <item m="1" x="504"/>
        <item m="1" x="1496"/>
        <item m="1" x="928"/>
        <item m="1" x="2468"/>
        <item m="1" x="1024"/>
        <item m="1" x="1854"/>
        <item m="1" x="2483"/>
        <item m="1" x="1593"/>
        <item m="1" x="2680"/>
        <item m="1" x="1061"/>
        <item m="1" x="243"/>
        <item m="1" x="191"/>
        <item m="1" x="1579"/>
        <item m="1" x="1595"/>
        <item m="1" x="192"/>
        <item m="1" x="298"/>
        <item m="1" x="1601"/>
        <item m="1" x="962"/>
        <item m="1" x="2485"/>
        <item m="1" x="2124"/>
        <item m="1" x="1421"/>
        <item m="1" x="2005"/>
        <item m="1" x="1648"/>
        <item m="1" x="2125"/>
        <item m="1" x="1184"/>
        <item m="1" x="2676"/>
        <item m="1" x="1604"/>
        <item m="1" x="1558"/>
        <item m="1" x="194"/>
        <item m="1" x="2126"/>
        <item m="1" x="307"/>
        <item m="1" x="588"/>
        <item m="1" x="1168"/>
        <item m="1" x="193"/>
        <item m="1" x="972"/>
        <item m="1" x="413"/>
        <item m="1" x="414"/>
        <item m="1" x="415"/>
        <item m="1" x="169"/>
        <item m="1" x="416"/>
        <item m="1" x="1445"/>
        <item m="1" x="833"/>
        <item m="1" x="2486"/>
        <item m="1" x="1570"/>
        <item m="1" x="855"/>
        <item m="1" x="1533"/>
        <item m="1" x="2487"/>
        <item m="1" x="1842"/>
        <item m="1" x="1773"/>
        <item m="1" x="2488"/>
        <item m="1" x="1563"/>
        <item m="1" x="902"/>
        <item m="1" x="435"/>
        <item m="1" x="860"/>
        <item m="1" x="1121"/>
        <item m="1" x="708"/>
        <item m="1" x="2490"/>
        <item m="1" x="542"/>
        <item m="1" x="1607"/>
        <item m="1" x="1608"/>
        <item m="1" x="1335"/>
        <item sd="0" m="1" x="2719"/>
        <item m="1" x="1864"/>
        <item m="1" x="742"/>
        <item m="1" x="2368"/>
        <item m="1" x="832"/>
        <item m="1" x="1117"/>
        <item m="1" x="239"/>
        <item m="1" x="1426"/>
        <item m="1" x="2492"/>
        <item m="1" x="2493"/>
        <item m="1" x="196"/>
        <item m="1" x="2494"/>
        <item m="1" x="278"/>
        <item sd="0" m="1" x="2740"/>
        <item m="1" x="2069"/>
        <item m="1" x="1797"/>
        <item m="1" x="143"/>
        <item m="1" x="1611"/>
        <item x="42"/>
        <item m="1" x="608"/>
        <item m="1" x="1848"/>
        <item m="1" x="602"/>
        <item m="1" x="1858"/>
        <item m="1" x="1849"/>
        <item m="1" x="1976"/>
        <item m="1" x="1929"/>
        <item m="1" x="603"/>
        <item m="1" x="770"/>
        <item m="1" x="1850"/>
        <item m="1" x="601"/>
        <item m="1" x="606"/>
        <item m="1" x="610"/>
        <item m="1" x="1852"/>
        <item m="1" x="515"/>
        <item sd="0" x="29"/>
        <item m="1" x="1661"/>
        <item x="41"/>
        <item m="1" x="596"/>
        <item m="1" x="1662"/>
        <item m="1" x="514"/>
        <item m="1" x="595"/>
        <item m="1" x="1977"/>
        <item m="1" x="1358"/>
        <item m="1" x="1847"/>
        <item m="1" x="605"/>
        <item m="1" x="1846"/>
        <item m="1" x="609"/>
        <item sd="0" m="1" x="604"/>
        <item sd="0" x="28"/>
        <item sd="0" m="1" x="2730"/>
        <item sd="0" m="1" x="2735"/>
        <item sd="0" x="26"/>
        <item m="1" x="857"/>
        <item m="1" x="1861"/>
        <item m="1" x="2027"/>
        <item m="1" x="2035"/>
        <item m="1" x="1881"/>
        <item m="1" x="92"/>
        <item m="1" x="1666"/>
        <item m="1" x="1974"/>
        <item m="1" x="1017"/>
        <item m="1" x="805"/>
        <item m="1" x="2699"/>
        <item m="1" x="2427"/>
        <item m="1" x="2446"/>
        <item m="1" x="151"/>
        <item m="1" x="709"/>
        <item m="1" x="1659"/>
        <item m="1" x="421"/>
        <item m="1" x="2067"/>
        <item m="1" x="2495"/>
        <item m="1" x="921"/>
        <item m="1" x="2238"/>
        <item sd="0" m="1" x="2738"/>
        <item m="1" x="1423"/>
        <item m="1" x="582"/>
        <item m="1" x="2123"/>
        <item m="1" x="70"/>
        <item m="1" x="2497"/>
        <item m="1" x="325"/>
        <item m="1" x="2156"/>
        <item m="1" x="2498"/>
        <item m="1" x="2461"/>
        <item m="1" x="1234"/>
        <item m="1" x="934"/>
        <item m="1" x="2672"/>
        <item m="1" x="1067"/>
        <item m="1" x="2256"/>
        <item m="1" x="1308"/>
        <item m="1" x="1669"/>
        <item m="1" x="1446"/>
        <item m="1" x="1154"/>
        <item m="1" x="2127"/>
        <item m="1" x="423"/>
        <item m="1" x="1400"/>
        <item m="1" x="424"/>
        <item m="1" x="1958"/>
        <item m="1" x="197"/>
        <item m="1" x="2499"/>
        <item m="1" x="1673"/>
        <item m="1" x="517"/>
        <item m="1" x="1477"/>
        <item m="1" x="2500"/>
        <item m="1" x="1808"/>
        <item m="1" x="892"/>
        <item m="1" x="1138"/>
        <item m="1" x="275"/>
        <item m="1" x="834"/>
        <item m="1" x="79"/>
        <item m="1" x="910"/>
        <item m="1" x="136"/>
        <item m="1" x="203"/>
        <item m="1" x="2575"/>
        <item m="1" x="2585"/>
        <item m="1" x="939"/>
        <item m="1" x="1366"/>
        <item m="1" x="1136"/>
        <item m="1" x="1605"/>
        <item m="1" x="1226"/>
        <item m="1" x="484"/>
        <item m="1" x="1677"/>
        <item m="1" x="2714"/>
        <item m="1" x="993"/>
        <item m="1" x="1387"/>
        <item m="1" x="1678"/>
        <item m="1" x="1895"/>
        <item m="1" x="1365"/>
        <item m="1" x="1649"/>
        <item m="1" x="1620"/>
        <item m="1" x="1599"/>
        <item m="1" x="1122"/>
        <item m="1" x="489"/>
        <item m="1" x="1352"/>
        <item m="1" x="1616"/>
        <item m="1" x="835"/>
        <item m="1" x="2515"/>
        <item m="1" x="230"/>
        <item m="1" x="533"/>
        <item m="1" x="2501"/>
        <item m="1" x="261"/>
        <item m="1" x="201"/>
        <item m="1" x="285"/>
        <item m="1" x="2502"/>
        <item m="1" x="1187"/>
        <item m="1" x="552"/>
        <item m="1" x="2503"/>
        <item m="1" x="630"/>
        <item m="1" x="859"/>
        <item m="1" x="1975"/>
        <item m="1" x="2504"/>
        <item m="1" x="2713"/>
        <item m="1" x="2694"/>
        <item m="1" x="1076"/>
        <item m="1" x="905"/>
        <item m="1" x="2514"/>
        <item m="1" x="1828"/>
        <item m="1" x="1164"/>
        <item m="1" x="1415"/>
        <item m="1" x="2587"/>
        <item m="1" x="2698"/>
        <item m="1" x="1697"/>
        <item m="1" x="1401"/>
        <item m="1" x="1292"/>
        <item m="1" x="2505"/>
        <item m="1" x="2702"/>
        <item m="1" x="280"/>
        <item m="1" x="879"/>
        <item m="1" x="937"/>
        <item x="34"/>
        <item m="1" x="365"/>
        <item m="1" x="1566"/>
        <item m="1" x="710"/>
        <item m="1" x="490"/>
        <item sd="0" m="1" x="493"/>
        <item m="1" x="711"/>
        <item m="1" x="400"/>
        <item m="1" x="2507"/>
        <item m="1" x="2624"/>
        <item m="1" x="632"/>
        <item m="1" x="2189"/>
        <item m="1" x="1631"/>
        <item m="1" x="2706"/>
        <item m="1" x="729"/>
        <item m="1" x="2617"/>
        <item x="24"/>
        <item m="1" x="1331"/>
        <item m="1" x="838"/>
        <item m="1" x="2022"/>
        <item m="1" x="1689"/>
        <item m="1" x="1690"/>
        <item m="1" x="2308"/>
        <item m="1" x="1794"/>
        <item m="1" x="1173"/>
        <item m="1" x="651"/>
        <item m="1" x="2652"/>
        <item m="1" x="1101"/>
        <item m="1" x="2128"/>
        <item m="1" x="613"/>
        <item m="1" x="137"/>
        <item m="1" x="813"/>
        <item m="1" x="2603"/>
        <item m="1" x="1343"/>
        <item m="1" x="2509"/>
        <item m="1" x="839"/>
        <item m="1" x="1691"/>
        <item m="1" x="121"/>
        <item m="1" x="425"/>
        <item m="1" x="2431"/>
        <item m="1" x="1890"/>
        <item m="1" x="1776"/>
        <item m="1" x="1904"/>
        <item m="1" x="2144"/>
        <item m="1" x="62"/>
        <item m="1" x="1055"/>
        <item m="1" x="840"/>
        <item m="1" x="2383"/>
        <item m="1" x="1578"/>
        <item m="1" x="2510"/>
        <item m="1" x="1660"/>
        <item m="1" x="485"/>
        <item m="1" x="1207"/>
        <item m="1" x="1693"/>
        <item m="1" x="1663"/>
        <item m="1" x="1657"/>
        <item m="1" x="858"/>
        <item m="1" x="2511"/>
        <item m="1" x="2001"/>
        <item m="1" x="841"/>
        <item m="1" x="1411"/>
        <item m="1" x="837"/>
        <item m="1" x="2597"/>
        <item m="1" x="1694"/>
        <item m="1" x="1801"/>
        <item m="1" x="1695"/>
        <item m="1" x="1681"/>
        <item m="1" x="1587"/>
        <item m="1" x="1160"/>
        <item m="1" x="1569"/>
        <item m="1" x="998"/>
        <item m="1" x="856"/>
        <item m="1" x="1166"/>
        <item m="1" x="2512"/>
        <item m="1" x="150"/>
        <item m="1" x="2149"/>
        <item m="1" x="1223"/>
        <item m="1" x="212"/>
        <item m="1" x="918"/>
        <item m="1" x="1989"/>
        <item m="1" x="1979"/>
        <item m="1" x="2268"/>
        <item m="1" x="56"/>
        <item m="1" x="1562"/>
        <item m="1" x="1581"/>
        <item m="1" x="2390"/>
        <item m="1" x="969"/>
        <item m="1" x="473"/>
        <item m="1" x="843"/>
        <item m="1" x="1625"/>
        <item m="1" x="935"/>
        <item m="1" x="2023"/>
        <item m="1" x="1462"/>
        <item m="1" x="2666"/>
        <item m="1" x="2024"/>
        <item x="9"/>
        <item m="1" x="1698"/>
        <item m="1" x="1375"/>
        <item m="1" x="1699"/>
        <item m="1" x="179"/>
        <item m="1" x="2148"/>
        <item m="1" x="589"/>
        <item m="1" x="558"/>
        <item m="1" x="1019"/>
        <item m="1" x="69"/>
        <item m="1" x="199"/>
        <item m="1" x="844"/>
        <item m="1" x="714"/>
        <item m="1" x="2449"/>
        <item m="1" x="715"/>
        <item m="1" x="1670"/>
        <item m="1" x="1407"/>
        <item m="1" x="2130"/>
        <item m="1" x="1702"/>
        <item m="1" x="427"/>
        <item m="1" x="190"/>
        <item m="1" x="1479"/>
        <item m="1" x="679"/>
        <item m="1" x="716"/>
        <item m="1" x="65"/>
        <item m="1" x="1703"/>
        <item m="1" x="1851"/>
        <item m="1" x="717"/>
        <item m="1" x="486"/>
        <item m="1" x="231"/>
        <item m="1" x="2079"/>
        <item m="1" x="2131"/>
        <item m="1" x="1626"/>
        <item m="1" x="2516"/>
        <item m="1" x="1374"/>
        <item m="1" x="1280"/>
        <item m="1" x="927"/>
        <item m="1" x="299"/>
        <item sd="0" m="1" x="2734"/>
        <item sd="0" m="1" x="1843"/>
        <item m="1" x="1991"/>
        <item m="1" x="200"/>
        <item m="1" x="1859"/>
        <item m="1" x="86"/>
        <item m="1" x="1268"/>
        <item m="1" x="1417"/>
        <item m="1" x="1706"/>
        <item m="1" x="1269"/>
        <item m="1" x="2132"/>
        <item m="1" x="989"/>
        <item m="1" x="1704"/>
        <item m="1" x="637"/>
        <item m="1" x="706"/>
        <item sd="0" m="1" x="640"/>
        <item m="1" x="842"/>
        <item m="1" x="105"/>
        <item m="1" x="173"/>
        <item m="1" x="1495"/>
        <item m="1" x="896"/>
        <item m="1" x="2517"/>
        <item m="1" x="2518"/>
        <item m="1" x="982"/>
        <item m="1" x="2519"/>
        <item m="1" x="718"/>
        <item m="1" x="1705"/>
        <item m="1" x="1519"/>
        <item m="1" x="2644"/>
        <item m="1" x="2640"/>
        <item m="1" x="2520"/>
        <item m="1" x="1025"/>
        <item m="1" x="1182"/>
        <item m="1" x="1946"/>
        <item m="1" x="1635"/>
        <item m="1" x="984"/>
        <item m="1" x="1274"/>
        <item m="1" x="2521"/>
        <item m="1" x="1633"/>
        <item m="1" x="2522"/>
        <item m="1" x="861"/>
        <item m="1" x="1707"/>
        <item m="1" x="1834"/>
        <item m="1" x="1634"/>
        <item m="1" x="2700"/>
        <item m="1" x="127"/>
        <item m="1" x="1032"/>
        <item m="1" x="2203"/>
        <item m="1" x="1404"/>
        <item m="1" x="1494"/>
        <item m="1" x="1770"/>
        <item m="1" x="1983"/>
        <item m="1" x="2523"/>
        <item m="1" x="1709"/>
        <item m="1" x="1777"/>
        <item m="1" x="2525"/>
        <item m="1" x="719"/>
        <item m="1" x="1927"/>
        <item m="1" x="1996"/>
        <item m="1" x="846"/>
        <item m="1" x="2526"/>
        <item m="1" x="2392"/>
        <item m="1" x="519"/>
        <item m="1" x="1086"/>
        <item m="1" x="2059"/>
        <item m="1" x="598"/>
        <item m="1" x="757"/>
        <item m="1" x="535"/>
        <item m="1" x="2133"/>
        <item m="1" x="2527"/>
        <item m="1" x="204"/>
        <item m="1" x="720"/>
        <item x="35"/>
        <item m="1" x="1713"/>
        <item m="1" x="1014"/>
        <item m="1" x="1424"/>
        <item m="1" x="941"/>
        <item m="1" x="2712"/>
        <item m="1" x="420"/>
        <item m="1" x="2528"/>
        <item m="1" x="1391"/>
        <item m="1" x="2012"/>
        <item m="1" x="2573"/>
        <item m="1" x="938"/>
        <item m="1" x="2134"/>
        <item m="1" x="267"/>
        <item m="1" x="2529"/>
        <item m="1" x="1293"/>
        <item m="1" x="614"/>
        <item sd="0" m="1" x="2722"/>
        <item m="1" x="2593"/>
        <item m="1" x="1416"/>
        <item m="1" x="324"/>
        <item m="1" x="428"/>
        <item m="1" x="2530"/>
        <item m="1" x="2029"/>
        <item m="1" x="723"/>
        <item m="1" x="2259"/>
        <item m="1" x="541"/>
        <item m="1" x="1618"/>
        <item m="1" x="1674"/>
        <item m="1" x="1778"/>
        <item m="1" x="911"/>
        <item m="1" x="2531"/>
        <item m="1" x="847"/>
        <item x="23"/>
        <item m="1" x="478"/>
        <item m="1" x="848"/>
        <item m="1" x="929"/>
        <item m="1" x="1844"/>
        <item m="1" x="1715"/>
        <item m="1" x="1710"/>
        <item m="1" x="1004"/>
        <item m="1" x="726"/>
        <item m="1" x="2135"/>
        <item m="1" x="1353"/>
        <item m="1" x="1717"/>
        <item m="1" x="1779"/>
        <item sd="0" m="1" x="465"/>
        <item m="1" x="1260"/>
        <item m="1" x="974"/>
        <item m="1" x="2533"/>
        <item m="1" x="188"/>
        <item m="1" x="2647"/>
        <item m="1" x="2686"/>
        <item m="1" x="866"/>
        <item m="1" x="1811"/>
        <item m="1" x="812"/>
        <item x="43"/>
        <item m="1" x="1718"/>
        <item m="1" x="1719"/>
        <item m="1" x="1398"/>
        <item m="1" x="1720"/>
        <item sd="0" m="1" x="2728"/>
        <item m="1" x="128"/>
        <item m="1" x="205"/>
        <item m="1" x="686"/>
        <item m="1" x="2622"/>
        <item m="1" x="1780"/>
        <item m="1" x="685"/>
        <item m="1" x="2416"/>
        <item m="1" x="2705"/>
        <item m="1" x="1333"/>
        <item m="1" x="1667"/>
        <item m="1" x="2136"/>
        <item m="1" x="1781"/>
        <item m="1" x="329"/>
        <item m="1" x="1724"/>
        <item m="1" x="206"/>
        <item m="1" x="153"/>
        <item m="1" x="2643"/>
        <item m="1" x="849"/>
        <item m="1" x="854"/>
        <item m="1" x="2631"/>
        <item m="1" x="471"/>
        <item m="1" x="2535"/>
        <item m="1" x="1902"/>
        <item m="1" x="722"/>
        <item m="1" x="540"/>
        <item m="1" x="2255"/>
        <item m="1" x="850"/>
        <item m="1" x="183"/>
        <item m="1" x="693"/>
        <item m="1" x="644"/>
        <item m="1" x="1726"/>
        <item m="1" x="967"/>
        <item sd="0" m="1" x="2117"/>
        <item m="1" x="397"/>
        <item m="1" x="1504"/>
        <item x="40"/>
        <item sd="0" m="1" x="2729"/>
        <item m="1" x="1273"/>
        <item m="1" x="2536"/>
        <item m="1" x="2470"/>
        <item m="1" x="429"/>
        <item m="1" x="2537"/>
        <item m="1" x="2538"/>
        <item m="1" x="2569"/>
        <item m="1" x="2539"/>
        <item m="1" x="1460"/>
        <item m="1" x="2058"/>
        <item m="1" x="2540"/>
        <item m="1" x="942"/>
        <item m="1" x="2031"/>
        <item m="1" x="1597"/>
        <item m="1" x="2541"/>
        <item m="1" x="1325"/>
        <item m="1" x="2071"/>
        <item m="1" x="828"/>
        <item m="1" x="430"/>
        <item m="1" x="1356"/>
        <item m="1" x="1031"/>
        <item x="16"/>
        <item m="1" x="1957"/>
        <item m="1" x="1434"/>
        <item m="1" x="874"/>
        <item m="1" x="2542"/>
        <item m="1" x="2543"/>
        <item m="1" x="249"/>
        <item m="1" x="207"/>
        <item m="1" x="2544"/>
        <item m="1" x="2545"/>
        <item m="1" x="2137"/>
        <item m="1" x="2138"/>
        <item m="1" x="1002"/>
        <item m="1" x="134"/>
        <item m="1" x="1732"/>
        <item m="1" x="1326"/>
        <item m="1" x="155"/>
        <item m="1" x="211"/>
        <item m="1" x="1161"/>
        <item x="36"/>
        <item m="1" x="141"/>
        <item m="1" x="2548"/>
        <item m="1" x="508"/>
        <item m="1" x="930"/>
        <item m="1" x="571"/>
        <item m="1" x="2372"/>
        <item m="1" x="2357"/>
        <item m="1" x="241"/>
        <item m="1" x="1733"/>
        <item m="1" x="1734"/>
        <item m="1" x="431"/>
        <item m="1" x="851"/>
        <item m="1" x="2546"/>
        <item m="1" x="532"/>
        <item m="1" x="1521"/>
        <item m="1" x="1554"/>
        <item m="1" x="2547"/>
        <item m="1" x="1782"/>
        <item m="1" x="1903"/>
        <item m="1" x="2549"/>
        <item m="1" x="1735"/>
        <item m="1" x="1650"/>
        <item m="1" x="1736"/>
        <item m="1" x="2708"/>
        <item t="default" sd="0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4"/>
    <field x="0"/>
  </rowFields>
  <rowItems count="4">
    <i>
      <x v="2238"/>
    </i>
    <i>
      <x v="2252"/>
    </i>
    <i>
      <x v="2255"/>
    </i>
    <i t="grand">
      <x/>
    </i>
  </rowItems>
  <colItems count="1">
    <i/>
  </colItems>
  <pageFields count="1">
    <pageField fld="3" hier="-1"/>
  </pageFields>
  <dataFields count="1">
    <dataField name="Total" fld="9" baseField="0" baseItem="0" numFmtId="44"/>
  </dataFields>
  <formats count="9">
    <format dxfId="162">
      <pivotArea collapsedLevelsAreSubtotals="1" fieldPosition="0">
        <references count="1">
          <reference field="4" count="1">
            <x v="275"/>
          </reference>
        </references>
      </pivotArea>
    </format>
    <format dxfId="161">
      <pivotArea collapsedLevelsAreSubtotals="1" fieldPosition="0">
        <references count="1">
          <reference field="4" count="1">
            <x v="664"/>
          </reference>
        </references>
      </pivotArea>
    </format>
    <format dxfId="160">
      <pivotArea collapsedLevelsAreSubtotals="1" fieldPosition="0">
        <references count="1">
          <reference field="4" count="1">
            <x v="789"/>
          </reference>
        </references>
      </pivotArea>
    </format>
    <format dxfId="159">
      <pivotArea collapsedLevelsAreSubtotals="1" fieldPosition="0">
        <references count="1">
          <reference field="4" count="1">
            <x v="1446"/>
          </reference>
        </references>
      </pivotArea>
    </format>
    <format dxfId="158">
      <pivotArea collapsedLevelsAreSubtotals="1" fieldPosition="0">
        <references count="1">
          <reference field="4" count="1">
            <x v="1688"/>
          </reference>
        </references>
      </pivotArea>
    </format>
    <format dxfId="157">
      <pivotArea collapsedLevelsAreSubtotals="1" fieldPosition="0">
        <references count="1">
          <reference field="4" count="1">
            <x v="1989"/>
          </reference>
        </references>
      </pivotArea>
    </format>
    <format dxfId="156">
      <pivotArea dataOnly="0" labelOnly="1" fieldPosition="0">
        <references count="1">
          <reference field="4" count="6">
            <x v="275"/>
            <x v="664"/>
            <x v="789"/>
            <x v="1446"/>
            <x v="1688"/>
            <x v="1989"/>
          </reference>
        </references>
      </pivotArea>
    </format>
    <format dxfId="155">
      <pivotArea field="4" type="button" dataOnly="0" labelOnly="1" outline="0" axis="axisRow" fieldPosition="0"/>
    </format>
    <format dxfId="154">
      <pivotArea dataOnly="0" labelOnly="1" outline="0" axis="axisValues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78C92-8252-DE4F-A415-C126C422327C}" name="PivotTable5" cacheId="4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A4:B7" firstHeaderRow="1" firstDataRow="1" firstDataCol="1" rowPageCount="1" colPageCount="1"/>
  <pivotFields count="15">
    <pivotField axis="axisRow" showAll="0">
      <items count="71">
        <item x="56"/>
        <item x="64"/>
        <item x="57"/>
        <item x="65"/>
        <item x="25"/>
        <item x="34"/>
        <item x="36"/>
        <item x="30"/>
        <item x="21"/>
        <item x="52"/>
        <item x="13"/>
        <item x="44"/>
        <item x="14"/>
        <item x="22"/>
        <item x="16"/>
        <item x="29"/>
        <item x="2"/>
        <item x="8"/>
        <item x="51"/>
        <item x="20"/>
        <item x="26"/>
        <item x="35"/>
        <item x="19"/>
        <item x="6"/>
        <item x="61"/>
        <item x="4"/>
        <item x="43"/>
        <item x="11"/>
        <item x="54"/>
        <item x="33"/>
        <item x="38"/>
        <item x="39"/>
        <item x="63"/>
        <item x="17"/>
        <item x="55"/>
        <item x="0"/>
        <item x="1"/>
        <item m="1" x="67"/>
        <item x="46"/>
        <item x="45"/>
        <item x="24"/>
        <item x="18"/>
        <item x="50"/>
        <item x="58"/>
        <item x="59"/>
        <item x="7"/>
        <item x="47"/>
        <item x="31"/>
        <item x="53"/>
        <item x="48"/>
        <item x="23"/>
        <item x="27"/>
        <item x="32"/>
        <item x="37"/>
        <item x="49"/>
        <item m="1" x="68"/>
        <item m="1" x="69"/>
        <item x="3"/>
        <item x="9"/>
        <item x="60"/>
        <item x="28"/>
        <item x="10"/>
        <item x="66"/>
        <item x="62"/>
        <item x="40"/>
        <item x="41"/>
        <item x="42"/>
        <item x="12"/>
        <item x="15"/>
        <item x="5"/>
        <item t="default"/>
      </items>
    </pivotField>
    <pivotField showAll="0"/>
    <pivotField showAll="0"/>
    <pivotField axis="axisPage" multipleItemSelectionAllowed="1" showAll="0">
      <items count="49">
        <item h="1" x="10"/>
        <item h="1" x="15"/>
        <item h="1" x="17"/>
        <item h="1" x="5"/>
        <item h="1" x="7"/>
        <item h="1" m="1" x="18"/>
        <item h="1" x="6"/>
        <item h="1" x="12"/>
        <item x="14"/>
        <item h="1" m="1" x="36"/>
        <item h="1" x="3"/>
        <item h="1" x="8"/>
        <item h="1" x="9"/>
        <item h="1" m="1" x="41"/>
        <item h="1" m="1" x="42"/>
        <item h="1" x="13"/>
        <item h="1" x="0"/>
        <item h="1" m="1" x="23"/>
        <item h="1" m="1" x="45"/>
        <item h="1" m="1" x="47"/>
        <item h="1" x="1"/>
        <item h="1" m="1" x="39"/>
        <item h="1" x="4"/>
        <item h="1" m="1" x="44"/>
        <item h="1" m="1" x="46"/>
        <item h="1" x="2"/>
        <item h="1" m="1" x="40"/>
        <item h="1" x="11"/>
        <item h="1" m="1" x="34"/>
        <item h="1" m="1" x="21"/>
        <item h="1" m="1" x="31"/>
        <item h="1" m="1" x="33"/>
        <item h="1" m="1" x="22"/>
        <item h="1" m="1" x="20"/>
        <item h="1" m="1" x="26"/>
        <item h="1" m="1" x="27"/>
        <item h="1" m="1" x="19"/>
        <item h="1" x="16"/>
        <item h="1" m="1" x="43"/>
        <item h="1" m="1" x="24"/>
        <item h="1" m="1" x="25"/>
        <item h="1" m="1" x="28"/>
        <item h="1" m="1" x="29"/>
        <item h="1" m="1" x="30"/>
        <item h="1" m="1" x="32"/>
        <item h="1" m="1" x="35"/>
        <item h="1" m="1" x="37"/>
        <item h="1" m="1" x="38"/>
        <item t="default"/>
      </items>
    </pivotField>
    <pivotField axis="axisRow" showAll="0" sortType="ascending">
      <items count="2742">
        <item m="1" x="956"/>
        <item m="1" x="1464"/>
        <item m="1" x="2141"/>
        <item m="1" x="272"/>
        <item m="1" x="870"/>
        <item m="1" x="575"/>
        <item m="1" x="2057"/>
        <item m="1" x="1442"/>
        <item m="1" x="361"/>
        <item m="1" x="118"/>
        <item m="1" x="1346"/>
        <item m="1" x="725"/>
        <item m="1" x="1254"/>
        <item m="1" x="282"/>
        <item m="1" x="2036"/>
        <item m="1" x="2157"/>
        <item m="1" x="1796"/>
        <item m="1" x="951"/>
        <item m="1" x="1887"/>
        <item m="1" x="1870"/>
        <item m="1" x="2717"/>
        <item x="5"/>
        <item m="1" x="491"/>
        <item m="1" x="1549"/>
        <item m="1" x="1484"/>
        <item m="1" x="727"/>
        <item m="1" x="1288"/>
        <item m="1" x="1739"/>
        <item m="1" x="804"/>
        <item m="1" x="451"/>
        <item m="1" x="1888"/>
        <item x="12"/>
        <item m="1" x="2159"/>
        <item m="1" x="1623"/>
        <item m="1" x="2037"/>
        <item m="1" x="78"/>
        <item m="1" x="2611"/>
        <item m="1" x="1378"/>
        <item m="1" x="1556"/>
        <item m="1" x="959"/>
        <item m="1" x="177"/>
        <item m="1" x="2038"/>
        <item m="1" x="1737"/>
        <item m="1" x="2160"/>
        <item m="1" x="2161"/>
        <item m="1" x="357"/>
        <item m="1" x="1142"/>
        <item m="1" x="1003"/>
        <item m="1" x="2688"/>
        <item m="1" x="2162"/>
        <item m="1" x="1096"/>
        <item m="1" x="1016"/>
        <item m="1" x="2039"/>
        <item m="1" x="88"/>
        <item m="1" x="1738"/>
        <item m="1" x="2163"/>
        <item m="1" x="1459"/>
        <item m="1" x="2164"/>
        <item m="1" x="2153"/>
        <item m="1" x="89"/>
        <item m="1" x="2165"/>
        <item m="1" x="730"/>
        <item m="1" x="1630"/>
        <item m="1" x="1005"/>
        <item m="1" x="2166"/>
        <item m="1" x="1348"/>
        <item m="1" x="1006"/>
        <item m="1" x="731"/>
        <item m="1" x="1651"/>
        <item m="1" x="2167"/>
        <item m="1" x="1008"/>
        <item m="1" x="2168"/>
        <item m="1" x="1367"/>
        <item m="1" x="2146"/>
        <item m="1" x="90"/>
        <item m="1" x="2169"/>
        <item m="1" x="266"/>
        <item m="1" x="922"/>
        <item m="1" x="442"/>
        <item m="1" x="364"/>
        <item m="1" x="732"/>
        <item m="1" x="1555"/>
        <item m="1" x="2170"/>
        <item m="1" x="418"/>
        <item m="1" x="887"/>
        <item m="1" x="265"/>
        <item m="1" x="292"/>
        <item m="1" x="2171"/>
        <item m="1" x="68"/>
        <item m="1" x="521"/>
        <item m="1" x="616"/>
        <item m="1" x="2484"/>
        <item m="1" x="617"/>
        <item m="1" x="284"/>
        <item m="1" x="2172"/>
        <item m="1" x="2659"/>
        <item m="1" x="1617"/>
        <item m="1" x="1363"/>
        <item m="1" x="2173"/>
        <item m="1" x="232"/>
        <item m="1" x="2174"/>
        <item m="1" x="2175"/>
        <item m="1" x="2176"/>
        <item m="1" x="2040"/>
        <item m="1" x="562"/>
        <item m="1" x="1476"/>
        <item m="1" x="242"/>
        <item m="1" x="181"/>
        <item m="1" x="1465"/>
        <item m="1" x="2678"/>
        <item m="1" x="1482"/>
        <item m="1" x="815"/>
        <item m="1" x="1128"/>
        <item m="1" x="2489"/>
        <item m="1" x="2177"/>
        <item m="1" x="2385"/>
        <item m="1" x="1129"/>
        <item m="1" x="2178"/>
        <item m="1" x="2181"/>
        <item m="1" x="1012"/>
        <item m="1" x="890"/>
        <item m="1" x="2182"/>
        <item m="1" x="1874"/>
        <item m="1" x="2183"/>
        <item m="1" x="1727"/>
        <item m="1" x="2184"/>
        <item m="1" x="1408"/>
        <item m="1" x="238"/>
        <item m="1" x="2185"/>
        <item m="1" x="93"/>
        <item m="1" x="1041"/>
        <item m="1" x="734"/>
        <item m="1" x="1042"/>
        <item m="1" x="1309"/>
        <item m="1" x="1399"/>
        <item m="1" x="1547"/>
        <item m="1" x="2186"/>
        <item m="1" x="344"/>
        <item m="1" x="94"/>
        <item m="1" x="2187"/>
        <item m="1" x="2188"/>
        <item m="1" x="983"/>
        <item m="1" x="2041"/>
        <item m="1" x="547"/>
        <item m="1" x="1359"/>
        <item m="1" x="1303"/>
        <item m="1" x="1552"/>
        <item m="1" x="981"/>
        <item m="1" x="54"/>
        <item m="1" x="255"/>
        <item m="1" x="497"/>
        <item m="1" x="2190"/>
        <item m="1" x="2191"/>
        <item m="1" x="2192"/>
        <item m="1" x="2650"/>
        <item m="1" x="621"/>
        <item m="1" x="1045"/>
        <item m="1" x="880"/>
        <item m="1" x="1046"/>
        <item m="1" x="274"/>
        <item m="1" x="1047"/>
        <item m="1" x="2193"/>
        <item m="1" x="1049"/>
        <item m="1" x="1050"/>
        <item m="1" x="1962"/>
        <item m="1" x="735"/>
        <item m="1" x="2194"/>
        <item m="1" x="2083"/>
        <item m="1" x="2682"/>
        <item m="1" x="287"/>
        <item m="1" x="432"/>
        <item m="1" x="472"/>
        <item m="1" x="1868"/>
        <item m="1" x="419"/>
        <item m="1" x="2389"/>
        <item m="1" x="1052"/>
        <item m="1" x="1053"/>
        <item m="1" x="2618"/>
        <item m="1" x="2637"/>
        <item m="1" x="2641"/>
        <item m="1" x="366"/>
        <item m="1" x="296"/>
        <item m="1" x="1218"/>
        <item m="1" x="1151"/>
        <item m="1" x="620"/>
        <item m="1" x="1344"/>
        <item m="1" x="1203"/>
        <item m="1" x="2195"/>
        <item m="1" x="736"/>
        <item m="1" x="538"/>
        <item m="1" x="2196"/>
        <item m="1" x="1200"/>
        <item m="1" x="1873"/>
        <item m="1" x="1744"/>
        <item m="1" x="2197"/>
        <item m="1" x="1505"/>
        <item m="1" x="622"/>
        <item m="1" x="2261"/>
        <item m="1" x="2000"/>
        <item m="1" x="374"/>
        <item m="1" x="1741"/>
        <item m="1" x="1948"/>
        <item m="1" x="1056"/>
        <item m="1" x="304"/>
        <item m="1" x="498"/>
        <item m="1" x="737"/>
        <item m="1" x="2042"/>
        <item m="1" x="2198"/>
        <item m="1" x="1643"/>
        <item m="1" x="1475"/>
        <item m="1" x="738"/>
        <item m="1" x="1058"/>
        <item m="1" x="1863"/>
        <item m="1" x="2635"/>
        <item m="1" x="97"/>
        <item m="1" x="739"/>
        <item m="1" x="516"/>
        <item m="1" x="807"/>
        <item m="1" x="2651"/>
        <item m="1" x="2115"/>
        <item m="1" x="625"/>
        <item m="1" x="1978"/>
        <item m="1" x="2043"/>
        <item m="1" x="895"/>
        <item m="1" x="626"/>
        <item m="1" x="1063"/>
        <item m="1" x="1253"/>
        <item m="1" x="1393"/>
        <item m="1" x="1020"/>
        <item m="1" x="492"/>
        <item m="1" x="1804"/>
        <item m="1" x="2085"/>
        <item m="1" x="1900"/>
        <item m="1" x="1886"/>
        <item m="1" x="573"/>
        <item m="1" x="2638"/>
        <item m="1" x="628"/>
        <item m="1" x="2508"/>
        <item m="1" x="464"/>
        <item m="1" x="1224"/>
        <item m="1" x="2002"/>
        <item m="1" x="1500"/>
        <item m="1" x="2199"/>
        <item m="1" x="448"/>
        <item m="1" x="412"/>
        <item m="1" x="98"/>
        <item m="1" x="1575"/>
        <item m="1" x="2601"/>
        <item m="1" x="1508"/>
        <item m="1" x="741"/>
        <item m="1" x="2200"/>
        <item m="1" x="175"/>
        <item m="1" x="1349"/>
        <item m="1" x="1622"/>
        <item m="1" x="2080"/>
        <item m="1" x="806"/>
        <item m="1" x="1981"/>
        <item m="1" x="594"/>
        <item m="1" x="2201"/>
        <item m="1" x="1947"/>
        <item m="1" x="1069"/>
        <item sd="0" m="1" x="47"/>
        <item m="1" x="1382"/>
        <item m="1" x="1701"/>
        <item m="1" x="2681"/>
        <item m="1" x="1355"/>
        <item m="1" x="2202"/>
        <item m="1" x="1364"/>
        <item m="1" x="743"/>
        <item m="1" x="1072"/>
        <item m="1" x="1327"/>
        <item m="1" x="1240"/>
        <item m="1" x="250"/>
        <item m="1" x="2704"/>
        <item m="1" x="301"/>
        <item sd="0" m="1" x="2726"/>
        <item m="1" x="2572"/>
        <item m="1" x="744"/>
        <item m="1" x="2018"/>
        <item m="1" x="1073"/>
        <item m="1" x="745"/>
        <item m="1" x="746"/>
        <item m="1" x="2204"/>
        <item m="1" x="1137"/>
        <item m="1" x="2205"/>
        <item m="1" x="529"/>
        <item m="1" x="577"/>
        <item m="1" x="215"/>
        <item m="1" x="499"/>
        <item m="1" x="1418"/>
        <item m="1" x="1940"/>
        <item m="1" x="474"/>
        <item m="1" x="986"/>
        <item m="1" x="72"/>
        <item m="1" x="1388"/>
        <item m="1" x="2206"/>
        <item m="1" x="99"/>
        <item m="1" x="1330"/>
        <item m="1" x="1237"/>
        <item m="1" x="1282"/>
        <item m="1" x="1294"/>
        <item m="1" x="2207"/>
        <item m="1" x="2208"/>
        <item m="1" x="811"/>
        <item m="1" x="747"/>
        <item m="1" x="1310"/>
        <item m="1" x="2081"/>
        <item m="1" x="1771"/>
        <item m="1" x="449"/>
        <item m="1" x="1341"/>
        <item m="1" x="1878"/>
        <item m="1" x="159"/>
        <item m="1" x="576"/>
        <item m="1" x="551"/>
        <item m="1" x="2209"/>
        <item m="1" x="2003"/>
        <item m="1" x="1078"/>
        <item m="1" x="2210"/>
        <item m="1" x="1453"/>
        <item m="1" x="1935"/>
        <item m="1" x="251"/>
        <item m="1" x="1574"/>
        <item m="1" x="1306"/>
        <item m="1" x="1905"/>
        <item m="1" x="1652"/>
        <item m="1" x="313"/>
        <item m="1" x="631"/>
        <item m="1" x="1079"/>
        <item m="1" x="526"/>
        <item m="1" x="1757"/>
        <item m="1" x="2211"/>
        <item m="1" x="1037"/>
        <item m="1" x="561"/>
        <item m="1" x="926"/>
        <item m="1" x="2577"/>
        <item m="1" x="2212"/>
        <item m="1" x="1360"/>
        <item m="1" x="2086"/>
        <item m="1" x="1377"/>
        <item m="1" x="2213"/>
        <item m="1" x="100"/>
        <item m="1" x="476"/>
        <item m="1" x="1336"/>
        <item m="1" x="1907"/>
        <item m="1" x="1956"/>
        <item m="1" x="1909"/>
        <item m="1" x="452"/>
        <item m="1" x="109"/>
        <item m="1" x="399"/>
        <item m="1" x="1083"/>
        <item m="1" x="2214"/>
        <item m="1" x="1085"/>
        <item m="1" x="748"/>
        <item m="1" x="2215"/>
        <item m="1" x="2589"/>
        <item m="1" x="1087"/>
        <item m="1" x="254"/>
        <item m="1" x="2563"/>
        <item m="1" x="749"/>
        <item m="1" x="1088"/>
        <item m="1" x="2581"/>
        <item m="1" x="81"/>
        <item m="1" x="1095"/>
        <item m="1" x="158"/>
        <item m="1" x="950"/>
        <item m="1" x="979"/>
        <item m="1" x="1098"/>
        <item sd="0" m="1" x="2571"/>
        <item m="1" x="1084"/>
        <item x="38"/>
        <item m="1" x="2630"/>
        <item m="1" x="103"/>
        <item m="1" x="2716"/>
        <item m="1" x="633"/>
        <item m="1" x="1438"/>
        <item m="1" x="1147"/>
        <item m="1" x="1520"/>
        <item m="1" x="1149"/>
        <item m="1" x="102"/>
        <item m="1" x="1091"/>
        <item m="1" x="115"/>
        <item sd="0" m="1" x="116"/>
        <item m="1" x="1152"/>
        <item m="1" x="618"/>
        <item m="1" x="1380"/>
        <item m="1" x="117"/>
        <item m="1" x="649"/>
        <item m="1" x="648"/>
        <item m="1" x="1089"/>
        <item m="1" x="2670"/>
        <item m="1" x="2216"/>
        <item m="1" x="1090"/>
        <item m="1" x="2004"/>
        <item m="1" x="1021"/>
        <item m="1" x="523"/>
        <item m="1" x="578"/>
        <item m="1" x="1764"/>
        <item m="1" x="908"/>
        <item m="1" x="2560"/>
        <item m="1" x="1803"/>
        <item m="1" x="2242"/>
        <item m="1" x="49"/>
        <item m="1" x="2044"/>
        <item m="1" x="1397"/>
        <item m="1" x="2649"/>
        <item m="1" x="2217"/>
        <item m="1" x="1163"/>
        <item m="1" x="148"/>
        <item m="1" x="2596"/>
        <item m="1" x="167"/>
        <item m="1" x="970"/>
        <item m="1" x="1094"/>
        <item m="1" x="2218"/>
        <item m="1" x="1898"/>
        <item m="1" x="2219"/>
        <item m="1" x="883"/>
        <item m="1" x="873"/>
        <item m="1" x="2600"/>
        <item m="1" x="2380"/>
        <item m="1" x="1932"/>
        <item m="1" x="1062"/>
        <item m="1" x="2220"/>
        <item m="1" x="1952"/>
        <item m="1" x="1082"/>
        <item m="1" x="1289"/>
        <item sd="0" m="1" x="2721"/>
        <item m="1" x="106"/>
        <item m="1" x="360"/>
        <item m="1" x="1998"/>
        <item m="1" x="2339"/>
        <item m="1" x="2667"/>
        <item m="1" x="545"/>
        <item m="1" x="2087"/>
        <item m="1" x="751"/>
        <item m="1" x="107"/>
        <item m="1" x="509"/>
        <item m="1" x="259"/>
        <item m="1" x="1097"/>
        <item m="1" x="1080"/>
        <item x="10"/>
        <item m="1" x="2559"/>
        <item m="1" x="1621"/>
        <item m="1" x="753"/>
        <item m="1" x="331"/>
        <item m="1" x="932"/>
        <item x="22"/>
        <item x="1"/>
        <item m="1" x="2221"/>
        <item m="1" x="2222"/>
        <item m="1" x="369"/>
        <item m="1" x="453"/>
        <item m="1" x="58"/>
        <item m="1" x="437"/>
        <item m="1" x="1687"/>
        <item m="1" x="1099"/>
        <item m="1" x="2224"/>
        <item m="1" x="2045"/>
        <item m="1" x="2608"/>
        <item m="1" x="1783"/>
        <item m="1" x="1885"/>
        <item m="1" x="636"/>
        <item m="1" x="108"/>
        <item m="1" x="52"/>
        <item m="1" x="1103"/>
        <item x="18"/>
        <item m="1" x="1993"/>
        <item m="1" x="2016"/>
        <item m="1" x="1911"/>
        <item m="1" x="593"/>
        <item m="1" x="754"/>
        <item m="1" x="755"/>
        <item m="1" x="407"/>
        <item m="1" x="356"/>
        <item m="1" x="1104"/>
        <item m="1" x="2225"/>
        <item m="1" x="1105"/>
        <item m="1" x="756"/>
        <item m="1" x="2158"/>
        <item m="1" x="752"/>
        <item m="1" x="2046"/>
        <item m="1" x="2226"/>
        <item m="1" x="1913"/>
        <item m="1" x="2150"/>
        <item m="1" x="919"/>
        <item m="1" x="2020"/>
        <item m="1" x="208"/>
        <item m="1" x="1708"/>
        <item m="1" x="1111"/>
        <item m="1" x="454"/>
        <item m="1" x="1112"/>
        <item m="1" x="309"/>
        <item m="1" x="1869"/>
        <item m="1" x="302"/>
        <item m="1" x="852"/>
        <item m="1" x="1205"/>
        <item m="1" x="1113"/>
        <item m="1" x="713"/>
        <item m="1" x="638"/>
        <item m="1" x="1210"/>
        <item m="1" x="1070"/>
        <item m="1" x="1805"/>
        <item m="1" x="1806"/>
        <item m="1" x="216"/>
        <item m="1" x="1809"/>
        <item m="1" x="875"/>
        <item m="1" x="2669"/>
        <item m="1" x="1126"/>
        <item m="1" x="110"/>
        <item m="1" x="1054"/>
        <item m="1" x="1830"/>
        <item m="1" x="1832"/>
        <item m="1" x="1818"/>
        <item m="1" x="1106"/>
        <item x="19"/>
        <item m="1" x="1043"/>
        <item m="1" x="1712"/>
        <item x="33"/>
        <item m="1" x="1615"/>
        <item m="1" x="1810"/>
        <item sd="0" m="1" x="1114"/>
        <item m="1" x="1143"/>
        <item m="1" x="1535"/>
        <item m="1" x="1812"/>
        <item m="1" x="2088"/>
        <item m="1" x="1813"/>
        <item m="1" x="111"/>
        <item m="1" x="2228"/>
        <item m="1" x="1000"/>
        <item m="1" x="2229"/>
        <item m="1" x="2578"/>
        <item m="1" x="2230"/>
        <item m="1" x="1030"/>
        <item m="1" x="2564"/>
        <item m="1" x="946"/>
        <item m="1" x="2231"/>
        <item m="1" x="50"/>
        <item m="1" x="378"/>
        <item m="1" x="2232"/>
        <item m="1" x="2456"/>
        <item m="1" x="276"/>
        <item m="1" x="758"/>
        <item m="1" x="1010"/>
        <item m="1" x="1120"/>
        <item m="1" x="900"/>
        <item m="1" x="2663"/>
        <item m="1" x="2233"/>
        <item m="1" x="1015"/>
        <item m="1" x="1026"/>
        <item m="1" x="641"/>
        <item m="1" x="642"/>
        <item m="1" x="597"/>
        <item m="1" x="2606"/>
        <item m="1" x="643"/>
        <item m="1" x="1918"/>
        <item m="1" x="635"/>
        <item m="1" x="1123"/>
        <item m="1" x="2234"/>
        <item m="1" x="112"/>
        <item m="1" x="1742"/>
        <item m="1" x="878"/>
        <item m="1" x="2235"/>
        <item m="1" x="1984"/>
        <item m="1" x="2007"/>
        <item m="1" x="2236"/>
        <item m="1" x="759"/>
        <item m="1" x="933"/>
        <item m="1" x="436"/>
        <item m="1" x="2664"/>
        <item m="1" x="2078"/>
        <item m="1" x="1775"/>
        <item m="1" x="2586"/>
        <item m="1" x="475"/>
        <item m="1" x="1109"/>
        <item m="1" x="2674"/>
        <item m="1" x="2657"/>
        <item m="1" x="1700"/>
        <item m="1" x="539"/>
        <item m="1" x="455"/>
        <item m="1" x="952"/>
        <item m="1" x="315"/>
        <item m="1" x="408"/>
        <item m="1" x="867"/>
        <item m="1" x="2506"/>
        <item m="1" x="114"/>
        <item m="1" x="2237"/>
        <item m="1" x="1402"/>
        <item m="1" x="164"/>
        <item m="1" x="645"/>
        <item m="1" x="1638"/>
        <item m="1" x="1139"/>
        <item m="1" x="1146"/>
        <item m="1" x="554"/>
        <item m="1" x="2634"/>
        <item m="1" x="994"/>
        <item m="1" x="2465"/>
        <item m="1" x="1406"/>
        <item m="1" x="1236"/>
        <item m="1" x="1959"/>
        <item m="1" x="1247"/>
        <item m="1" x="1481"/>
        <item m="1" x="1876"/>
        <item m="1" x="1141"/>
        <item m="1" x="1065"/>
        <item m="1" x="646"/>
        <item sd="0" m="1" x="2731"/>
        <item m="1" x="1573"/>
        <item m="1" x="647"/>
        <item m="1" x="2239"/>
        <item m="1" x="126"/>
        <item m="1" x="96"/>
        <item m="1" x="1329"/>
        <item m="1" x="760"/>
        <item m="1" x="1270"/>
        <item m="1" x="2558"/>
        <item m="1" x="869"/>
        <item m="1" x="1145"/>
        <item m="1" x="1510"/>
        <item x="20"/>
        <item m="1" x="1175"/>
        <item m="1" x="1795"/>
        <item m="1" x="1124"/>
        <item m="1" x="1802"/>
        <item sd="0" x="7"/>
        <item x="37"/>
        <item m="1" x="1298"/>
        <item m="1" x="1339"/>
        <item m="1" x="1816"/>
        <item m="1" x="1762"/>
        <item m="1" x="1532"/>
        <item m="1" x="2240"/>
        <item m="1" x="871"/>
        <item m="1" x="2718"/>
        <item m="1" x="91"/>
        <item m="1" x="2241"/>
        <item m="1" x="2030"/>
        <item m="1" x="1672"/>
        <item m="1" x="761"/>
        <item m="1" x="2089"/>
        <item m="1" x="2227"/>
        <item m="1" x="762"/>
        <item m="1" x="1148"/>
        <item m="1" x="316"/>
        <item m="1" x="2633"/>
        <item m="1" x="1242"/>
        <item m="1" x="260"/>
        <item m="1" x="1412"/>
        <item m="1" x="1384"/>
        <item m="1" x="763"/>
        <item m="1" x="1682"/>
        <item m="1" x="385"/>
        <item m="1" x="591"/>
        <item m="1" x="1565"/>
        <item m="1" x="2243"/>
        <item m="1" x="1153"/>
        <item m="1" x="500"/>
        <item m="1" x="2552"/>
        <item m="1" x="217"/>
        <item m="1" x="1229"/>
        <item m="1" x="373"/>
        <item m="1" x="433"/>
        <item m="1" x="2632"/>
        <item m="1" x="1092"/>
        <item m="1" x="1241"/>
        <item m="1" x="1743"/>
        <item sd="0" m="1" x="244"/>
        <item m="1" x="444"/>
        <item m="1" x="2047"/>
        <item m="1" x="1403"/>
        <item m="1" x="1644"/>
        <item m="1" x="1158"/>
        <item m="1" x="1612"/>
        <item m="1" x="372"/>
        <item m="1" x="2588"/>
        <item m="1" x="1872"/>
        <item m="1" x="1478"/>
        <item m="1" x="2244"/>
        <item m="1" x="1865"/>
        <item m="1" x="319"/>
        <item m="1" x="303"/>
        <item m="1" x="1879"/>
        <item m="1" x="2351"/>
        <item m="1" x="1875"/>
        <item sd="0" m="1" x="2090"/>
        <item m="1" x="2245"/>
        <item m="1" x="2072"/>
        <item m="1" x="2374"/>
        <item m="1" x="2091"/>
        <item m="1" x="311"/>
        <item m="1" x="2246"/>
        <item m="1" x="2247"/>
        <item m="1" x="333"/>
        <item m="1" x="765"/>
        <item m="1" x="1318"/>
        <item m="1" x="2248"/>
        <item m="1" x="1276"/>
        <item m="1" x="650"/>
        <item m="1" x="2557"/>
        <item m="1" x="997"/>
        <item m="1" x="1130"/>
        <item m="1" x="2249"/>
        <item m="1" x="1362"/>
        <item m="1" x="1836"/>
        <item m="1" x="131"/>
        <item m="1" x="202"/>
        <item m="1" x="2250"/>
        <item m="1" x="321"/>
        <item m="1" x="146"/>
        <item m="1" x="2697"/>
        <item m="1" x="652"/>
        <item m="1" x="740"/>
        <item m="1" x="920"/>
        <item m="1" x="291"/>
        <item m="1" x="1170"/>
        <item m="1" x="513"/>
        <item m="1" x="2251"/>
        <item m="1" x="1899"/>
        <item m="1" x="766"/>
        <item sd="0" m="1" x="456"/>
        <item m="1" x="1171"/>
        <item m="1" x="2687"/>
        <item m="1" x="1172"/>
        <item m="1" x="1439"/>
        <item m="1" x="2252"/>
        <item m="1" x="1544"/>
        <item m="1" x="2143"/>
        <item m="1" x="653"/>
        <item m="1" x="615"/>
        <item m="1" x="2615"/>
        <item m="1" x="550"/>
        <item m="1" x="1174"/>
        <item m="1" x="2253"/>
        <item m="1" x="2254"/>
        <item sd="0" m="1" x="445"/>
        <item m="1" x="290"/>
        <item m="1" x="1305"/>
        <item m="1" x="1930"/>
        <item m="1" x="767"/>
        <item m="1" x="992"/>
        <item m="1" x="2565"/>
        <item m="1" x="2658"/>
        <item m="1" x="1915"/>
        <item m="1" x="1221"/>
        <item m="1" x="411"/>
        <item m="1" x="2257"/>
        <item m="1" x="1211"/>
        <item m="1" x="2258"/>
        <item m="1" x="1931"/>
        <item m="1" x="84"/>
        <item m="1" x="1745"/>
        <item m="1" x="1135"/>
        <item m="1" x="2092"/>
        <item m="1" x="654"/>
        <item m="1" x="1413"/>
        <item m="1" x="1131"/>
        <item m="1" x="1215"/>
        <item m="1" x="947"/>
        <item m="1" x="1668"/>
        <item m="1" x="1179"/>
        <item m="1" x="85"/>
        <item m="1" x="553"/>
        <item m="1" x="768"/>
        <item m="1" x="1194"/>
        <item sd="0" x="31"/>
        <item m="1" x="1140"/>
        <item m="1" x="655"/>
        <item m="1" x="233"/>
        <item m="1" x="769"/>
        <item x="27"/>
        <item m="1" x="1627"/>
        <item m="1" x="945"/>
        <item m="1" x="1746"/>
        <item m="1" x="322"/>
        <item m="1" x="1747"/>
        <item m="1" x="1664"/>
        <item m="1" x="1515"/>
        <item m="1" x="1600"/>
        <item m="1" x="1181"/>
        <item m="1" x="1877"/>
        <item m="1" x="2073"/>
        <item m="1" x="891"/>
        <item m="1" x="574"/>
        <item m="1" x="2262"/>
        <item m="1" x="1748"/>
        <item m="1" x="570"/>
        <item m="1" x="2093"/>
        <item m="1" x="2263"/>
        <item m="1" x="1183"/>
        <item m="1" x="2642"/>
        <item m="1" x="171"/>
        <item sd="0" m="1" x="256"/>
        <item m="1" x="1405"/>
        <item m="1" x="1531"/>
        <item m="1" x="488"/>
        <item m="1" x="443"/>
        <item m="1" x="122"/>
        <item m="1" x="1186"/>
        <item m="1" x="2264"/>
        <item m="1" x="326"/>
        <item m="1" x="2265"/>
        <item m="1" x="327"/>
        <item m="1" x="978"/>
        <item m="1" x="2266"/>
        <item m="1" x="248"/>
        <item m="1" x="534"/>
        <item m="1" x="1506"/>
        <item m="1" x="2077"/>
        <item m="1" x="1498"/>
        <item m="1" x="1287"/>
        <item m="1" x="156"/>
        <item m="1" x="394"/>
        <item m="1" x="1361"/>
        <item m="1" x="1592"/>
        <item m="1" x="1492"/>
        <item m="1" x="1468"/>
        <item m="1" x="2580"/>
        <item m="1" x="1568"/>
        <item m="1" x="2026"/>
        <item m="1" x="664"/>
        <item m="1" x="1955"/>
        <item m="1" x="2267"/>
        <item m="1" x="295"/>
        <item m="1" x="1191"/>
        <item m="1" x="1729"/>
        <item m="1" x="771"/>
        <item m="1" x="1195"/>
        <item m="1" x="1571"/>
        <item m="1" x="2094"/>
        <item m="1" x="2015"/>
        <item m="1" x="2524"/>
        <item m="1" x="2271"/>
        <item m="1" x="1789"/>
        <item m="1" x="306"/>
        <item m="1" x="1954"/>
        <item m="1" x="865"/>
        <item m="1" x="1835"/>
        <item m="1" x="801"/>
        <item m="1" x="1790"/>
        <item m="1" x="2272"/>
        <item m="1" x="1774"/>
        <item m="1" x="1653"/>
        <item m="1" x="1441"/>
        <item m="1" x="2095"/>
        <item m="1" x="2274"/>
        <item m="1" x="1793"/>
        <item m="1" x="990"/>
        <item m="1" x="2273"/>
        <item m="1" x="1819"/>
        <item m="1" x="2275"/>
        <item m="1" x="2076"/>
        <item m="1" x="2276"/>
        <item m="1" x="1204"/>
        <item m="1" x="1526"/>
        <item m="1" x="2145"/>
        <item m="1" x="1503"/>
        <item m="1" x="560"/>
        <item m="1" x="1550"/>
        <item m="1" x="872"/>
        <item m="1" x="2277"/>
        <item m="1" x="1425"/>
        <item m="1" x="1340"/>
        <item m="1" x="1167"/>
        <item m="1" x="2278"/>
        <item m="1" x="2279"/>
        <item m="1" x="772"/>
        <item m="1" x="728"/>
        <item m="1" x="658"/>
        <item m="1" x="1176"/>
        <item m="1" x="1315"/>
        <item m="1" x="2096"/>
        <item m="1" x="123"/>
        <item m="1" x="1337"/>
        <item m="1" x="270"/>
        <item m="1" x="2280"/>
        <item m="1" x="125"/>
        <item m="1" x="2074"/>
        <item m="1" x="2281"/>
        <item m="1" x="2282"/>
        <item m="1" x="659"/>
        <item m="1" x="1450"/>
        <item m="1" x="2283"/>
        <item m="1" x="925"/>
        <item m="1" x="1470"/>
        <item m="1" x="1209"/>
        <item m="1" x="660"/>
        <item m="1" x="2550"/>
        <item m="1" x="2648"/>
        <item m="1" x="2345"/>
        <item m="1" x="2097"/>
        <item m="1" x="2048"/>
        <item x="0"/>
        <item m="1" x="1497"/>
        <item m="1" x="2627"/>
        <item m="1" x="1763"/>
        <item m="1" x="1212"/>
        <item m="1" x="410"/>
        <item m="1" x="1961"/>
        <item m="1" x="917"/>
        <item m="1" x="988"/>
        <item m="1" x="1197"/>
        <item m="1" x="2284"/>
        <item m="1" x="1213"/>
        <item m="1" x="773"/>
        <item m="1" x="1214"/>
        <item m="1" x="1686"/>
        <item m="1" x="218"/>
        <item m="1" x="1509"/>
        <item m="1" x="724"/>
        <item m="1" x="1557"/>
        <item m="1" x="330"/>
        <item m="1" x="1216"/>
        <item m="1" x="457"/>
        <item m="1" x="1162"/>
        <item m="1" x="2285"/>
        <item m="1" x="2155"/>
        <item m="1" x="2286"/>
        <item m="1" x="2579"/>
        <item m="1" x="1219"/>
        <item m="1" x="2287"/>
        <item m="1" x="2098"/>
        <item m="1" x="2288"/>
        <item m="1" x="1466"/>
        <item m="1" x="2612"/>
        <item m="1" x="2049"/>
        <item m="1" x="176"/>
        <item m="1" x="1749"/>
        <item m="1" x="1455"/>
        <item m="1" x="458"/>
        <item m="1" x="1933"/>
        <item m="1" x="1658"/>
        <item m="1" x="775"/>
        <item m="1" x="459"/>
        <item m="1" x="129"/>
        <item m="1" x="219"/>
        <item m="1" x="2180"/>
        <item m="1" x="750"/>
        <item m="1" x="1044"/>
        <item m="1" x="661"/>
        <item m="1" x="663"/>
        <item m="1" x="809"/>
        <item m="1" x="130"/>
        <item m="1" x="585"/>
        <item m="1" x="1624"/>
        <item m="1" x="943"/>
        <item m="1" x="80"/>
        <item m="1" x="1817"/>
        <item m="1" x="2289"/>
        <item m="1" x="1997"/>
        <item m="1" x="960"/>
        <item m="1" x="665"/>
        <item m="1" x="505"/>
        <item m="1" x="2100"/>
        <item m="1" x="332"/>
        <item m="1" x="776"/>
        <item m="1" x="2290"/>
        <item m="1" x="2291"/>
        <item m="1" x="1169"/>
        <item m="1" x="1022"/>
        <item m="1" x="2101"/>
        <item m="1" x="2710"/>
        <item m="1" x="2292"/>
        <item m="1" x="182"/>
        <item m="1" x="48"/>
        <item m="1" x="2269"/>
        <item m="1" x="607"/>
        <item m="1" x="2388"/>
        <item m="1" x="252"/>
        <item m="1" x="2692"/>
        <item m="1" x="320"/>
        <item m="1" x="863"/>
        <item m="1" x="2293"/>
        <item m="1" x="1436"/>
        <item m="1" x="2102"/>
        <item m="1" x="376"/>
        <item m="1" x="2513"/>
        <item m="1" x="359"/>
        <item m="1" x="2147"/>
        <item m="1" x="2154"/>
        <item m="1" x="662"/>
        <item m="1" x="334"/>
        <item m="1" x="235"/>
        <item m="1" x="2103"/>
        <item m="1" x="76"/>
        <item m="1" x="1919"/>
        <item m="1" x="405"/>
        <item m="1" x="2534"/>
        <item m="1" x="2104"/>
        <item m="1" x="2294"/>
        <item m="1" x="1972"/>
        <item m="1" x="1228"/>
        <item m="1" x="1788"/>
        <item x="46"/>
        <item m="1" x="1189"/>
        <item m="1" x="462"/>
        <item m="1" x="1901"/>
        <item m="1" x="777"/>
        <item m="1" x="2592"/>
        <item m="1" x="335"/>
        <item m="1" x="2295"/>
        <item m="1" x="2296"/>
        <item m="1" x="612"/>
        <item m="1" x="1027"/>
        <item m="1" x="363"/>
        <item m="1" x="1750"/>
        <item m="1" x="1230"/>
        <item m="1" x="1799"/>
        <item m="1" x="1231"/>
        <item m="1" x="2297"/>
        <item m="1" x="1936"/>
        <item m="1" x="579"/>
        <item m="1" x="220"/>
        <item m="1" x="666"/>
        <item m="1" x="391"/>
        <item m="1" x="2724"/>
        <item m="1" x="2701"/>
        <item m="1" x="2656"/>
        <item m="1" x="778"/>
        <item m="1" x="1675"/>
        <item m="1" x="2298"/>
        <item m="1" x="53"/>
        <item m="1" x="1820"/>
        <item m="1" x="1232"/>
        <item m="1" x="1853"/>
        <item m="1" x="1469"/>
        <item m="1" x="61"/>
        <item m="1" x="1884"/>
        <item m="1" x="1941"/>
        <item m="1" x="623"/>
        <item m="1" x="2386"/>
        <item m="1" x="1263"/>
        <item m="1" x="1971"/>
        <item m="1" x="1039"/>
        <item m="1" x="1233"/>
        <item m="1" x="530"/>
        <item m="1" x="1892"/>
        <item m="1" x="2300"/>
        <item m="1" x="1165"/>
        <item m="1" x="1507"/>
        <item m="1" x="779"/>
        <item m="1" x="2645"/>
        <item m="1" x="2106"/>
        <item m="1" x="358"/>
        <item m="1" x="2301"/>
        <item m="1" x="1386"/>
        <item m="1" x="1822"/>
        <item m="1" x="1235"/>
        <item m="1" x="318"/>
        <item m="1" x="2302"/>
        <item m="1" x="1009"/>
        <item m="1" x="1108"/>
        <item m="1" x="2303"/>
        <item m="1" x="2304"/>
        <item m="1" x="1437"/>
        <item m="1" x="581"/>
        <item m="1" x="1100"/>
        <item m="1" x="1071"/>
        <item m="1" x="2305"/>
        <item m="1" x="370"/>
        <item m="1" x="1259"/>
        <item m="1" x="59"/>
        <item m="1" x="1683"/>
        <item m="1" x="336"/>
        <item m="1" x="60"/>
        <item m="1" x="337"/>
        <item m="1" x="2306"/>
        <item m="1" x="1245"/>
        <item m="1" x="2307"/>
        <item m="1" x="268"/>
        <item m="1" x="512"/>
        <item m="1" x="1177"/>
        <item m="1" x="868"/>
        <item m="1" x="667"/>
        <item m="1" x="1516"/>
        <item m="1" x="494"/>
        <item m="1" x="1238"/>
        <item m="1" x="388"/>
        <item m="1" x="283"/>
        <item m="1" x="104"/>
        <item m="1" x="1513"/>
        <item m="1" x="2107"/>
        <item m="1" x="1539"/>
        <item m="1" x="537"/>
        <item m="1" x="1752"/>
        <item m="1" x="101"/>
        <item m="1" x="195"/>
        <item m="1" x="338"/>
        <item m="1" x="668"/>
        <item m="1" x="1193"/>
        <item m="1" x="438"/>
        <item m="1" x="221"/>
        <item x="32"/>
        <item m="1" x="2309"/>
        <item m="1" x="2310"/>
        <item m="1" x="1679"/>
        <item m="1" x="2311"/>
        <item m="1" x="948"/>
        <item m="1" x="1928"/>
        <item m="1" x="1551"/>
        <item m="1" x="288"/>
        <item m="1" x="273"/>
        <item m="1" x="1711"/>
        <item m="1" x="185"/>
        <item m="1" x="1461"/>
        <item m="1" x="1239"/>
        <item m="1" x="1937"/>
        <item m="1" x="903"/>
        <item m="1" x="692"/>
        <item m="1" x="506"/>
        <item m="1" x="2312"/>
        <item m="1" x="2313"/>
        <item m="1" x="669"/>
        <item m="1" x="876"/>
        <item m="1" x="2314"/>
        <item m="1" x="1244"/>
        <item m="1" x="2108"/>
        <item m="1" x="1420"/>
        <item m="1" x="2315"/>
        <item m="1" x="1992"/>
        <item m="1" x="826"/>
        <item m="1" x="2567"/>
        <item m="1" x="774"/>
        <item m="1" x="75"/>
        <item m="1" x="1246"/>
        <item m="1" x="2317"/>
        <item m="1" x="2318"/>
        <item m="1" x="672"/>
        <item m="1" x="2319"/>
        <item m="1" x="1645"/>
        <item m="1" x="2017"/>
        <item m="1" x="1248"/>
        <item m="1" x="1249"/>
        <item m="1" x="781"/>
        <item m="1" x="1250"/>
        <item m="1" x="1060"/>
        <item m="1" x="671"/>
        <item m="1" x="1252"/>
        <item m="1" x="1880"/>
        <item m="1" x="1286"/>
        <item x="6"/>
        <item m="1" x="348"/>
        <item m="1" x="2320"/>
        <item m="1" x="1243"/>
        <item m="1" x="354"/>
        <item m="1" x="2179"/>
        <item m="1" x="2321"/>
        <item m="1" x="1440"/>
        <item m="1" x="884"/>
        <item m="1" x="629"/>
        <item m="1" x="2152"/>
        <item m="1" x="764"/>
        <item m="1" x="782"/>
        <item m="1" x="2322"/>
        <item m="1" x="783"/>
        <item m="1" x="1371"/>
        <item m="1" x="2323"/>
        <item m="1" x="971"/>
        <item m="1" x="1304"/>
        <item m="1" x="2324"/>
        <item m="1" x="1921"/>
        <item m="1" x="368"/>
        <item m="1" x="279"/>
        <item m="1" x="57"/>
        <item m="1" x="2325"/>
        <item m="1" x="240"/>
        <item m="1" x="286"/>
        <item m="1" x="1589"/>
        <item m="1" x="1271"/>
        <item m="1" x="294"/>
        <item m="1" x="549"/>
        <item m="1" x="784"/>
        <item m="1" x="1602"/>
        <item m="1" x="2326"/>
        <item m="1" x="1546"/>
        <item m="1" x="1487"/>
        <item m="1" x="1419"/>
        <item m="1" x="281"/>
        <item m="1" x="566"/>
        <item m="1" x="341"/>
        <item m="1" x="2554"/>
        <item m="1" x="1740"/>
        <item m="1" x="460"/>
        <item m="1" x="1897"/>
        <item m="1" x="1255"/>
        <item m="1" x="785"/>
        <item m="1" x="786"/>
        <item m="1" x="2598"/>
        <item m="1" x="477"/>
        <item m="1" x="1753"/>
        <item m="1" x="2056"/>
        <item m="1" x="417"/>
        <item x="4"/>
        <item m="1" x="2075"/>
        <item m="1" x="1093"/>
        <item sd="0" m="1" x="2737"/>
        <item m="1" x="590"/>
        <item m="1" x="2707"/>
        <item m="1" x="1057"/>
        <item m="1" x="599"/>
        <item m="1" x="1654"/>
        <item m="1" x="1257"/>
        <item m="1" x="788"/>
        <item m="1" x="1754"/>
        <item m="1" x="536"/>
        <item m="1" x="1258"/>
        <item m="1" x="2327"/>
        <item m="1" x="789"/>
        <item m="1" x="567"/>
        <item m="1" x="2328"/>
        <item m="1" x="2329"/>
        <item m="1" x="439"/>
        <item m="1" x="406"/>
        <item m="1" x="269"/>
        <item m="1" x="1208"/>
        <item m="1" x="1261"/>
        <item m="1" x="1262"/>
        <item m="1" x="592"/>
        <item m="1" x="1522"/>
        <item m="1" x="791"/>
        <item m="1" x="1614"/>
        <item m="1" x="1871"/>
        <item m="1" x="2109"/>
        <item m="1" x="1825"/>
        <item m="1" x="559"/>
        <item m="1" x="1591"/>
        <item m="1" x="580"/>
        <item m="1" x="1369"/>
        <item m="1" x="548"/>
        <item m="1" x="1192"/>
        <item sd="0" m="1" x="2105"/>
        <item m="1" x="1256"/>
        <item m="1" x="673"/>
        <item m="1" x="899"/>
        <item m="1" x="1264"/>
        <item m="1" x="1265"/>
        <item m="1" x="1824"/>
        <item m="1" x="2110"/>
        <item x="8"/>
        <item m="1" x="511"/>
        <item m="1" x="546"/>
        <item m="1" x="64"/>
        <item m="1" x="1201"/>
        <item m="1" x="1266"/>
        <item m="1" x="792"/>
        <item m="1" x="1982"/>
        <item x="44"/>
        <item m="1" x="1577"/>
        <item m="1" x="1613"/>
        <item m="1" x="2330"/>
        <item m="1" x="793"/>
        <item m="1" x="2464"/>
        <item m="1" x="2084"/>
        <item m="1" x="794"/>
        <item m="1" x="583"/>
        <item m="1" x="1433"/>
        <item m="1" x="1640"/>
        <item m="1" x="2614"/>
        <item m="1" x="503"/>
        <item m="1" x="1267"/>
        <item m="1" x="1036"/>
        <item m="1" x="1302"/>
        <item m="1" x="1225"/>
        <item m="1" x="404"/>
        <item m="1" x="1251"/>
        <item m="1" x="2013"/>
        <item m="1" x="510"/>
        <item m="1" x="555"/>
        <item m="1" x="1671"/>
        <item m="1" x="1906"/>
        <item m="1" x="2111"/>
        <item m="1" x="1125"/>
        <item m="1" x="461"/>
        <item m="1" x="1351"/>
        <item m="1" x="518"/>
        <item m="1" x="2331"/>
        <item m="1" x="1368"/>
        <item m="1" x="222"/>
        <item m="1" x="2332"/>
        <item m="1" x="795"/>
        <item m="1" x="674"/>
        <item m="1" x="1132"/>
        <item m="1" x="584"/>
        <item m="1" x="1826"/>
        <item m="1" x="2605"/>
        <item m="1" x="1317"/>
        <item m="1" x="1980"/>
        <item m="1" x="1939"/>
        <item m="1" x="1272"/>
        <item m="1" x="675"/>
        <item m="1" x="676"/>
        <item m="1" x="1951"/>
        <item m="1" x="2625"/>
        <item x="13"/>
        <item m="1" x="1474"/>
        <item m="1" x="2333"/>
        <item m="1" x="1277"/>
        <item m="1" x="1572"/>
        <item m="1" x="1278"/>
        <item m="1" x="2334"/>
        <item m="1" x="2335"/>
        <item m="1" x="1784"/>
        <item m="1" x="300"/>
        <item m="1" x="1723"/>
        <item m="1" x="1279"/>
        <item m="1" x="1410"/>
        <item m="1" x="152"/>
        <item m="1" x="1594"/>
        <item m="1" x="277"/>
        <item m="1" x="1074"/>
        <item m="1" x="132"/>
        <item m="1" x="1934"/>
        <item m="1" x="236"/>
        <item m="1" x="1283"/>
        <item m="1" x="2337"/>
        <item m="1" x="426"/>
        <item m="1" x="1606"/>
        <item m="1" x="1966"/>
        <item m="1" x="2391"/>
        <item m="1" x="2338"/>
        <item m="1" x="1354"/>
        <item m="1" x="1463"/>
        <item m="1" x="2340"/>
        <item m="1" x="657"/>
        <item m="1" x="2668"/>
        <item m="1" x="906"/>
        <item m="1" x="2341"/>
        <item sd="0" m="1" x="2739"/>
        <item x="45"/>
        <item m="1" x="463"/>
        <item m="1" x="924"/>
        <item m="1" x="1925"/>
        <item m="1" x="2342"/>
        <item m="1" x="2343"/>
        <item m="1" x="2344"/>
        <item m="1" x="963"/>
        <item m="1" x="2033"/>
        <item m="1" x="2346"/>
        <item sd="0" m="1" x="2223"/>
        <item m="1" x="2715"/>
        <item m="1" x="2613"/>
        <item m="1" x="677"/>
        <item m="1" x="1598"/>
        <item m="1" x="2021"/>
        <item m="1" x="2347"/>
        <item m="1" x="2348"/>
        <item m="1" x="1297"/>
        <item m="1" x="343"/>
        <item m="1" x="2551"/>
        <item m="1" x="353"/>
        <item m="1" x="1964"/>
        <item m="1" x="441"/>
        <item m="1" x="2050"/>
        <item m="1" x="901"/>
        <item m="1" x="1499"/>
        <item m="1" x="450"/>
        <item m="1" x="2654"/>
        <item m="1" x="1646"/>
        <item m="1" x="2466"/>
        <item m="1" x="1860"/>
        <item m="1" x="1299"/>
        <item m="1" x="2028"/>
        <item m="1" x="904"/>
        <item m="1" x="2350"/>
        <item m="1" x="135"/>
        <item m="1" x="2336"/>
        <item m="1" x="2349"/>
        <item m="1" x="2582"/>
        <item m="1" x="234"/>
        <item m="1" x="1524"/>
        <item m="1" x="1414"/>
        <item m="1" x="1301"/>
        <item m="1" x="133"/>
        <item m="1" x="507"/>
        <item m="1" x="527"/>
        <item m="1" x="2112"/>
        <item m="1" x="214"/>
        <item m="1" x="213"/>
        <item m="1" x="1999"/>
        <item m="1" x="2352"/>
        <item m="1" x="1185"/>
        <item m="1" x="74"/>
        <item m="1" x="1311"/>
        <item m="1" x="2607"/>
        <item m="1" x="2151"/>
        <item m="1" x="1755"/>
        <item m="1" x="184"/>
        <item m="1" x="525"/>
        <item m="1" x="1312"/>
        <item m="1" x="1313"/>
        <item m="1" x="543"/>
        <item m="1" x="495"/>
        <item m="1" x="2008"/>
        <item m="1" x="1855"/>
        <item m="1" x="944"/>
        <item m="1" x="1081"/>
        <item m="1" x="223"/>
        <item m="1" x="2353"/>
        <item m="1" x="138"/>
        <item m="1" x="139"/>
        <item m="1" x="73"/>
        <item m="1" x="1007"/>
        <item m="1" x="2354"/>
        <item m="1" x="898"/>
        <item m="1" x="1756"/>
        <item m="1" x="2355"/>
        <item m="1" x="2356"/>
        <item m="1" x="1970"/>
        <item m="1" x="1985"/>
        <item m="1" x="1381"/>
        <item m="1" x="345"/>
        <item m="1" x="797"/>
        <item m="1" x="678"/>
        <item m="1" x="2358"/>
        <item m="1" x="2496"/>
        <item m="1" x="346"/>
        <item m="1" x="2661"/>
        <item m="1" x="237"/>
        <item m="1" x="1628"/>
        <item m="1" x="2359"/>
        <item m="1" x="140"/>
        <item m="1" x="1647"/>
        <item m="1" x="1316"/>
        <item m="1" x="1655"/>
        <item m="1" x="1632"/>
        <item m="1" x="1553"/>
        <item m="1" x="1942"/>
        <item m="1" x="1917"/>
        <item m="1" x="2683"/>
        <item m="1" x="836"/>
        <item m="1" x="2360"/>
        <item m="1" x="1949"/>
        <item m="1" x="712"/>
        <item m="1" x="2113"/>
        <item m="1" x="1285"/>
        <item m="1" x="271"/>
        <item m="1" x="1319"/>
        <item m="1" x="1011"/>
        <item m="1" x="2361"/>
        <item m="1" x="1357"/>
        <item m="1" x="349"/>
        <item m="1" x="2051"/>
        <item x="3"/>
        <item m="1" x="1963"/>
        <item m="1" x="619"/>
        <item m="1" x="2362"/>
        <item m="1" x="877"/>
        <item m="1" x="1893"/>
        <item m="1" x="1827"/>
        <item sd="0" m="1" x="245"/>
        <item m="1" x="996"/>
        <item m="1" x="384"/>
        <item m="1" x="2363"/>
        <item m="1" x="980"/>
        <item m="1" x="1548"/>
        <item m="1" x="2720"/>
        <item m="1" x="949"/>
        <item m="1" x="1102"/>
        <item m="1" x="689"/>
        <item m="1" x="639"/>
        <item m="1" x="1639"/>
        <item m="1" x="1321"/>
        <item m="1" x="1322"/>
        <item m="1" x="2366"/>
        <item m="1" x="528"/>
        <item m="1" x="1973"/>
        <item m="1" x="2553"/>
        <item m="1" x="2590"/>
        <item m="1" x="2583"/>
        <item m="1" x="342"/>
        <item m="1" x="1323"/>
        <item m="1" x="2052"/>
        <item m="1" x="1523"/>
        <item m="1" x="1786"/>
        <item m="1" x="1641"/>
        <item m="1" x="1829"/>
        <item m="1" x="681"/>
        <item m="1" x="350"/>
        <item m="1" x="2711"/>
        <item m="1" x="1324"/>
        <item m="1" x="390"/>
        <item m="1" x="1725"/>
        <item m="1" x="780"/>
        <item m="1" x="2621"/>
        <item m="1" x="955"/>
        <item m="1" x="1924"/>
        <item m="1" x="1950"/>
        <item m="1" x="787"/>
        <item sd="0" x="15"/>
        <item m="1" x="798"/>
        <item m="1" x="323"/>
        <item m="1" x="2364"/>
        <item m="1" x="973"/>
        <item m="1" x="142"/>
        <item m="1" x="2365"/>
        <item m="1" x="82"/>
        <item m="1" x="1372"/>
        <item m="1" x="1987"/>
        <item m="1" x="1831"/>
        <item m="1" x="1198"/>
        <item m="1" x="916"/>
        <item m="1" x="2685"/>
        <item m="1" x="1953"/>
        <item m="1" x="2703"/>
        <item m="1" x="682"/>
        <item m="1" x="264"/>
        <item m="1" x="2367"/>
        <item m="1" x="524"/>
        <item m="1" x="1328"/>
        <item m="1" x="1389"/>
        <item m="1" x="2369"/>
        <item m="1" x="1758"/>
        <item m="1" x="1821"/>
        <item m="1" x="965"/>
        <item m="1" x="1334"/>
        <item m="1" x="544"/>
        <item m="1" x="2053"/>
        <item m="1" x="2655"/>
        <item m="1" x="1807"/>
        <item m="1" x="2114"/>
        <item m="1" x="1345"/>
        <item m="1" x="2467"/>
        <item m="1" x="2370"/>
        <item m="1" x="964"/>
        <item m="1" x="209"/>
        <item m="1" x="2628"/>
        <item m="1" x="1588"/>
        <item m="1" x="1908"/>
        <item m="1" x="1385"/>
        <item m="1" x="1759"/>
        <item m="1" x="51"/>
        <item m="1" x="2371"/>
        <item m="1" x="1275"/>
        <item sd="0" m="1" x="2677"/>
        <item m="1" x="987"/>
        <item m="1" x="2010"/>
        <item m="1" x="683"/>
        <item m="1" x="1760"/>
        <item m="1" x="2373"/>
        <item m="1" x="864"/>
        <item m="1" x="2054"/>
        <item m="1" x="1945"/>
        <item m="1" x="684"/>
        <item m="1" x="572"/>
        <item m="1" x="145"/>
        <item m="1" x="479"/>
        <item m="1" x="1188"/>
        <item m="1" x="799"/>
        <item m="1" x="1833"/>
        <item m="1" x="2375"/>
        <item m="1" x="1761"/>
        <item m="1" x="1883"/>
        <item m="1" x="1048"/>
        <item m="1" x="2568"/>
        <item m="1" x="1891"/>
        <item m="1" x="2376"/>
        <item m="1" x="1716"/>
        <item m="1" x="1642"/>
        <item m="1" x="2377"/>
        <item m="1" x="2432"/>
        <item m="1" x="1542"/>
        <item m="1" x="2691"/>
        <item m="1" x="1370"/>
        <item m="1" x="1133"/>
        <item m="1" x="1636"/>
        <item m="1" x="1815"/>
        <item m="1" x="2665"/>
        <item m="1" x="1320"/>
        <item m="1" x="1447"/>
        <item m="1" x="466"/>
        <item m="1" x="1431"/>
        <item m="1" x="481"/>
        <item m="1" x="1307"/>
        <item m="1" x="1527"/>
        <item m="1" x="1077"/>
        <item m="1" x="297"/>
        <item m="1" x="2006"/>
        <item m="1" x="147"/>
        <item m="1" x="2378"/>
        <item m="1" x="1199"/>
        <item m="1" x="1452"/>
        <item m="1" x="999"/>
        <item m="1" x="2379"/>
        <item m="1" x="113"/>
        <item m="1" x="355"/>
        <item m="1" x="1196"/>
        <item m="1" x="1075"/>
        <item m="1" x="831"/>
        <item m="1" x="802"/>
        <item m="1" x="1202"/>
        <item m="1" x="2055"/>
        <item m="1" x="1536"/>
        <item m="1" x="568"/>
        <item m="1" x="1038"/>
        <item m="1" x="2025"/>
        <item m="1" x="317"/>
        <item m="1" x="1157"/>
        <item m="1" x="154"/>
        <item m="1" x="1300"/>
        <item m="1" x="1485"/>
        <item m="1" x="975"/>
        <item m="1" x="2555"/>
        <item m="1" x="2393"/>
        <item m="1" x="687"/>
        <item m="1" x="293"/>
        <item m="1" x="262"/>
        <item m="1" x="2673"/>
        <item m="1" x="1068"/>
        <item m="1" x="2394"/>
        <item m="1" x="2604"/>
        <item m="1" x="1059"/>
        <item m="1" x="2626"/>
        <item m="1" x="976"/>
        <item m="1" x="2620"/>
        <item m="1" x="1926"/>
        <item m="1" x="2395"/>
        <item m="1" x="2396"/>
        <item m="1" x="224"/>
        <item m="1" x="263"/>
        <item m="1" x="1530"/>
        <item m="1" x="1692"/>
        <item m="1" x="1227"/>
        <item m="1" x="83"/>
        <item m="1" x="2629"/>
        <item m="1" x="2397"/>
        <item m="1" x="2595"/>
        <item m="1" x="1427"/>
        <item m="1" x="1920"/>
        <item m="1" x="808"/>
        <item m="1" x="1428"/>
        <item m="1" x="810"/>
        <item m="1" x="2116"/>
        <item m="1" x="225"/>
        <item m="1" x="2398"/>
        <item m="1" x="1429"/>
        <item m="1" x="2399"/>
        <item m="1" x="688"/>
        <item m="1" x="377"/>
        <item m="1" x="2400"/>
        <item m="1" x="1430"/>
        <item m="1" x="1637"/>
        <item m="1" x="1488"/>
        <item m="1" x="1432"/>
        <item m="1" x="2401"/>
        <item m="1" x="2402"/>
        <item m="1" x="247"/>
        <item m="1" x="480"/>
        <item m="1" x="2623"/>
        <item m="1" x="1765"/>
        <item m="1" x="1518"/>
        <item m="1" x="957"/>
        <item m="1" x="2403"/>
        <item m="1" x="885"/>
        <item m="1" x="2405"/>
        <item m="1" x="2082"/>
        <item m="1" x="2060"/>
        <item m="1" x="467"/>
        <item m="1" x="1373"/>
        <item m="1" x="2406"/>
        <item m="1" x="1837"/>
        <item m="1" x="912"/>
        <item m="1" x="1576"/>
        <item m="1" x="1394"/>
        <item m="1" x="1448"/>
        <item m="1" x="1422"/>
        <item m="1" x="889"/>
        <item m="1" x="1449"/>
        <item m="1" x="1159"/>
        <item m="1" x="66"/>
        <item m="1" x="1894"/>
        <item m="1" x="314"/>
        <item m="1" x="163"/>
        <item m="1" x="1451"/>
        <item m="1" x="2491"/>
        <item m="1" x="381"/>
        <item m="1" x="2407"/>
        <item m="1" x="2408"/>
        <item m="1" x="2410"/>
        <item m="1" x="2675"/>
        <item m="1" x="1751"/>
        <item m="1" x="2409"/>
        <item m="1" x="382"/>
        <item m="1" x="1483"/>
        <item m="1" x="246"/>
        <item m="1" x="1454"/>
        <item m="1" x="1766"/>
        <item m="1" x="55"/>
        <item m="1" x="468"/>
        <item m="1" x="1220"/>
        <item m="1" x="395"/>
        <item m="1" x="1206"/>
        <item sd="0" m="1" x="2727"/>
        <item m="1" x="308"/>
        <item m="1" x="1910"/>
        <item m="1" x="1457"/>
        <item m="1" x="1456"/>
        <item m="1" x="1458"/>
        <item m="1" x="624"/>
        <item m="1" x="1444"/>
        <item m="1" x="1787"/>
        <item m="1" x="2566"/>
        <item m="1" x="2411"/>
        <item m="1" x="367"/>
        <item m="1" x="2412"/>
        <item m="1" x="289"/>
        <item m="1" x="2413"/>
        <item m="1" x="1543"/>
        <item m="1" x="2414"/>
        <item m="1" x="1722"/>
        <item m="1" x="170"/>
        <item m="1" x="2404"/>
        <item m="1" x="160"/>
        <item m="1" x="1392"/>
        <item m="1" x="2693"/>
        <item m="1" x="2556"/>
        <item m="1" x="2415"/>
        <item m="1" x="733"/>
        <item m="1" x="1656"/>
        <item x="14"/>
        <item m="1" x="1912"/>
        <item m="1" x="1528"/>
        <item m="1" x="1284"/>
        <item m="1" x="165"/>
        <item m="1" x="2270"/>
        <item m="1" x="1914"/>
        <item m="1" x="2653"/>
        <item m="1" x="2118"/>
        <item m="1" x="1390"/>
        <item m="1" x="2034"/>
        <item m="1" x="816"/>
        <item m="1" x="166"/>
        <item m="1" x="1281"/>
        <item m="1" x="1395"/>
        <item m="1" x="1471"/>
        <item m="1" x="144"/>
        <item m="1" x="2019"/>
        <item m="1" x="586"/>
        <item m="1" x="2602"/>
        <item m="1" x="2417"/>
        <item m="1" x="2418"/>
        <item m="1" x="817"/>
        <item m="1" x="2636"/>
        <item m="1" x="1409"/>
        <item m="1" x="1472"/>
        <item m="1" x="690"/>
        <item m="1" x="1473"/>
        <item m="1" x="2419"/>
        <item m="1" x="2420"/>
        <item m="1" x="915"/>
        <item m="1" x="2421"/>
        <item m="1" x="2709"/>
        <item m="1" x="2422"/>
        <item m="1" x="2423"/>
        <item m="1" x="2260"/>
        <item m="1" x="862"/>
        <item m="1" x="2684"/>
        <item m="1" x="882"/>
        <item m="1" x="2424"/>
        <item m="1" x="1882"/>
        <item m="1" x="1347"/>
        <item m="1" x="691"/>
        <item m="1" x="2690"/>
        <item m="1" x="351"/>
        <item m="1" x="2139"/>
        <item m="1" x="2469"/>
        <item m="1" x="1034"/>
        <item m="1" x="501"/>
        <item m="1" x="818"/>
        <item m="1" x="819"/>
        <item m="1" x="914"/>
        <item m="1" x="63"/>
        <item m="1" x="2119"/>
        <item m="1" x="656"/>
        <item m="1" x="2425"/>
        <item m="1" x="149"/>
        <item m="1" x="387"/>
        <item m="1" x="557"/>
        <item m="1" x="1785"/>
        <item m="1" x="2061"/>
        <item m="1" x="440"/>
        <item m="1" x="2099"/>
        <item m="1" x="2426"/>
        <item m="1" x="995"/>
        <item m="1" x="1767"/>
        <item m="1" x="991"/>
        <item m="1" x="386"/>
        <item m="1" x="434"/>
        <item m="1" x="2428"/>
        <item m="1" x="2120"/>
        <item m="1" x="820"/>
        <item m="1" x="1994"/>
        <item m="1" x="487"/>
        <item m="1" x="95"/>
        <item m="1" x="482"/>
        <item m="1" x="87"/>
        <item m="1" x="1938"/>
        <item m="1" x="2062"/>
        <item m="1" x="371"/>
        <item m="1" x="210"/>
        <item m="1" x="2671"/>
        <item m="1" x="312"/>
        <item m="1" x="1923"/>
        <item m="1" x="120"/>
        <item m="1" x="2429"/>
        <item m="1" x="966"/>
        <item m="1" x="821"/>
        <item m="1" x="2068"/>
        <item m="1" x="1489"/>
        <item m="1" x="1490"/>
        <item m="1" x="1491"/>
        <item m="1" x="2430"/>
        <item m="1" x="1684"/>
        <item m="1" x="1379"/>
        <item m="1" x="1730"/>
        <item m="1" x="1800"/>
        <item m="1" x="162"/>
        <item m="1" x="1314"/>
        <item m="1" x="694"/>
        <item m="1" x="1493"/>
        <item m="1" x="1435"/>
        <item m="1" x="611"/>
        <item m="1" x="1018"/>
        <item m="1" x="2384"/>
        <item m="1" x="2616"/>
        <item m="1" x="2561"/>
        <item m="1" x="1290"/>
        <item m="1" x="1156"/>
        <item m="1" x="401"/>
        <item m="1" x="2142"/>
        <item m="1" x="383"/>
        <item m="1" x="2433"/>
        <item m="1" x="380"/>
        <item m="1" x="2434"/>
        <item m="1" x="1986"/>
        <item m="1" x="695"/>
        <item m="1" x="1688"/>
        <item m="1" x="907"/>
        <item m="1" x="2387"/>
        <item m="1" x="310"/>
        <item m="1" x="168"/>
        <item m="1" x="954"/>
        <item m="1" x="1342"/>
        <item m="1" x="328"/>
        <item m="1" x="822"/>
        <item m="1" x="403"/>
        <item m="1" x="1486"/>
        <item m="1" x="339"/>
        <item m="1" x="823"/>
        <item m="1" x="2435"/>
        <item m="1" x="502"/>
        <item m="1" x="565"/>
        <item m="1" x="1501"/>
        <item m="1" x="1023"/>
        <item m="1" x="2436"/>
        <item sd="0" m="1" x="2733"/>
        <item m="1" x="1217"/>
        <item m="1" x="800"/>
        <item m="1" x="1467"/>
        <item m="1" x="389"/>
        <item m="1" x="2063"/>
        <item m="1" x="2437"/>
        <item m="1" x="1064"/>
        <item m="1" x="853"/>
        <item m="1" x="936"/>
        <item m="1" x="1596"/>
        <item m="1" x="1502"/>
        <item m="1" x="2438"/>
        <item m="1" x="2129"/>
        <item m="1" x="174"/>
        <item m="1" x="2064"/>
        <item m="1" x="161"/>
        <item m="1" x="931"/>
        <item m="1" x="2584"/>
        <item m="1" x="923"/>
        <item m="1" x="2439"/>
        <item m="1" x="227"/>
        <item m="1" x="1517"/>
        <item m="1" x="2440"/>
        <item x="25"/>
        <item m="1" x="392"/>
        <item m="1" x="824"/>
        <item m="1" x="886"/>
        <item m="1" x="1396"/>
        <item m="1" x="1480"/>
        <item m="1" x="2065"/>
        <item m="1" x="1680"/>
        <item m="1" x="1511"/>
        <item m="1" x="393"/>
        <item m="1" x="2441"/>
        <item m="1" x="1792"/>
        <item m="1" x="172"/>
        <item m="1" x="1967"/>
        <item m="1" x="1512"/>
        <item m="1" x="825"/>
        <item m="1" x="71"/>
        <item m="1" x="1944"/>
        <item m="1" x="2594"/>
        <item m="1" x="2382"/>
        <item m="1" x="1665"/>
        <item m="1" x="2442"/>
        <item m="1" x="375"/>
        <item m="1" x="985"/>
        <item m="1" x="257"/>
        <item m="1" x="1119"/>
        <item m="1" x="2443"/>
        <item m="1" x="721"/>
        <item m="1" x="2444"/>
        <item m="1" x="1376"/>
        <item m="1" x="670"/>
        <item m="1" x="1768"/>
        <item m="1" x="2445"/>
        <item m="1" x="1943"/>
        <item m="1" x="67"/>
        <item m="1" x="1222"/>
        <item m="1" x="2070"/>
        <item m="1" x="180"/>
        <item m="1" x="124"/>
        <item m="1" x="1968"/>
        <item m="1" x="396"/>
        <item m="1" x="1525"/>
        <item m="1" x="1295"/>
        <item m="1" x="340"/>
        <item m="1" x="2447"/>
        <item m="1" x="422"/>
        <item m="1" x="2448"/>
        <item m="1" x="563"/>
        <item m="1" x="893"/>
        <item m="1" x="894"/>
        <item m="1" x="696"/>
        <item m="1" x="2450"/>
        <item m="1" x="1066"/>
        <item m="1" x="2066"/>
        <item m="1" x="2646"/>
        <item m="1" x="2570"/>
        <item m="1" x="1443"/>
        <item m="1" x="226"/>
        <item m="1" x="157"/>
        <item m="1" x="1383"/>
        <item m="1" x="940"/>
        <item m="1" x="2014"/>
        <item m="1" x="697"/>
        <item m="1" x="698"/>
        <item m="1" x="587"/>
        <item m="1" x="2451"/>
        <item m="1" x="1580"/>
        <item m="1" x="2532"/>
        <item m="1" x="253"/>
        <item m="1" x="1814"/>
        <item m="1" x="1118"/>
        <item m="1" x="1180"/>
        <item m="1" x="827"/>
        <item m="1" x="2121"/>
        <item m="1" x="1619"/>
        <item m="1" x="1035"/>
        <item m="1" x="2723"/>
        <item m="1" x="2639"/>
        <item m="1" x="2009"/>
        <item m="1" x="119"/>
        <item m="1" x="1534"/>
        <item m="1" x="2452"/>
        <item m="1" x="1291"/>
        <item m="1" x="398"/>
        <item m="1" x="1728"/>
        <item m="1" x="2316"/>
        <item m="1" x="1560"/>
        <item m="1" x="2619"/>
        <item m="1" x="469"/>
        <item m="1" x="1769"/>
        <item m="1" x="1889"/>
        <item m="1" x="699"/>
        <item sd="0" m="1" x="2732"/>
        <item m="1" x="569"/>
        <item m="1" x="803"/>
        <item x="17"/>
        <item m="1" x="2453"/>
        <item m="1" x="1995"/>
        <item m="1" x="2454"/>
        <item m="1" x="1296"/>
        <item m="1" x="1866"/>
        <item m="1" x="1731"/>
        <item m="1" x="1537"/>
        <item m="1" x="1609"/>
        <item m="1" x="2574"/>
        <item m="1" x="1538"/>
        <item m="1" x="483"/>
        <item m="1" x="1603"/>
        <item m="1" x="178"/>
        <item m="1" x="1791"/>
        <item m="1" x="1840"/>
        <item m="1" x="958"/>
        <item m="1" x="402"/>
        <item m="1" x="258"/>
        <item sd="0" m="1" x="2725"/>
        <item m="1" x="1033"/>
        <item m="1" x="1798"/>
        <item m="1" x="1013"/>
        <item m="1" x="186"/>
        <item m="1" x="1916"/>
        <item m="1" x="968"/>
        <item m="1" x="2599"/>
        <item m="1" x="2140"/>
        <item m="1" x="796"/>
        <item m="1" x="1540"/>
        <item m="1" x="1541"/>
        <item m="1" x="701"/>
        <item m="1" x="1856"/>
        <item m="1" x="897"/>
        <item m="1" x="1857"/>
        <item m="1" x="2455"/>
        <item m="1" x="2660"/>
        <item m="1" x="1115"/>
        <item m="1" x="2471"/>
        <item m="1" x="1896"/>
        <item m="1" x="680"/>
        <item m="1" x="705"/>
        <item m="1" x="446"/>
        <item m="1" x="1350"/>
        <item m="1" x="600"/>
        <item m="1" x="1001"/>
        <item m="1" x="702"/>
        <item m="1" x="1545"/>
        <item x="2"/>
        <item m="1" x="531"/>
        <item m="1" x="634"/>
        <item m="1" x="814"/>
        <item m="1" x="556"/>
        <item x="21"/>
        <item m="1" x="2679"/>
        <item sd="0" m="1" x="1190"/>
        <item m="1" x="1823"/>
        <item m="1" x="790"/>
        <item m="1" x="2696"/>
        <item m="1" x="1127"/>
        <item m="1" x="845"/>
        <item m="1" x="347"/>
        <item m="1" x="1559"/>
        <item m="1" x="1116"/>
        <item m="1" x="1839"/>
        <item m="1" x="1721"/>
        <item m="1" x="1144"/>
        <item m="1" x="1107"/>
        <item m="1" x="888"/>
        <item m="1" x="1332"/>
        <item m="1" x="1845"/>
        <item sd="0" m="1" x="522"/>
        <item m="1" x="1714"/>
        <item m="1" x="1841"/>
        <item m="1" x="627"/>
        <item m="1" x="409"/>
        <item m="1" x="1040"/>
        <item m="1" x="1862"/>
        <item m="1" x="1969"/>
        <item m="1" x="379"/>
        <item m="1" x="1988"/>
        <item m="1" x="703"/>
        <item m="1" x="187"/>
        <item m="1" x="470"/>
        <item m="1" x="2122"/>
        <item m="1" x="1838"/>
        <item m="1" x="1564"/>
        <item m="1" x="198"/>
        <item x="39"/>
        <item m="1" x="913"/>
        <item m="1" x="1867"/>
        <item m="1" x="2458"/>
        <item m="1" x="1529"/>
        <item m="1" x="2459"/>
        <item m="1" x="2460"/>
        <item m="1" x="2462"/>
        <item m="1" x="830"/>
        <item m="1" x="704"/>
        <item m="1" x="2609"/>
        <item m="1" x="305"/>
        <item m="1" x="953"/>
        <item m="1" x="977"/>
        <item m="1" x="2463"/>
        <item m="1" x="2591"/>
        <item m="1" x="2299"/>
        <item m="1" x="189"/>
        <item m="1" x="2381"/>
        <item m="1" x="2662"/>
        <item m="1" x="228"/>
        <item m="1" x="2457"/>
        <item m="1" x="2032"/>
        <item m="1" x="961"/>
        <item m="1" x="1610"/>
        <item m="1" x="229"/>
        <item m="1" x="1772"/>
        <item m="1" x="1567"/>
        <item m="1" x="362"/>
        <item m="1" x="1029"/>
        <item m="1" x="829"/>
        <item m="1" x="1582"/>
        <item m="1" x="447"/>
        <item m="1" x="1150"/>
        <item sd="0" m="1" x="2736"/>
        <item m="1" x="1178"/>
        <item m="1" x="1514"/>
        <item m="1" x="1583"/>
        <item m="1" x="1584"/>
        <item m="1" x="1134"/>
        <item m="1" x="707"/>
        <item m="1" x="1561"/>
        <item m="1" x="2472"/>
        <item m="1" x="2011"/>
        <item m="1" x="1585"/>
        <item m="1" x="1338"/>
        <item m="1" x="909"/>
        <item m="1" x="700"/>
        <item m="1" x="77"/>
        <item m="1" x="2562"/>
        <item m="1" x="1586"/>
        <item m="1" x="2473"/>
        <item m="1" x="1685"/>
        <item m="1" x="564"/>
        <item m="1" x="1110"/>
        <item x="30"/>
        <item m="1" x="2474"/>
        <item m="1" x="2576"/>
        <item m="1" x="2610"/>
        <item m="1" x="1696"/>
        <item m="1" x="1051"/>
        <item m="1" x="2475"/>
        <item m="1" x="2476"/>
        <item m="1" x="1629"/>
        <item m="1" x="2477"/>
        <item m="1" x="1922"/>
        <item m="1" x="2479"/>
        <item m="1" x="2478"/>
        <item m="1" x="1676"/>
        <item m="1" x="1965"/>
        <item m="1" x="2695"/>
        <item m="1" x="496"/>
        <item m="1" x="1990"/>
        <item m="1" x="2689"/>
        <item m="1" x="1590"/>
        <item m="1" x="1155"/>
        <item m="1" x="881"/>
        <item m="1" x="2480"/>
        <item x="11"/>
        <item m="1" x="1960"/>
        <item m="1" x="2481"/>
        <item m="1" x="520"/>
        <item m="1" x="1028"/>
        <item m="1" x="352"/>
        <item m="1" x="2482"/>
        <item m="1" x="504"/>
        <item m="1" x="1496"/>
        <item m="1" x="928"/>
        <item m="1" x="2468"/>
        <item m="1" x="1024"/>
        <item m="1" x="1854"/>
        <item m="1" x="2483"/>
        <item m="1" x="1593"/>
        <item m="1" x="2680"/>
        <item m="1" x="1061"/>
        <item m="1" x="243"/>
        <item m="1" x="191"/>
        <item m="1" x="1579"/>
        <item m="1" x="1595"/>
        <item m="1" x="192"/>
        <item m="1" x="298"/>
        <item m="1" x="1601"/>
        <item m="1" x="962"/>
        <item m="1" x="2485"/>
        <item m="1" x="2124"/>
        <item m="1" x="1421"/>
        <item m="1" x="2005"/>
        <item m="1" x="1648"/>
        <item m="1" x="2125"/>
        <item m="1" x="1184"/>
        <item m="1" x="2676"/>
        <item m="1" x="1604"/>
        <item m="1" x="1558"/>
        <item m="1" x="194"/>
        <item m="1" x="2126"/>
        <item m="1" x="307"/>
        <item m="1" x="588"/>
        <item m="1" x="1168"/>
        <item m="1" x="193"/>
        <item m="1" x="972"/>
        <item m="1" x="413"/>
        <item m="1" x="414"/>
        <item m="1" x="415"/>
        <item m="1" x="169"/>
        <item m="1" x="416"/>
        <item m="1" x="1445"/>
        <item m="1" x="833"/>
        <item m="1" x="2486"/>
        <item m="1" x="1570"/>
        <item m="1" x="855"/>
        <item m="1" x="1533"/>
        <item m="1" x="2487"/>
        <item m="1" x="1842"/>
        <item m="1" x="1773"/>
        <item m="1" x="2488"/>
        <item m="1" x="1563"/>
        <item m="1" x="902"/>
        <item m="1" x="435"/>
        <item m="1" x="860"/>
        <item m="1" x="1121"/>
        <item m="1" x="708"/>
        <item m="1" x="2490"/>
        <item m="1" x="542"/>
        <item m="1" x="1607"/>
        <item m="1" x="1608"/>
        <item m="1" x="1335"/>
        <item sd="0" m="1" x="2719"/>
        <item m="1" x="1864"/>
        <item m="1" x="742"/>
        <item m="1" x="2368"/>
        <item m="1" x="832"/>
        <item m="1" x="1117"/>
        <item m="1" x="239"/>
        <item m="1" x="1426"/>
        <item m="1" x="2492"/>
        <item m="1" x="2493"/>
        <item m="1" x="196"/>
        <item m="1" x="2494"/>
        <item m="1" x="278"/>
        <item sd="0" m="1" x="2740"/>
        <item m="1" x="2069"/>
        <item m="1" x="1797"/>
        <item m="1" x="143"/>
        <item m="1" x="1611"/>
        <item x="42"/>
        <item m="1" x="608"/>
        <item m="1" x="1848"/>
        <item m="1" x="602"/>
        <item m="1" x="1858"/>
        <item m="1" x="1849"/>
        <item m="1" x="1976"/>
        <item m="1" x="1929"/>
        <item m="1" x="603"/>
        <item m="1" x="770"/>
        <item m="1" x="1850"/>
        <item m="1" x="601"/>
        <item m="1" x="606"/>
        <item m="1" x="610"/>
        <item m="1" x="1852"/>
        <item m="1" x="515"/>
        <item sd="0" x="29"/>
        <item m="1" x="1661"/>
        <item x="41"/>
        <item m="1" x="596"/>
        <item m="1" x="1662"/>
        <item m="1" x="514"/>
        <item m="1" x="595"/>
        <item m="1" x="1977"/>
        <item m="1" x="1358"/>
        <item m="1" x="1847"/>
        <item m="1" x="605"/>
        <item m="1" x="1846"/>
        <item m="1" x="609"/>
        <item sd="0" m="1" x="604"/>
        <item sd="0" x="28"/>
        <item sd="0" m="1" x="2730"/>
        <item sd="0" m="1" x="2735"/>
        <item sd="0" x="26"/>
        <item m="1" x="857"/>
        <item m="1" x="1861"/>
        <item m="1" x="2027"/>
        <item m="1" x="2035"/>
        <item m="1" x="1881"/>
        <item m="1" x="92"/>
        <item m="1" x="1666"/>
        <item m="1" x="1974"/>
        <item m="1" x="1017"/>
        <item m="1" x="805"/>
        <item m="1" x="2699"/>
        <item m="1" x="2427"/>
        <item m="1" x="2446"/>
        <item m="1" x="151"/>
        <item m="1" x="709"/>
        <item m="1" x="1659"/>
        <item m="1" x="421"/>
        <item m="1" x="2067"/>
        <item m="1" x="2495"/>
        <item m="1" x="921"/>
        <item m="1" x="2238"/>
        <item sd="0" m="1" x="2738"/>
        <item m="1" x="1423"/>
        <item m="1" x="582"/>
        <item m="1" x="2123"/>
        <item m="1" x="70"/>
        <item m="1" x="2497"/>
        <item m="1" x="325"/>
        <item m="1" x="2156"/>
        <item m="1" x="2498"/>
        <item m="1" x="2461"/>
        <item m="1" x="1234"/>
        <item m="1" x="934"/>
        <item m="1" x="2672"/>
        <item m="1" x="1067"/>
        <item m="1" x="2256"/>
        <item m="1" x="1308"/>
        <item m="1" x="1669"/>
        <item m="1" x="1446"/>
        <item m="1" x="1154"/>
        <item m="1" x="2127"/>
        <item m="1" x="423"/>
        <item m="1" x="1400"/>
        <item m="1" x="424"/>
        <item m="1" x="1958"/>
        <item m="1" x="197"/>
        <item m="1" x="2499"/>
        <item m="1" x="1673"/>
        <item m="1" x="517"/>
        <item m="1" x="1477"/>
        <item m="1" x="2500"/>
        <item m="1" x="1808"/>
        <item m="1" x="892"/>
        <item m="1" x="1138"/>
        <item m="1" x="275"/>
        <item m="1" x="834"/>
        <item m="1" x="79"/>
        <item m="1" x="910"/>
        <item m="1" x="136"/>
        <item m="1" x="203"/>
        <item m="1" x="2575"/>
        <item m="1" x="2585"/>
        <item m="1" x="939"/>
        <item m="1" x="1366"/>
        <item m="1" x="1136"/>
        <item m="1" x="1605"/>
        <item m="1" x="1226"/>
        <item m="1" x="484"/>
        <item m="1" x="1677"/>
        <item m="1" x="2714"/>
        <item m="1" x="993"/>
        <item m="1" x="1387"/>
        <item m="1" x="1678"/>
        <item m="1" x="1895"/>
        <item m="1" x="1365"/>
        <item m="1" x="1649"/>
        <item m="1" x="1620"/>
        <item m="1" x="1599"/>
        <item m="1" x="1122"/>
        <item m="1" x="489"/>
        <item m="1" x="1352"/>
        <item m="1" x="1616"/>
        <item m="1" x="835"/>
        <item m="1" x="2515"/>
        <item m="1" x="230"/>
        <item m="1" x="533"/>
        <item m="1" x="2501"/>
        <item m="1" x="261"/>
        <item m="1" x="201"/>
        <item m="1" x="285"/>
        <item m="1" x="2502"/>
        <item m="1" x="1187"/>
        <item m="1" x="552"/>
        <item m="1" x="2503"/>
        <item m="1" x="630"/>
        <item m="1" x="859"/>
        <item m="1" x="1975"/>
        <item m="1" x="2504"/>
        <item m="1" x="2713"/>
        <item m="1" x="2694"/>
        <item m="1" x="1076"/>
        <item m="1" x="905"/>
        <item m="1" x="2514"/>
        <item m="1" x="1828"/>
        <item m="1" x="1164"/>
        <item m="1" x="1415"/>
        <item m="1" x="2587"/>
        <item m="1" x="2698"/>
        <item m="1" x="1697"/>
        <item m="1" x="1401"/>
        <item m="1" x="1292"/>
        <item m="1" x="2505"/>
        <item m="1" x="2702"/>
        <item m="1" x="280"/>
        <item m="1" x="879"/>
        <item m="1" x="937"/>
        <item x="34"/>
        <item m="1" x="365"/>
        <item m="1" x="1566"/>
        <item m="1" x="710"/>
        <item m="1" x="490"/>
        <item sd="0" m="1" x="493"/>
        <item m="1" x="711"/>
        <item m="1" x="400"/>
        <item m="1" x="2507"/>
        <item m="1" x="2624"/>
        <item m="1" x="632"/>
        <item m="1" x="2189"/>
        <item m="1" x="1631"/>
        <item m="1" x="2706"/>
        <item m="1" x="729"/>
        <item m="1" x="2617"/>
        <item x="24"/>
        <item m="1" x="1331"/>
        <item m="1" x="838"/>
        <item m="1" x="2022"/>
        <item m="1" x="1689"/>
        <item m="1" x="1690"/>
        <item m="1" x="2308"/>
        <item m="1" x="1794"/>
        <item m="1" x="1173"/>
        <item m="1" x="651"/>
        <item m="1" x="2652"/>
        <item m="1" x="1101"/>
        <item m="1" x="2128"/>
        <item m="1" x="613"/>
        <item m="1" x="137"/>
        <item m="1" x="813"/>
        <item m="1" x="2603"/>
        <item m="1" x="1343"/>
        <item m="1" x="2509"/>
        <item m="1" x="839"/>
        <item m="1" x="1691"/>
        <item m="1" x="121"/>
        <item m="1" x="425"/>
        <item m="1" x="2431"/>
        <item m="1" x="1890"/>
        <item m="1" x="1776"/>
        <item m="1" x="1904"/>
        <item m="1" x="2144"/>
        <item m="1" x="62"/>
        <item m="1" x="1055"/>
        <item m="1" x="840"/>
        <item m="1" x="2383"/>
        <item m="1" x="1578"/>
        <item m="1" x="2510"/>
        <item m="1" x="1660"/>
        <item m="1" x="485"/>
        <item m="1" x="1207"/>
        <item m="1" x="1693"/>
        <item m="1" x="1663"/>
        <item m="1" x="1657"/>
        <item m="1" x="858"/>
        <item m="1" x="2511"/>
        <item m="1" x="2001"/>
        <item m="1" x="841"/>
        <item m="1" x="1411"/>
        <item m="1" x="837"/>
        <item m="1" x="2597"/>
        <item m="1" x="1694"/>
        <item m="1" x="1801"/>
        <item m="1" x="1695"/>
        <item m="1" x="1681"/>
        <item m="1" x="1587"/>
        <item m="1" x="1160"/>
        <item m="1" x="1569"/>
        <item m="1" x="998"/>
        <item m="1" x="856"/>
        <item m="1" x="1166"/>
        <item m="1" x="2512"/>
        <item m="1" x="150"/>
        <item m="1" x="2149"/>
        <item m="1" x="1223"/>
        <item m="1" x="212"/>
        <item m="1" x="918"/>
        <item m="1" x="1989"/>
        <item m="1" x="1979"/>
        <item m="1" x="2268"/>
        <item m="1" x="56"/>
        <item m="1" x="1562"/>
        <item m="1" x="1581"/>
        <item m="1" x="2390"/>
        <item m="1" x="969"/>
        <item m="1" x="473"/>
        <item m="1" x="843"/>
        <item m="1" x="1625"/>
        <item m="1" x="935"/>
        <item m="1" x="2023"/>
        <item m="1" x="1462"/>
        <item m="1" x="2666"/>
        <item m="1" x="2024"/>
        <item x="9"/>
        <item m="1" x="1698"/>
        <item m="1" x="1375"/>
        <item m="1" x="1699"/>
        <item m="1" x="179"/>
        <item m="1" x="2148"/>
        <item m="1" x="589"/>
        <item m="1" x="558"/>
        <item m="1" x="1019"/>
        <item m="1" x="69"/>
        <item m="1" x="199"/>
        <item m="1" x="844"/>
        <item m="1" x="714"/>
        <item m="1" x="2449"/>
        <item m="1" x="715"/>
        <item m="1" x="1670"/>
        <item m="1" x="1407"/>
        <item m="1" x="2130"/>
        <item m="1" x="1702"/>
        <item m="1" x="427"/>
        <item m="1" x="190"/>
        <item m="1" x="1479"/>
        <item m="1" x="679"/>
        <item m="1" x="716"/>
        <item m="1" x="65"/>
        <item m="1" x="1703"/>
        <item m="1" x="1851"/>
        <item m="1" x="717"/>
        <item m="1" x="486"/>
        <item m="1" x="231"/>
        <item m="1" x="2079"/>
        <item m="1" x="2131"/>
        <item m="1" x="1626"/>
        <item m="1" x="2516"/>
        <item m="1" x="1374"/>
        <item m="1" x="1280"/>
        <item m="1" x="927"/>
        <item m="1" x="299"/>
        <item sd="0" m="1" x="2734"/>
        <item sd="0" m="1" x="1843"/>
        <item m="1" x="1991"/>
        <item m="1" x="200"/>
        <item m="1" x="1859"/>
        <item m="1" x="86"/>
        <item m="1" x="1268"/>
        <item m="1" x="1417"/>
        <item m="1" x="1706"/>
        <item m="1" x="1269"/>
        <item m="1" x="2132"/>
        <item m="1" x="989"/>
        <item m="1" x="1704"/>
        <item m="1" x="637"/>
        <item m="1" x="706"/>
        <item sd="0" m="1" x="640"/>
        <item m="1" x="842"/>
        <item m="1" x="105"/>
        <item m="1" x="173"/>
        <item m="1" x="1495"/>
        <item m="1" x="896"/>
        <item m="1" x="2517"/>
        <item m="1" x="2518"/>
        <item m="1" x="982"/>
        <item m="1" x="2519"/>
        <item m="1" x="718"/>
        <item m="1" x="1705"/>
        <item m="1" x="1519"/>
        <item m="1" x="2644"/>
        <item m="1" x="2640"/>
        <item m="1" x="2520"/>
        <item m="1" x="1025"/>
        <item m="1" x="1182"/>
        <item m="1" x="1946"/>
        <item m="1" x="1635"/>
        <item m="1" x="984"/>
        <item m="1" x="1274"/>
        <item m="1" x="2521"/>
        <item m="1" x="1633"/>
        <item m="1" x="2522"/>
        <item m="1" x="861"/>
        <item m="1" x="1707"/>
        <item m="1" x="1834"/>
        <item m="1" x="1634"/>
        <item m="1" x="2700"/>
        <item m="1" x="127"/>
        <item m="1" x="1032"/>
        <item m="1" x="2203"/>
        <item m="1" x="1404"/>
        <item m="1" x="1494"/>
        <item m="1" x="1770"/>
        <item m="1" x="1983"/>
        <item m="1" x="2523"/>
        <item m="1" x="1709"/>
        <item m="1" x="1777"/>
        <item m="1" x="2525"/>
        <item m="1" x="719"/>
        <item m="1" x="1927"/>
        <item m="1" x="1996"/>
        <item m="1" x="846"/>
        <item m="1" x="2526"/>
        <item m="1" x="2392"/>
        <item m="1" x="519"/>
        <item m="1" x="1086"/>
        <item m="1" x="2059"/>
        <item m="1" x="598"/>
        <item m="1" x="757"/>
        <item m="1" x="535"/>
        <item m="1" x="2133"/>
        <item m="1" x="2527"/>
        <item m="1" x="204"/>
        <item m="1" x="720"/>
        <item x="35"/>
        <item m="1" x="1713"/>
        <item m="1" x="1014"/>
        <item m="1" x="1424"/>
        <item m="1" x="941"/>
        <item m="1" x="2712"/>
        <item m="1" x="420"/>
        <item m="1" x="2528"/>
        <item m="1" x="1391"/>
        <item m="1" x="2012"/>
        <item m="1" x="2573"/>
        <item m="1" x="938"/>
        <item m="1" x="2134"/>
        <item m="1" x="267"/>
        <item m="1" x="2529"/>
        <item m="1" x="1293"/>
        <item m="1" x="614"/>
        <item sd="0" m="1" x="2722"/>
        <item m="1" x="2593"/>
        <item m="1" x="1416"/>
        <item m="1" x="324"/>
        <item m="1" x="428"/>
        <item m="1" x="2530"/>
        <item m="1" x="2029"/>
        <item m="1" x="723"/>
        <item m="1" x="2259"/>
        <item m="1" x="541"/>
        <item m="1" x="1618"/>
        <item m="1" x="1674"/>
        <item m="1" x="1778"/>
        <item m="1" x="911"/>
        <item m="1" x="2531"/>
        <item m="1" x="847"/>
        <item x="23"/>
        <item m="1" x="478"/>
        <item m="1" x="848"/>
        <item m="1" x="929"/>
        <item m="1" x="1844"/>
        <item m="1" x="1715"/>
        <item m="1" x="1710"/>
        <item m="1" x="1004"/>
        <item m="1" x="726"/>
        <item m="1" x="2135"/>
        <item m="1" x="1353"/>
        <item m="1" x="1717"/>
        <item m="1" x="1779"/>
        <item sd="0" m="1" x="465"/>
        <item m="1" x="1260"/>
        <item m="1" x="974"/>
        <item m="1" x="2533"/>
        <item m="1" x="188"/>
        <item m="1" x="2647"/>
        <item m="1" x="2686"/>
        <item m="1" x="866"/>
        <item m="1" x="1811"/>
        <item m="1" x="812"/>
        <item x="43"/>
        <item m="1" x="1718"/>
        <item m="1" x="1719"/>
        <item m="1" x="1398"/>
        <item m="1" x="1720"/>
        <item sd="0" m="1" x="2728"/>
        <item m="1" x="128"/>
        <item m="1" x="205"/>
        <item m="1" x="686"/>
        <item m="1" x="2622"/>
        <item m="1" x="1780"/>
        <item m="1" x="685"/>
        <item m="1" x="2416"/>
        <item m="1" x="2705"/>
        <item m="1" x="1333"/>
        <item m="1" x="1667"/>
        <item m="1" x="2136"/>
        <item m="1" x="1781"/>
        <item m="1" x="329"/>
        <item m="1" x="1724"/>
        <item m="1" x="206"/>
        <item m="1" x="153"/>
        <item m="1" x="2643"/>
        <item m="1" x="849"/>
        <item m="1" x="854"/>
        <item m="1" x="2631"/>
        <item m="1" x="471"/>
        <item m="1" x="2535"/>
        <item m="1" x="1902"/>
        <item m="1" x="722"/>
        <item m="1" x="540"/>
        <item m="1" x="2255"/>
        <item m="1" x="850"/>
        <item m="1" x="183"/>
        <item m="1" x="693"/>
        <item m="1" x="644"/>
        <item m="1" x="1726"/>
        <item m="1" x="967"/>
        <item sd="0" m="1" x="2117"/>
        <item m="1" x="397"/>
        <item m="1" x="1504"/>
        <item x="40"/>
        <item sd="0" m="1" x="2729"/>
        <item m="1" x="1273"/>
        <item m="1" x="2536"/>
        <item m="1" x="2470"/>
        <item m="1" x="429"/>
        <item m="1" x="2537"/>
        <item m="1" x="2538"/>
        <item m="1" x="2569"/>
        <item m="1" x="2539"/>
        <item m="1" x="1460"/>
        <item m="1" x="2058"/>
        <item m="1" x="2540"/>
        <item m="1" x="942"/>
        <item m="1" x="2031"/>
        <item m="1" x="1597"/>
        <item m="1" x="2541"/>
        <item m="1" x="1325"/>
        <item m="1" x="2071"/>
        <item m="1" x="828"/>
        <item m="1" x="430"/>
        <item m="1" x="1356"/>
        <item m="1" x="1031"/>
        <item x="16"/>
        <item m="1" x="1957"/>
        <item m="1" x="1434"/>
        <item m="1" x="874"/>
        <item m="1" x="2542"/>
        <item m="1" x="2543"/>
        <item m="1" x="249"/>
        <item m="1" x="207"/>
        <item m="1" x="2544"/>
        <item m="1" x="2545"/>
        <item m="1" x="2137"/>
        <item m="1" x="2138"/>
        <item m="1" x="1002"/>
        <item m="1" x="134"/>
        <item m="1" x="1732"/>
        <item m="1" x="1326"/>
        <item m="1" x="155"/>
        <item m="1" x="211"/>
        <item m="1" x="1161"/>
        <item x="36"/>
        <item m="1" x="141"/>
        <item m="1" x="2548"/>
        <item m="1" x="508"/>
        <item m="1" x="930"/>
        <item m="1" x="571"/>
        <item m="1" x="2372"/>
        <item m="1" x="2357"/>
        <item m="1" x="241"/>
        <item m="1" x="1733"/>
        <item m="1" x="1734"/>
        <item m="1" x="431"/>
        <item m="1" x="851"/>
        <item m="1" x="2546"/>
        <item m="1" x="532"/>
        <item m="1" x="1521"/>
        <item m="1" x="1554"/>
        <item m="1" x="2547"/>
        <item m="1" x="1782"/>
        <item m="1" x="1903"/>
        <item m="1" x="2549"/>
        <item m="1" x="1735"/>
        <item m="1" x="1650"/>
        <item m="1" x="1736"/>
        <item m="1" x="2708"/>
        <item t="default" sd="0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4"/>
    <field x="0"/>
  </rowFields>
  <rowItems count="3">
    <i>
      <x v="2372"/>
    </i>
    <i r="1">
      <x v="54"/>
    </i>
    <i t="grand">
      <x/>
    </i>
  </rowItems>
  <colItems count="1">
    <i/>
  </colItems>
  <pageFields count="1">
    <pageField fld="3" hier="-1"/>
  </pageFields>
  <dataFields count="1">
    <dataField name="Total" fld="9" baseField="0" baseItem="0" numFmtId="44"/>
  </dataFields>
  <formats count="9">
    <format dxfId="149">
      <pivotArea collapsedLevelsAreSubtotals="1" fieldPosition="0">
        <references count="1">
          <reference field="4" count="1">
            <x v="275"/>
          </reference>
        </references>
      </pivotArea>
    </format>
    <format dxfId="148">
      <pivotArea collapsedLevelsAreSubtotals="1" fieldPosition="0">
        <references count="1">
          <reference field="4" count="1">
            <x v="664"/>
          </reference>
        </references>
      </pivotArea>
    </format>
    <format dxfId="147">
      <pivotArea collapsedLevelsAreSubtotals="1" fieldPosition="0">
        <references count="1">
          <reference field="4" count="1">
            <x v="789"/>
          </reference>
        </references>
      </pivotArea>
    </format>
    <format dxfId="146">
      <pivotArea collapsedLevelsAreSubtotals="1" fieldPosition="0">
        <references count="1">
          <reference field="4" count="1">
            <x v="1446"/>
          </reference>
        </references>
      </pivotArea>
    </format>
    <format dxfId="145">
      <pivotArea collapsedLevelsAreSubtotals="1" fieldPosition="0">
        <references count="1">
          <reference field="4" count="1">
            <x v="1688"/>
          </reference>
        </references>
      </pivotArea>
    </format>
    <format dxfId="144">
      <pivotArea collapsedLevelsAreSubtotals="1" fieldPosition="0">
        <references count="1">
          <reference field="4" count="1">
            <x v="1989"/>
          </reference>
        </references>
      </pivotArea>
    </format>
    <format dxfId="143">
      <pivotArea dataOnly="0" labelOnly="1" fieldPosition="0">
        <references count="1">
          <reference field="4" count="6">
            <x v="275"/>
            <x v="664"/>
            <x v="789"/>
            <x v="1446"/>
            <x v="1688"/>
            <x v="1989"/>
          </reference>
        </references>
      </pivotArea>
    </format>
    <format dxfId="142">
      <pivotArea field="4" type="button" dataOnly="0" labelOnly="1" outline="0" axis="axisRow" fieldPosition="0"/>
    </format>
    <format dxfId="141">
      <pivotArea dataOnly="0" labelOnly="1" outline="0" axis="axisValues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D3884E-4340-1C48-AB8A-DADEC7A13309}" name="PivotTable6" cacheId="42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D4:E7" firstHeaderRow="1" firstDataRow="1" firstDataCol="1" rowPageCount="1" colPageCount="1"/>
  <pivotFields count="15">
    <pivotField showAll="0"/>
    <pivotField numFmtId="165" showAll="0"/>
    <pivotField axis="axisRow" showAll="0" measureFilter="1" sortType="ascending">
      <items count="537">
        <item m="1" x="433"/>
        <item x="0"/>
        <item x="1"/>
        <item x="2"/>
        <item m="1" x="209"/>
        <item x="3"/>
        <item m="1" x="352"/>
        <item m="1" x="358"/>
        <item m="1" x="215"/>
        <item m="1" x="182"/>
        <item m="1" x="297"/>
        <item m="1" x="373"/>
        <item m="1" x="192"/>
        <item m="1" x="381"/>
        <item m="1" x="202"/>
        <item m="1" x="303"/>
        <item x="4"/>
        <item x="5"/>
        <item x="6"/>
        <item m="1" x="533"/>
        <item m="1" x="295"/>
        <item m="1" x="184"/>
        <item m="1" x="488"/>
        <item x="7"/>
        <item m="1" x="510"/>
        <item x="8"/>
        <item x="9"/>
        <item x="10"/>
        <item m="1" x="426"/>
        <item x="11"/>
        <item x="12"/>
        <item x="13"/>
        <item x="14"/>
        <item m="1" x="413"/>
        <item m="1" x="518"/>
        <item m="1" x="385"/>
        <item m="1" x="392"/>
        <item x="15"/>
        <item x="16"/>
        <item m="1" x="504"/>
        <item x="17"/>
        <item m="1" x="447"/>
        <item m="1" x="481"/>
        <item x="18"/>
        <item x="19"/>
        <item m="1" x="347"/>
        <item m="1" x="354"/>
        <item m="1" x="411"/>
        <item m="1" x="418"/>
        <item m="1" x="186"/>
        <item x="20"/>
        <item m="1" x="277"/>
        <item m="1" x="214"/>
        <item x="21"/>
        <item m="1" x="479"/>
        <item m="1" x="436"/>
        <item x="22"/>
        <item m="1" x="367"/>
        <item m="1" x="267"/>
        <item x="23"/>
        <item m="1" x="219"/>
        <item x="24"/>
        <item m="1" x="265"/>
        <item m="1" x="357"/>
        <item x="25"/>
        <item x="26"/>
        <item x="27"/>
        <item m="1" x="228"/>
        <item m="1" x="485"/>
        <item x="28"/>
        <item m="1" x="469"/>
        <item m="1" x="394"/>
        <item x="29"/>
        <item m="1" x="435"/>
        <item x="30"/>
        <item m="1" x="248"/>
        <item x="31"/>
        <item x="32"/>
        <item x="33"/>
        <item x="34"/>
        <item x="35"/>
        <item m="1" x="482"/>
        <item x="36"/>
        <item m="1" x="226"/>
        <item m="1" x="235"/>
        <item x="37"/>
        <item m="1" x="283"/>
        <item x="38"/>
        <item m="1" x="213"/>
        <item m="1" x="274"/>
        <item m="1" x="425"/>
        <item m="1" x="205"/>
        <item m="1" x="345"/>
        <item m="1" x="532"/>
        <item m="1" x="346"/>
        <item m="1" x="443"/>
        <item m="1" x="331"/>
        <item m="1" x="396"/>
        <item m="1" x="253"/>
        <item x="39"/>
        <item m="1" x="501"/>
        <item m="1" x="387"/>
        <item x="40"/>
        <item m="1" x="355"/>
        <item x="41"/>
        <item x="42"/>
        <item x="43"/>
        <item x="44"/>
        <item x="45"/>
        <item m="1" x="289"/>
        <item m="1" x="475"/>
        <item m="1" x="521"/>
        <item m="1" x="200"/>
        <item m="1" x="376"/>
        <item m="1" x="221"/>
        <item m="1" x="270"/>
        <item x="46"/>
        <item m="1" x="431"/>
        <item m="1" x="292"/>
        <item m="1" x="414"/>
        <item m="1" x="375"/>
        <item m="1" x="471"/>
        <item x="47"/>
        <item m="1" x="393"/>
        <item x="48"/>
        <item m="1" x="494"/>
        <item x="49"/>
        <item x="50"/>
        <item m="1" x="183"/>
        <item x="51"/>
        <item m="1" x="416"/>
        <item x="52"/>
        <item m="1" x="290"/>
        <item m="1" x="341"/>
        <item m="1" x="439"/>
        <item m="1" x="257"/>
        <item m="1" x="340"/>
        <item m="1" x="256"/>
        <item x="53"/>
        <item m="1" x="203"/>
        <item x="54"/>
        <item x="55"/>
        <item x="56"/>
        <item m="1" x="529"/>
        <item x="57"/>
        <item m="1" x="461"/>
        <item m="1" x="415"/>
        <item x="58"/>
        <item m="1" x="238"/>
        <item x="59"/>
        <item x="60"/>
        <item m="1" x="452"/>
        <item m="1" x="457"/>
        <item x="61"/>
        <item m="1" x="508"/>
        <item m="1" x="208"/>
        <item m="1" x="321"/>
        <item m="1" x="390"/>
        <item x="62"/>
        <item m="1" x="293"/>
        <item m="1" x="232"/>
        <item m="1" x="366"/>
        <item m="1" x="310"/>
        <item x="63"/>
        <item m="1" x="400"/>
        <item m="1" x="446"/>
        <item m="1" x="251"/>
        <item x="64"/>
        <item x="65"/>
        <item m="1" x="349"/>
        <item x="66"/>
        <item x="67"/>
        <item m="1" x="259"/>
        <item m="1" x="519"/>
        <item x="68"/>
        <item m="1" x="490"/>
        <item x="69"/>
        <item m="1" x="344"/>
        <item m="1" x="255"/>
        <item x="70"/>
        <item x="71"/>
        <item m="1" x="406"/>
        <item x="72"/>
        <item m="1" x="458"/>
        <item x="73"/>
        <item m="1" x="196"/>
        <item m="1" x="314"/>
        <item m="1" x="419"/>
        <item x="74"/>
        <item x="75"/>
        <item x="76"/>
        <item m="1" x="404"/>
        <item m="1" x="302"/>
        <item m="1" x="372"/>
        <item m="1" x="316"/>
        <item x="77"/>
        <item m="1" x="279"/>
        <item m="1" x="276"/>
        <item m="1" x="361"/>
        <item m="1" x="468"/>
        <item m="1" x="371"/>
        <item m="1" x="258"/>
        <item m="1" x="260"/>
        <item m="1" x="430"/>
        <item m="1" x="187"/>
        <item x="78"/>
        <item x="79"/>
        <item x="80"/>
        <item m="1" x="227"/>
        <item m="1" x="427"/>
        <item x="81"/>
        <item m="1" x="395"/>
        <item m="1" x="407"/>
        <item m="1" x="473"/>
        <item m="1" x="445"/>
        <item m="1" x="405"/>
        <item m="1" x="252"/>
        <item m="1" x="464"/>
        <item x="82"/>
        <item m="1" x="230"/>
        <item x="83"/>
        <item m="1" x="514"/>
        <item m="1" x="456"/>
        <item m="1" x="517"/>
        <item m="1" x="325"/>
        <item m="1" x="422"/>
        <item m="1" x="505"/>
        <item m="1" x="241"/>
        <item x="84"/>
        <item m="1" x="195"/>
        <item m="1" x="233"/>
        <item x="85"/>
        <item m="1" x="286"/>
        <item m="1" x="250"/>
        <item x="86"/>
        <item m="1" x="189"/>
        <item m="1" x="470"/>
        <item x="87"/>
        <item x="88"/>
        <item x="89"/>
        <item m="1" x="465"/>
        <item x="90"/>
        <item x="91"/>
        <item m="1" x="489"/>
        <item m="1" x="268"/>
        <item m="1" x="300"/>
        <item m="1" x="360"/>
        <item x="92"/>
        <item m="1" x="315"/>
        <item m="1" x="263"/>
        <item m="1" x="278"/>
        <item m="1" x="199"/>
        <item m="1" x="486"/>
        <item m="1" x="454"/>
        <item m="1" x="211"/>
        <item m="1" x="317"/>
        <item x="93"/>
        <item m="1" x="298"/>
        <item m="1" x="288"/>
        <item x="94"/>
        <item m="1" x="448"/>
        <item x="95"/>
        <item m="1" x="307"/>
        <item m="1" x="294"/>
        <item m="1" x="450"/>
        <item m="1" x="190"/>
        <item m="1" x="512"/>
        <item x="96"/>
        <item x="97"/>
        <item x="98"/>
        <item m="1" x="516"/>
        <item m="1" x="365"/>
        <item m="1" x="242"/>
        <item m="1" x="377"/>
        <item m="1" x="491"/>
        <item x="99"/>
        <item m="1" x="472"/>
        <item x="100"/>
        <item m="1" x="384"/>
        <item x="101"/>
        <item x="102"/>
        <item m="1" x="309"/>
        <item m="1" x="311"/>
        <item x="103"/>
        <item x="104"/>
        <item m="1" x="291"/>
        <item m="1" x="338"/>
        <item m="1" x="285"/>
        <item m="1" x="306"/>
        <item x="105"/>
        <item m="1" x="386"/>
        <item m="1" x="197"/>
        <item m="1" x="528"/>
        <item m="1" x="223"/>
        <item m="1" x="275"/>
        <item m="1" x="194"/>
        <item x="106"/>
        <item m="1" x="403"/>
        <item m="1" x="525"/>
        <item m="1" x="324"/>
        <item m="1" x="201"/>
        <item m="1" x="243"/>
        <item x="107"/>
        <item m="1" x="434"/>
        <item m="1" x="362"/>
        <item x="108"/>
        <item m="1" x="363"/>
        <item m="1" x="437"/>
        <item m="1" x="339"/>
        <item m="1" x="329"/>
        <item m="1" x="284"/>
        <item m="1" x="441"/>
        <item x="109"/>
        <item m="1" x="244"/>
        <item x="110"/>
        <item m="1" x="225"/>
        <item m="1" x="442"/>
        <item m="1" x="402"/>
        <item m="1" x="333"/>
        <item m="1" x="224"/>
        <item x="111"/>
        <item m="1" x="217"/>
        <item m="1" x="188"/>
        <item x="112"/>
        <item m="1" x="383"/>
        <item x="113"/>
        <item m="1" x="212"/>
        <item m="1" x="313"/>
        <item x="114"/>
        <item m="1" x="507"/>
        <item x="115"/>
        <item x="116"/>
        <item m="1" x="493"/>
        <item x="117"/>
        <item m="1" x="330"/>
        <item m="1" x="389"/>
        <item m="1" x="234"/>
        <item m="1" x="408"/>
        <item x="118"/>
        <item x="119"/>
        <item m="1" x="220"/>
        <item m="1" x="506"/>
        <item m="1" x="391"/>
        <item x="120"/>
        <item m="1" x="266"/>
        <item m="1" x="509"/>
        <item m="1" x="374"/>
        <item x="121"/>
        <item m="1" x="359"/>
        <item m="1" x="305"/>
        <item m="1" x="282"/>
        <item x="122"/>
        <item m="1" x="280"/>
        <item x="123"/>
        <item x="124"/>
        <item m="1" x="356"/>
        <item m="1" x="327"/>
        <item m="1" x="398"/>
        <item m="1" x="246"/>
        <item m="1" x="498"/>
        <item x="125"/>
        <item x="126"/>
        <item m="1" x="451"/>
        <item x="127"/>
        <item m="1" x="530"/>
        <item m="1" x="388"/>
        <item x="128"/>
        <item m="1" x="206"/>
        <item m="1" x="191"/>
        <item m="1" x="322"/>
        <item x="129"/>
        <item m="1" x="417"/>
        <item m="1" x="308"/>
        <item m="1" x="534"/>
        <item m="1" x="440"/>
        <item m="1" x="254"/>
        <item x="130"/>
        <item m="1" x="455"/>
        <item m="1" x="523"/>
        <item x="131"/>
        <item m="1" x="296"/>
        <item x="132"/>
        <item x="133"/>
        <item m="1" x="474"/>
        <item m="1" x="334"/>
        <item m="1" x="531"/>
        <item m="1" x="229"/>
        <item x="134"/>
        <item x="135"/>
        <item m="1" x="535"/>
        <item m="1" x="476"/>
        <item x="136"/>
        <item x="137"/>
        <item m="1" x="239"/>
        <item m="1" x="478"/>
        <item x="138"/>
        <item x="139"/>
        <item x="140"/>
        <item m="1" x="423"/>
        <item m="1" x="401"/>
        <item m="1" x="193"/>
        <item x="141"/>
        <item m="1" x="397"/>
        <item m="1" x="526"/>
        <item x="142"/>
        <item m="1" x="271"/>
        <item x="143"/>
        <item m="1" x="428"/>
        <item x="144"/>
        <item x="145"/>
        <item x="146"/>
        <item x="147"/>
        <item x="148"/>
        <item m="1" x="247"/>
        <item x="149"/>
        <item m="1" x="502"/>
        <item m="1" x="207"/>
        <item m="1" x="222"/>
        <item m="1" x="462"/>
        <item m="1" x="520"/>
        <item m="1" x="410"/>
        <item m="1" x="336"/>
        <item m="1" x="511"/>
        <item m="1" x="328"/>
        <item m="1" x="424"/>
        <item m="1" x="421"/>
        <item m="1" x="499"/>
        <item m="1" x="515"/>
        <item m="1" x="527"/>
        <item m="1" x="379"/>
        <item x="150"/>
        <item m="1" x="369"/>
        <item x="151"/>
        <item m="1" x="237"/>
        <item m="1" x="323"/>
        <item x="152"/>
        <item x="153"/>
        <item x="154"/>
        <item m="1" x="348"/>
        <item m="1" x="236"/>
        <item x="155"/>
        <item x="156"/>
        <item m="1" x="483"/>
        <item m="1" x="420"/>
        <item m="1" x="503"/>
        <item m="1" x="332"/>
        <item m="1" x="204"/>
        <item m="1" x="460"/>
        <item x="157"/>
        <item x="158"/>
        <item m="1" x="326"/>
        <item m="1" x="513"/>
        <item x="159"/>
        <item m="1" x="351"/>
        <item m="1" x="216"/>
        <item m="1" x="262"/>
        <item m="1" x="320"/>
        <item m="1" x="453"/>
        <item m="1" x="272"/>
        <item m="1" x="500"/>
        <item x="160"/>
        <item m="1" x="484"/>
        <item m="1" x="231"/>
        <item m="1" x="399"/>
        <item x="161"/>
        <item m="1" x="304"/>
        <item m="1" x="382"/>
        <item m="1" x="318"/>
        <item m="1" x="319"/>
        <item m="1" x="429"/>
        <item m="1" x="378"/>
        <item m="1" x="269"/>
        <item m="1" x="496"/>
        <item m="1" x="281"/>
        <item m="1" x="495"/>
        <item m="1" x="301"/>
        <item x="162"/>
        <item x="163"/>
        <item m="1" x="353"/>
        <item m="1" x="210"/>
        <item m="1" x="343"/>
        <item m="1" x="312"/>
        <item m="1" x="497"/>
        <item m="1" x="185"/>
        <item m="1" x="350"/>
        <item m="1" x="249"/>
        <item m="1" x="368"/>
        <item m="1" x="438"/>
        <item m="1" x="264"/>
        <item m="1" x="342"/>
        <item m="1" x="198"/>
        <item m="1" x="240"/>
        <item m="1" x="467"/>
        <item x="164"/>
        <item m="1" x="337"/>
        <item m="1" x="524"/>
        <item m="1" x="299"/>
        <item x="165"/>
        <item m="1" x="459"/>
        <item m="1" x="218"/>
        <item m="1" x="466"/>
        <item m="1" x="492"/>
        <item x="166"/>
        <item m="1" x="477"/>
        <item m="1" x="449"/>
        <item m="1" x="409"/>
        <item m="1" x="480"/>
        <item x="167"/>
        <item m="1" x="522"/>
        <item x="168"/>
        <item m="1" x="261"/>
        <item m="1" x="245"/>
        <item m="1" x="412"/>
        <item m="1" x="432"/>
        <item x="169"/>
        <item m="1" x="444"/>
        <item m="1" x="370"/>
        <item x="170"/>
        <item x="171"/>
        <item x="172"/>
        <item m="1" x="287"/>
        <item m="1" x="273"/>
        <item x="173"/>
        <item m="1" x="487"/>
        <item x="174"/>
        <item m="1" x="463"/>
        <item x="175"/>
        <item m="1" x="335"/>
        <item x="176"/>
        <item m="1" x="380"/>
        <item m="1" x="364"/>
        <item x="177"/>
        <item x="178"/>
        <item x="179"/>
        <item x="180"/>
        <item m="1" x="181"/>
        <item t="default"/>
      </items>
    </pivotField>
    <pivotField axis="axisPage" multipleItemSelectionAllowed="1" showAll="0">
      <items count="41">
        <item h="1" x="2"/>
        <item h="1" x="7"/>
        <item h="1" x="3"/>
        <item h="1" m="1" x="35"/>
        <item h="1" x="20"/>
        <item h="1" m="1" x="32"/>
        <item h="1" x="5"/>
        <item h="1" x="6"/>
        <item h="1" x="11"/>
        <item h="1" x="15"/>
        <item h="1" m="1" x="30"/>
        <item h="1" x="1"/>
        <item h="1" x="16"/>
        <item h="1" x="21"/>
        <item h="1" x="19"/>
        <item h="1" x="8"/>
        <item h="1" x="0"/>
        <item h="1" x="9"/>
        <item h="1" x="13"/>
        <item h="1" x="4"/>
        <item h="1" x="10"/>
        <item h="1" m="1" x="38"/>
        <item h="1" m="1" x="33"/>
        <item h="1" m="1" x="26"/>
        <item h="1" x="12"/>
        <item h="1" m="1" x="28"/>
        <item h="1" m="1" x="36"/>
        <item h="1" m="1" x="37"/>
        <item h="1" m="1" x="29"/>
        <item h="1" m="1" x="39"/>
        <item h="1" m="1" x="23"/>
        <item h="1" m="1" x="31"/>
        <item h="1" m="1" x="25"/>
        <item x="17"/>
        <item h="1" m="1" x="34"/>
        <item h="1" x="14"/>
        <item h="1" m="1" x="24"/>
        <item h="1" m="1" x="27"/>
        <item h="1" x="18"/>
        <item h="1" x="22"/>
        <item t="default"/>
      </items>
    </pivotField>
    <pivotField showAll="0"/>
    <pivotField numFmtId="4" showAll="0"/>
    <pivotField numFmtId="4" showAll="0"/>
    <pivotField dataField="1" numFmtId="4" showAll="0"/>
    <pivotField numFmtId="4" showAll="0"/>
    <pivotField numFmtId="4" showAll="0"/>
    <pivotField numFmtId="166" showAll="0"/>
    <pivotField showAll="0"/>
    <pivotField showAll="0"/>
    <pivotField showAll="0"/>
    <pivotField showAll="0"/>
  </pivotFields>
  <rowFields count="1">
    <field x="2"/>
  </rowFields>
  <rowItems count="3">
    <i>
      <x v="168"/>
    </i>
    <i>
      <x v="464"/>
    </i>
    <i t="grand">
      <x/>
    </i>
  </rowItems>
  <colItems count="1">
    <i/>
  </colItems>
  <pageFields count="1">
    <pageField fld="3" hier="-1"/>
  </pageFields>
  <dataFields count="1">
    <dataField name="Total" fld="7" baseField="0" baseItem="0" numFmtId="44"/>
  </dataFields>
  <formats count="2">
    <format dxfId="151">
      <pivotArea field="2" type="button" dataOnly="0" labelOnly="1" outline="0" axis="axisRow" fieldPosition="0"/>
    </format>
    <format dxfId="150">
      <pivotArea dataOnly="0" labelOnly="1" outline="0" axis="axisValues" fieldPosition="0"/>
    </format>
  </formats>
  <pivotTableStyleInfo name="PivotStyleLight16" showRowHeaders="1" showColHeaders="1" showRowStripes="1" showColStripes="0" showLastColumn="1"/>
  <filters count="1">
    <filter fld="2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7FB93-9522-A94D-B61D-50230BC27FF8}" name="PivotTable5" cacheId="4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ient">
  <location ref="A4:B9" firstHeaderRow="1" firstDataRow="1" firstDataCol="1" rowPageCount="1" colPageCount="1"/>
  <pivotFields count="15">
    <pivotField axis="axisRow" showAll="0">
      <items count="71">
        <item x="56"/>
        <item x="64"/>
        <item x="57"/>
        <item x="65"/>
        <item x="25"/>
        <item x="34"/>
        <item x="36"/>
        <item x="30"/>
        <item x="21"/>
        <item x="52"/>
        <item x="13"/>
        <item x="44"/>
        <item x="14"/>
        <item x="22"/>
        <item x="16"/>
        <item x="29"/>
        <item x="2"/>
        <item x="8"/>
        <item x="51"/>
        <item x="20"/>
        <item x="26"/>
        <item x="35"/>
        <item x="19"/>
        <item x="6"/>
        <item x="61"/>
        <item x="4"/>
        <item x="43"/>
        <item x="11"/>
        <item x="54"/>
        <item x="33"/>
        <item x="38"/>
        <item x="39"/>
        <item x="63"/>
        <item x="17"/>
        <item x="55"/>
        <item x="0"/>
        <item x="1"/>
        <item m="1" x="67"/>
        <item x="46"/>
        <item x="45"/>
        <item x="24"/>
        <item x="18"/>
        <item x="50"/>
        <item x="58"/>
        <item x="59"/>
        <item x="7"/>
        <item x="47"/>
        <item x="31"/>
        <item x="53"/>
        <item x="48"/>
        <item x="23"/>
        <item x="27"/>
        <item x="32"/>
        <item x="37"/>
        <item x="49"/>
        <item m="1" x="68"/>
        <item m="1" x="69"/>
        <item x="3"/>
        <item x="9"/>
        <item x="60"/>
        <item x="28"/>
        <item x="10"/>
        <item x="66"/>
        <item x="62"/>
        <item x="40"/>
        <item x="41"/>
        <item x="42"/>
        <item x="12"/>
        <item x="15"/>
        <item x="5"/>
        <item t="default"/>
      </items>
    </pivotField>
    <pivotField showAll="0"/>
    <pivotField showAll="0"/>
    <pivotField axis="axisPage" multipleItemSelectionAllowed="1" showAll="0">
      <items count="49">
        <item h="1" x="10"/>
        <item h="1" x="15"/>
        <item h="1" x="17"/>
        <item h="1" x="5"/>
        <item h="1" x="7"/>
        <item h="1" m="1" x="18"/>
        <item h="1" x="6"/>
        <item h="1" x="12"/>
        <item h="1" x="14"/>
        <item h="1" m="1" x="36"/>
        <item h="1" x="3"/>
        <item h="1" x="8"/>
        <item h="1" x="9"/>
        <item h="1" m="1" x="41"/>
        <item h="1" m="1" x="42"/>
        <item h="1" x="13"/>
        <item h="1" x="0"/>
        <item h="1" m="1" x="23"/>
        <item h="1" m="1" x="45"/>
        <item h="1" m="1" x="47"/>
        <item h="1" x="1"/>
        <item h="1" m="1" x="39"/>
        <item h="1" x="4"/>
        <item h="1" m="1" x="44"/>
        <item h="1" m="1" x="46"/>
        <item x="2"/>
        <item h="1" m="1" x="40"/>
        <item h="1" x="11"/>
        <item h="1" m="1" x="34"/>
        <item h="1" m="1" x="21"/>
        <item h="1" m="1" x="31"/>
        <item h="1" m="1" x="33"/>
        <item h="1" m="1" x="22"/>
        <item h="1" m="1" x="20"/>
        <item h="1" m="1" x="26"/>
        <item h="1" m="1" x="27"/>
        <item h="1" m="1" x="19"/>
        <item h="1" x="16"/>
        <item h="1" m="1" x="43"/>
        <item h="1" m="1" x="24"/>
        <item h="1" m="1" x="25"/>
        <item h="1" m="1" x="28"/>
        <item h="1" m="1" x="29"/>
        <item h="1" m="1" x="30"/>
        <item h="1" m="1" x="32"/>
        <item h="1" m="1" x="35"/>
        <item h="1" m="1" x="37"/>
        <item h="1" m="1" x="38"/>
        <item t="default"/>
      </items>
    </pivotField>
    <pivotField axis="axisRow" showAll="0">
      <items count="2742">
        <item sd="0" m="1" x="47"/>
        <item sd="0" m="1" x="2726"/>
        <item sd="0" m="1" x="2571"/>
        <item sd="0" m="1" x="116"/>
        <item sd="0" m="1" x="2721"/>
        <item sd="0" m="1" x="2731"/>
        <item sd="0" x="7"/>
        <item sd="0" m="1" x="244"/>
        <item sd="0" m="1" x="2090"/>
        <item sd="0" m="1" x="456"/>
        <item sd="0" m="1" x="445"/>
        <item sd="0" x="31"/>
        <item sd="0" m="1" x="256"/>
        <item sd="0" m="1" x="2737"/>
        <item sd="0" m="1" x="2105"/>
        <item sd="0" m="1" x="2739"/>
        <item sd="0" m="1" x="2223"/>
        <item sd="0" m="1" x="245"/>
        <item sd="0" x="15"/>
        <item sd="0" m="1" x="2677"/>
        <item sd="0" m="1" x="2727"/>
        <item sd="0" m="1" x="2733"/>
        <item sd="0" m="1" x="2732"/>
        <item sd="0" m="1" x="2725"/>
        <item sd="0" m="1" x="1190"/>
        <item sd="0" m="1" x="522"/>
        <item sd="0" m="1" x="2736"/>
        <item sd="0" m="1" x="2719"/>
        <item sd="0" m="1" x="2740"/>
        <item sd="0" x="29"/>
        <item sd="0" m="1" x="604"/>
        <item sd="0" m="1" x="2730"/>
        <item sd="0" m="1" x="2735"/>
        <item sd="0" x="26"/>
        <item sd="0" m="1" x="2738"/>
        <item sd="0" m="1" x="493"/>
        <item sd="0" m="1" x="2734"/>
        <item sd="0" m="1" x="640"/>
        <item sd="0" m="1" x="2722"/>
        <item sd="0" m="1" x="465"/>
        <item sd="0" m="1" x="2728"/>
        <item sd="0" m="1" x="2117"/>
        <item sd="0" m="1" x="2729"/>
        <item m="1" x="2717"/>
        <item m="1" x="2718"/>
        <item m="1" x="234"/>
        <item m="1" x="258"/>
        <item m="1" x="301"/>
        <item m="1" x="213"/>
        <item m="1" x="308"/>
        <item m="1" x="128"/>
        <item x="40"/>
        <item x="8"/>
        <item x="28"/>
        <item m="1" x="2709"/>
        <item m="1" x="646"/>
        <item m="1" x="699"/>
        <item m="1" x="2712"/>
        <item m="1" x="729"/>
        <item m="1" x="800"/>
        <item m="1" x="1114"/>
        <item m="1" x="1843"/>
        <item m="1" x="1887"/>
        <item m="1" x="2707"/>
        <item m="1" x="2710"/>
        <item m="1" x="2715"/>
        <item m="1" x="2720"/>
        <item m="1" x="2238"/>
        <item m="1" x="2565"/>
        <item x="45"/>
        <item m="1" x="631"/>
        <item m="1" x="439"/>
        <item m="1" x="921"/>
        <item m="1" x="2723"/>
        <item m="1" x="2724"/>
        <item m="1" x="2711"/>
        <item m="1" x="95"/>
        <item m="1" x="201"/>
        <item m="1" x="235"/>
        <item m="1" x="293"/>
        <item m="1" x="387"/>
        <item m="1" x="328"/>
        <item m="1" x="307"/>
        <item m="1" x="2424"/>
        <item m="1" x="132"/>
        <item m="1" x="596"/>
        <item m="1" x="593"/>
        <item m="1" x="166"/>
        <item x="18"/>
        <item m="1" x="1820"/>
        <item x="44"/>
        <item m="1" x="1332"/>
        <item m="1" x="634"/>
        <item x="21"/>
        <item m="1" x="590"/>
        <item x="14"/>
        <item m="1" x="2457"/>
        <item m="1" x="2542"/>
        <item x="42"/>
        <item m="1" x="480"/>
        <item m="1" x="2570"/>
        <item m="1" x="2716"/>
        <item m="1" x="495"/>
        <item m="1" x="623"/>
        <item m="1" x="2714"/>
        <item m="1" x="2713"/>
        <item x="5"/>
        <item m="1" x="103"/>
        <item m="1" x="1226"/>
        <item m="1" x="2694"/>
        <item m="1" x="780"/>
        <item m="1" x="2708"/>
        <item m="1" x="92"/>
        <item m="1" x="141"/>
        <item m="1" x="330"/>
        <item m="1" x="288"/>
        <item m="1" x="345"/>
        <item m="1" x="346"/>
        <item m="1" x="255"/>
        <item m="1" x="297"/>
        <item m="1" x="451"/>
        <item m="1" x="637"/>
        <item m="1" x="460"/>
        <item m="1" x="223"/>
        <item m="1" x="96"/>
        <item m="1" x="2035"/>
        <item m="1" x="2081"/>
        <item m="1" x="2101"/>
        <item m="1" x="1885"/>
        <item m="1" x="2419"/>
        <item m="1" x="573"/>
        <item m="1" x="124"/>
        <item m="1" x="2583"/>
        <item m="1" x="2593"/>
        <item m="1" x="2588"/>
        <item m="1" x="241"/>
        <item m="1" x="2683"/>
        <item m="1" x="155"/>
        <item m="1" x="190"/>
        <item m="1" x="392"/>
        <item m="1" x="65"/>
        <item m="1" x="432"/>
        <item m="1" x="192"/>
        <item m="1" x="606"/>
        <item m="1" x="724"/>
        <item m="1" x="582"/>
        <item x="4"/>
        <item x="46"/>
        <item m="1" x="232"/>
        <item m="1" x="2256"/>
        <item m="1" x="2122"/>
        <item m="1" x="1994"/>
        <item m="1" x="2461"/>
        <item m="1" x="812"/>
        <item m="1" x="1090"/>
        <item m="1" x="1537"/>
        <item m="1" x="137"/>
        <item m="1" x="340"/>
        <item m="1" x="706"/>
        <item m="1" x="2642"/>
        <item m="1" x="2643"/>
        <item m="1" x="600"/>
        <item m="1" x="2688"/>
        <item m="1" x="2703"/>
        <item m="1" x="839"/>
        <item m="1" x="331"/>
        <item m="1" x="1662"/>
        <item m="1" x="2299"/>
        <item m="1" x="129"/>
        <item m="1" x="2635"/>
        <item m="1" x="449"/>
        <item m="1" x="337"/>
        <item m="1" x="273"/>
        <item m="1" x="329"/>
        <item m="1" x="633"/>
        <item m="1" x="591"/>
        <item m="1" x="700"/>
        <item m="1" x="1815"/>
        <item m="1" x="1842"/>
        <item m="1" x="1810"/>
        <item m="1" x="1865"/>
        <item m="1" x="1093"/>
        <item m="1" x="2116"/>
        <item m="1" x="630"/>
        <item m="1" x="434"/>
        <item m="1" x="2563"/>
        <item m="1" x="2621"/>
        <item m="1" x="214"/>
        <item m="1" x="217"/>
        <item m="1" x="221"/>
        <item m="1" x="262"/>
        <item m="1" x="64"/>
        <item m="1" x="609"/>
        <item m="1" x="684"/>
        <item m="1" x="601"/>
        <item m="1" x="1145"/>
        <item m="1" x="2706"/>
        <item m="1" x="259"/>
        <item m="1" x="1509"/>
        <item m="1" x="2562"/>
        <item m="1" x="467"/>
        <item m="1" x="2681"/>
        <item m="1" x="1997"/>
        <item m="1" x="1799"/>
        <item m="1" x="317"/>
        <item m="1" x="182"/>
        <item m="1" x="643"/>
        <item m="1" x="276"/>
        <item m="1" x="471"/>
        <item m="1" x="740"/>
        <item m="1" x="473"/>
        <item sd="0" m="1" x="1711"/>
        <item m="1" x="556"/>
        <item m="1" x="49"/>
        <item m="1" x="415"/>
        <item m="1" x="521"/>
        <item m="1" x="1825"/>
        <item m="1" x="55"/>
        <item m="1" x="1714"/>
        <item m="1" x="1458"/>
        <item m="1" x="243"/>
        <item m="1" x="1395"/>
        <item m="1" x="309"/>
        <item m="1" x="1819"/>
        <item m="1" x="210"/>
        <item m="1" x="528"/>
        <item m="1" x="242"/>
        <item m="1" x="2572"/>
        <item m="1" x="2036"/>
        <item x="37"/>
        <item m="1" x="2667"/>
        <item m="1" x="433"/>
        <item m="1" x="1077"/>
        <item m="1" x="1510"/>
        <item m="1" x="463"/>
        <item m="1" x="343"/>
        <item m="1" x="231"/>
        <item x="22"/>
        <item x="10"/>
        <item m="1" x="2705"/>
        <item m="1" x="814"/>
        <item m="1" x="2155"/>
        <item m="1" x="1235"/>
        <item m="1" x="2095"/>
        <item m="1" x="494"/>
        <item m="1" x="2662"/>
        <item m="1" x="2044"/>
        <item m="1" x="610"/>
        <item m="1" x="2172"/>
        <item m="1" x="54"/>
        <item m="1" x="2704"/>
        <item m="1" x="502"/>
        <item m="1" x="52"/>
        <item x="19"/>
        <item x="2"/>
        <item x="33"/>
        <item m="1" x="914"/>
        <item m="1" x="2293"/>
        <item m="1" x="334"/>
        <item m="1" x="2295"/>
        <item m="1" x="61"/>
        <item m="1" x="1202"/>
        <item m="1" x="2628"/>
        <item m="1" x="156"/>
        <item m="1" x="367"/>
        <item m="1" x="559"/>
        <item m="1" x="396"/>
        <item m="1" x="469"/>
        <item m="1" x="2679"/>
        <item m="1" x="2693"/>
        <item m="1" x="1840"/>
        <item m="1" x="1867"/>
        <item m="1" x="424"/>
        <item x="9"/>
        <item m="1" x="2079"/>
        <item x="13"/>
        <item x="12"/>
        <item m="1" x="2033"/>
        <item m="1" x="271"/>
        <item x="20"/>
        <item m="1" x="51"/>
        <item m="1" x="2092"/>
        <item m="1" x="2575"/>
        <item x="35"/>
        <item m="1" x="705"/>
        <item m="1" x="1812"/>
        <item x="25"/>
        <item x="39"/>
        <item m="1" x="184"/>
        <item m="1" x="233"/>
        <item m="1" x="277"/>
        <item m="1" x="312"/>
        <item m="1" x="336"/>
        <item x="32"/>
        <item m="1" x="393"/>
        <item m="1" x="98"/>
        <item m="1" x="457"/>
        <item m="1" x="56"/>
        <item m="1" x="624"/>
        <item m="1" x="1720"/>
        <item x="36"/>
        <item m="1" x="1795"/>
        <item m="1" x="1811"/>
        <item x="23"/>
        <item m="1" x="605"/>
        <item m="1" x="1900"/>
        <item m="1" x="2054"/>
        <item m="1" x="2061"/>
        <item m="1" x="1140"/>
        <item x="11"/>
        <item m="1" x="2187"/>
        <item m="1" x="2392"/>
        <item x="17"/>
        <item m="1" x="1912"/>
        <item m="1" x="2684"/>
        <item m="1" x="2041"/>
        <item m="1" x="2047"/>
        <item m="1" x="335"/>
        <item m="1" x="2055"/>
        <item m="1" x="1040"/>
        <item m="1" x="2068"/>
        <item m="1" x="592"/>
        <item m="1" x="611"/>
        <item x="6"/>
        <item m="1" x="518"/>
        <item x="43"/>
        <item x="16"/>
        <item x="30"/>
        <item m="1" x="2159"/>
        <item m="1" x="75"/>
        <item x="38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4"/>
        <item m="1" x="97"/>
        <item m="1" x="99"/>
        <item m="1" x="100"/>
        <item m="1" x="101"/>
        <item m="1" x="102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7"/>
        <item m="1" x="118"/>
        <item m="1" x="119"/>
        <item m="1" x="120"/>
        <item m="1" x="121"/>
        <item m="1" x="122"/>
        <item m="1" x="123"/>
        <item m="1" x="125"/>
        <item m="1" x="126"/>
        <item m="1" x="127"/>
        <item x="0"/>
        <item m="1" x="130"/>
        <item m="1" x="131"/>
        <item m="1" x="133"/>
        <item m="1" x="134"/>
        <item m="1" x="135"/>
        <item m="1" x="136"/>
        <item x="1"/>
        <item m="1" x="138"/>
        <item m="1" x="139"/>
        <item m="1" x="140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3"/>
        <item m="1" x="185"/>
        <item m="1" x="186"/>
        <item m="1" x="187"/>
        <item m="1" x="188"/>
        <item m="1" x="189"/>
        <item m="1" x="191"/>
        <item m="1" x="193"/>
        <item m="1" x="194"/>
        <item m="1" x="195"/>
        <item m="1" x="196"/>
        <item m="1" x="197"/>
        <item m="1" x="198"/>
        <item m="1" x="199"/>
        <item m="1" x="200"/>
        <item m="1" x="202"/>
        <item m="1" x="203"/>
        <item m="1" x="204"/>
        <item m="1" x="205"/>
        <item m="1" x="206"/>
        <item m="1" x="207"/>
        <item m="1" x="208"/>
        <item m="1" x="209"/>
        <item m="1" x="211"/>
        <item m="1" x="212"/>
        <item m="1" x="215"/>
        <item m="1" x="216"/>
        <item m="1" x="218"/>
        <item m="1" x="219"/>
        <item m="1" x="220"/>
        <item m="1" x="222"/>
        <item m="1" x="224"/>
        <item m="1" x="225"/>
        <item m="1" x="226"/>
        <item m="1" x="227"/>
        <item m="1" x="228"/>
        <item m="1" x="229"/>
        <item m="1" x="230"/>
        <item m="1" x="63"/>
        <item m="1" x="236"/>
        <item m="1" x="237"/>
        <item m="1" x="238"/>
        <item m="1" x="239"/>
        <item m="1" x="240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7"/>
        <item m="1" x="260"/>
        <item m="1" x="261"/>
        <item m="1" x="263"/>
        <item m="1" x="264"/>
        <item m="1" x="265"/>
        <item m="1" x="266"/>
        <item m="1" x="267"/>
        <item m="1" x="268"/>
        <item m="1" x="269"/>
        <item m="1" x="270"/>
        <item m="1" x="272"/>
        <item m="1" x="274"/>
        <item m="1" x="275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9"/>
        <item m="1" x="290"/>
        <item m="1" x="291"/>
        <item m="1" x="292"/>
        <item m="1" x="294"/>
        <item m="1" x="295"/>
        <item m="1" x="296"/>
        <item m="1" x="298"/>
        <item m="1" x="299"/>
        <item m="1" x="300"/>
        <item m="1" x="302"/>
        <item m="1" x="303"/>
        <item m="1" x="304"/>
        <item m="1" x="305"/>
        <item m="1" x="306"/>
        <item m="1" x="310"/>
        <item m="1" x="311"/>
        <item m="1" x="313"/>
        <item m="1" x="314"/>
        <item m="1" x="315"/>
        <item m="1" x="316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32"/>
        <item m="1" x="333"/>
        <item m="1" x="338"/>
        <item m="1" x="339"/>
        <item m="1" x="341"/>
        <item m="1" x="342"/>
        <item m="1" x="344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8"/>
        <item m="1" x="389"/>
        <item m="1" x="390"/>
        <item m="1" x="391"/>
        <item m="1" x="394"/>
        <item m="1" x="395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6"/>
        <item m="1" x="417"/>
        <item m="1" x="418"/>
        <item m="1" x="419"/>
        <item m="1" x="420"/>
        <item m="1" x="421"/>
        <item m="1" x="422"/>
        <item m="1" x="423"/>
        <item m="1" x="425"/>
        <item m="1" x="426"/>
        <item m="1" x="427"/>
        <item m="1" x="428"/>
        <item m="1" x="429"/>
        <item m="1" x="430"/>
        <item m="1" x="431"/>
        <item m="1" x="53"/>
        <item m="1" x="435"/>
        <item m="1" x="436"/>
        <item m="1" x="437"/>
        <item m="1" x="438"/>
        <item m="1" x="440"/>
        <item m="1" x="441"/>
        <item m="1" x="442"/>
        <item m="1" x="443"/>
        <item m="1" x="444"/>
        <item m="1" x="446"/>
        <item m="1" x="447"/>
        <item m="1" x="448"/>
        <item m="1" x="450"/>
        <item m="1" x="452"/>
        <item m="1" x="453"/>
        <item m="1" x="454"/>
        <item m="1" x="455"/>
        <item m="1" x="458"/>
        <item m="1" x="459"/>
        <item m="1" x="461"/>
        <item m="1" x="462"/>
        <item m="1" x="464"/>
        <item m="1" x="466"/>
        <item m="1" x="468"/>
        <item m="1" x="470"/>
        <item m="1" x="472"/>
        <item m="1" x="474"/>
        <item m="1" x="475"/>
        <item m="1" x="476"/>
        <item m="1" x="477"/>
        <item m="1" x="478"/>
        <item m="1" x="479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57"/>
        <item m="1" x="496"/>
        <item m="1" x="497"/>
        <item m="1" x="498"/>
        <item m="1" x="499"/>
        <item m="1" x="500"/>
        <item m="1" x="501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9"/>
        <item m="1" x="520"/>
        <item m="1" x="523"/>
        <item m="1" x="524"/>
        <item m="1" x="525"/>
        <item m="1" x="526"/>
        <item m="1" x="527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7"/>
        <item m="1" x="558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4"/>
        <item m="1" x="575"/>
        <item m="1" x="576"/>
        <item m="1" x="577"/>
        <item m="1" x="578"/>
        <item m="1" x="579"/>
        <item m="1" x="580"/>
        <item m="1" x="581"/>
        <item m="1" x="583"/>
        <item m="1" x="584"/>
        <item m="1" x="585"/>
        <item m="1" x="586"/>
        <item m="1" x="587"/>
        <item m="1" x="588"/>
        <item m="1" x="589"/>
        <item m="1" x="594"/>
        <item m="1" x="595"/>
        <item m="1" x="597"/>
        <item m="1" x="598"/>
        <item m="1" x="599"/>
        <item m="1" x="602"/>
        <item m="1" x="603"/>
        <item m="1" x="607"/>
        <item m="1" x="608"/>
        <item x="4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5"/>
        <item m="1" x="626"/>
        <item m="1" x="627"/>
        <item m="1" x="628"/>
        <item m="1" x="629"/>
        <item m="1" x="632"/>
        <item m="1" x="635"/>
        <item m="1" x="58"/>
        <item m="1" x="636"/>
        <item m="1" x="638"/>
        <item m="1" x="639"/>
        <item m="1" x="641"/>
        <item m="1" x="642"/>
        <item m="1" x="644"/>
        <item m="1" x="645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701"/>
        <item m="1" x="702"/>
        <item m="1" x="703"/>
        <item m="1" x="704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x="34"/>
        <item m="1" x="725"/>
        <item m="1" x="726"/>
        <item m="1" x="727"/>
        <item m="1" x="728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3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5"/>
        <item m="1" x="916"/>
        <item m="1" x="917"/>
        <item m="1" x="918"/>
        <item m="1" x="919"/>
        <item m="1" x="920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73"/>
        <item m="1" x="1035"/>
        <item m="1" x="1036"/>
        <item m="1" x="1037"/>
        <item m="1" x="1038"/>
        <item m="1" x="1039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1"/>
        <item m="1" x="1092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5"/>
        <item m="1" x="1116"/>
        <item m="1" x="1117"/>
        <item m="1" x="1118"/>
        <item m="1" x="1119"/>
        <item m="1" x="50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1"/>
        <item m="1" x="1142"/>
        <item m="1" x="1143"/>
        <item m="1" x="1144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7"/>
        <item m="1" x="1228"/>
        <item m="1" x="1229"/>
        <item m="1" x="1230"/>
        <item m="1" x="1231"/>
        <item m="1" x="1232"/>
        <item m="1" x="1233"/>
        <item m="1" x="1234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2"/>
        <item m="1" x="1713"/>
        <item m="1" x="1715"/>
        <item m="1" x="1716"/>
        <item m="1" x="1717"/>
        <item m="1" x="1718"/>
        <item m="1" x="1719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59"/>
        <item m="1" x="1792"/>
        <item m="1" x="1793"/>
        <item m="1" x="1794"/>
        <item m="1" x="1796"/>
        <item m="1" x="1797"/>
        <item m="1" x="1798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3"/>
        <item m="1" x="1814"/>
        <item m="1" x="1816"/>
        <item m="1" x="1817"/>
        <item m="1" x="1818"/>
        <item m="1" x="1821"/>
        <item m="1" x="1822"/>
        <item m="1" x="60"/>
        <item m="1" x="1823"/>
        <item m="1" x="1824"/>
        <item m="1" x="1826"/>
        <item m="1" x="1827"/>
        <item m="1" x="1828"/>
        <item m="1" x="1829"/>
        <item m="1" x="1830"/>
        <item m="1" x="1831"/>
        <item m="1" x="1832"/>
        <item x="27"/>
        <item m="1" x="1833"/>
        <item m="1" x="1834"/>
        <item m="1" x="1835"/>
        <item m="1" x="1836"/>
        <item m="1" x="1837"/>
        <item m="1" x="1838"/>
        <item m="1" x="1839"/>
        <item m="1" x="1841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6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6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5"/>
        <item m="1" x="1996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4"/>
        <item m="1" x="2037"/>
        <item m="1" x="2038"/>
        <item m="1" x="2039"/>
        <item m="1" x="2040"/>
        <item m="1" x="2042"/>
        <item m="1" x="2043"/>
        <item m="1" x="2045"/>
        <item m="1" x="2046"/>
        <item m="1" x="2048"/>
        <item m="1" x="48"/>
        <item m="1" x="2049"/>
        <item m="1" x="2050"/>
        <item m="1" x="2051"/>
        <item x="3"/>
        <item m="1" x="2052"/>
        <item m="1" x="2053"/>
        <item m="1" x="2056"/>
        <item m="1" x="2057"/>
        <item m="1" x="2058"/>
        <item m="1" x="2059"/>
        <item m="1" x="2060"/>
        <item m="1" x="66"/>
        <item m="1" x="2062"/>
        <item m="1" x="2063"/>
        <item m="1" x="2064"/>
        <item m="1" x="2065"/>
        <item m="1" x="67"/>
        <item m="1" x="2066"/>
        <item m="1" x="2067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80"/>
        <item m="1" x="68"/>
        <item x="24"/>
        <item m="1" x="2082"/>
        <item m="1" x="2083"/>
        <item m="1" x="2084"/>
        <item m="1" x="2085"/>
        <item m="1" x="2086"/>
        <item m="1" x="2087"/>
        <item m="1" x="2088"/>
        <item m="1" x="2089"/>
        <item m="1" x="2091"/>
        <item m="1" x="2093"/>
        <item m="1" x="2094"/>
        <item m="1" x="2096"/>
        <item m="1" x="2097"/>
        <item m="1" x="2098"/>
        <item m="1" x="2099"/>
        <item m="1" x="2100"/>
        <item m="1" x="2102"/>
        <item m="1" x="2103"/>
        <item m="1" x="2104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8"/>
        <item m="1" x="2119"/>
        <item m="1" x="2120"/>
        <item m="1" x="2121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6"/>
        <item m="1" x="2157"/>
        <item m="1" x="2158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4"/>
        <item m="1" x="2296"/>
        <item m="1" x="2297"/>
        <item m="1" x="2298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20"/>
        <item m="1" x="2421"/>
        <item m="1" x="2422"/>
        <item m="1" x="2423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8"/>
        <item m="1" x="2459"/>
        <item m="1" x="2460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62"/>
        <item m="1" x="2510"/>
        <item m="1" x="2511"/>
        <item m="1" x="2512"/>
        <item m="1" x="2513"/>
        <item m="1" x="2514"/>
        <item m="1" x="69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4"/>
        <item m="1" x="2566"/>
        <item m="1" x="2567"/>
        <item m="1" x="2568"/>
        <item m="1" x="2569"/>
        <item m="1" x="2573"/>
        <item m="1" x="2574"/>
        <item m="1" x="2576"/>
        <item m="1" x="2577"/>
        <item m="1" x="2578"/>
        <item m="1" x="2579"/>
        <item m="1" x="2580"/>
        <item m="1" x="2581"/>
        <item m="1" x="2582"/>
        <item m="1" x="2584"/>
        <item m="1" x="2585"/>
        <item m="1" x="2586"/>
        <item m="1" x="2587"/>
        <item m="1" x="2589"/>
        <item m="1" x="2590"/>
        <item m="1" x="2591"/>
        <item m="1" x="2592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2"/>
        <item m="1" x="2623"/>
        <item m="1" x="2624"/>
        <item m="1" x="2625"/>
        <item m="1" x="2626"/>
        <item m="1" x="2627"/>
        <item m="1" x="2629"/>
        <item m="1" x="2630"/>
        <item m="1" x="2631"/>
        <item m="1" x="2632"/>
        <item m="1" x="2633"/>
        <item m="1" x="2634"/>
        <item m="1" x="2636"/>
        <item m="1" x="2637"/>
        <item m="1" x="2638"/>
        <item m="1" x="2639"/>
        <item m="1" x="2640"/>
        <item m="1" x="2641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70"/>
        <item m="1" x="2657"/>
        <item m="1" x="2658"/>
        <item m="1" x="2659"/>
        <item m="1" x="2660"/>
        <item m="1" x="2661"/>
        <item m="1" x="2663"/>
        <item m="1" x="2664"/>
        <item m="1" x="2665"/>
        <item m="1" x="2666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8"/>
        <item m="1" x="71"/>
        <item m="1" x="2680"/>
        <item m="1" x="2682"/>
        <item m="1" x="72"/>
        <item m="1" x="2685"/>
        <item m="1" x="2686"/>
        <item m="1" x="2687"/>
        <item m="1" x="74"/>
        <item m="1" x="2689"/>
        <item m="1" x="2690"/>
        <item m="1" x="2691"/>
        <item m="1" x="2692"/>
        <item m="1" x="2695"/>
        <item m="1" x="2696"/>
        <item m="1" x="2697"/>
        <item m="1" x="2698"/>
        <item m="1" x="2699"/>
        <item m="1" x="2700"/>
        <item m="1" x="2701"/>
        <item m="1" x="2702"/>
        <item t="default" sd="0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4"/>
    <field x="0"/>
  </rowFields>
  <rowItems count="5">
    <i>
      <x v="273"/>
    </i>
    <i r="1">
      <x v="58"/>
    </i>
    <i>
      <x v="2134"/>
    </i>
    <i r="1">
      <x v="57"/>
    </i>
    <i t="grand">
      <x/>
    </i>
  </rowItems>
  <colItems count="1">
    <i/>
  </colItems>
  <pageFields count="1">
    <pageField fld="3" hier="-1"/>
  </pageFields>
  <dataFields count="1">
    <dataField name="Total" fld="9" baseField="0" baseItem="0" numFmtId="44"/>
  </dataFields>
  <formats count="9">
    <format dxfId="138">
      <pivotArea collapsedLevelsAreSubtotals="1" fieldPosition="0">
        <references count="1">
          <reference field="4" count="1">
            <x v="1"/>
          </reference>
        </references>
      </pivotArea>
    </format>
    <format dxfId="137">
      <pivotArea collapsedLevelsAreSubtotals="1" fieldPosition="0">
        <references count="1">
          <reference field="4" count="1">
            <x v="7"/>
          </reference>
        </references>
      </pivotArea>
    </format>
    <format dxfId="136">
      <pivotArea collapsedLevelsAreSubtotals="1" fieldPosition="0">
        <references count="1">
          <reference field="4" count="1">
            <x v="12"/>
          </reference>
        </references>
      </pivotArea>
    </format>
    <format dxfId="135">
      <pivotArea collapsedLevelsAreSubtotals="1" fieldPosition="0">
        <references count="1">
          <reference field="4" count="1">
            <x v="17"/>
          </reference>
        </references>
      </pivotArea>
    </format>
    <format dxfId="134">
      <pivotArea collapsedLevelsAreSubtotals="1" fieldPosition="0">
        <references count="1">
          <reference field="4" count="1">
            <x v="20"/>
          </reference>
        </references>
      </pivotArea>
    </format>
    <format dxfId="133">
      <pivotArea collapsedLevelsAreSubtotals="1" fieldPosition="0">
        <references count="1">
          <reference field="4" count="1">
            <x v="23"/>
          </reference>
        </references>
      </pivotArea>
    </format>
    <format dxfId="132">
      <pivotArea dataOnly="0" labelOnly="1" fieldPosition="0">
        <references count="1">
          <reference field="4" count="6">
            <x v="1"/>
            <x v="7"/>
            <x v="12"/>
            <x v="17"/>
            <x v="20"/>
            <x v="23"/>
          </reference>
        </references>
      </pivotArea>
    </format>
    <format dxfId="131">
      <pivotArea field="4" type="button" dataOnly="0" labelOnly="1" outline="0" axis="axisRow" fieldPosition="0"/>
    </format>
    <format dxfId="130">
      <pivotArea dataOnly="0" labelOnly="1" outline="0" axis="axisValues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773FA4-F362-B34B-B244-15509B480BD0}" name="PivotTable6" cacheId="4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ient">
  <location ref="D4:E10" firstHeaderRow="1" firstDataRow="1" firstDataCol="1" rowPageCount="1" colPageCount="1"/>
  <pivotFields count="15">
    <pivotField showAll="0"/>
    <pivotField numFmtId="165" showAll="0"/>
    <pivotField axis="axisRow" showAll="0" measureFilter="1">
      <items count="537">
        <item m="1" x="433"/>
        <item x="2"/>
        <item m="1" x="358"/>
        <item m="1" x="297"/>
        <item m="1" x="373"/>
        <item m="1" x="381"/>
        <item m="1" x="202"/>
        <item m="1" x="303"/>
        <item m="1" x="533"/>
        <item m="1" x="295"/>
        <item m="1" x="488"/>
        <item x="7"/>
        <item m="1" x="510"/>
        <item x="9"/>
        <item m="1" x="426"/>
        <item m="1" x="413"/>
        <item m="1" x="518"/>
        <item m="1" x="385"/>
        <item m="1" x="392"/>
        <item x="15"/>
        <item x="16"/>
        <item m="1" x="504"/>
        <item x="17"/>
        <item m="1" x="447"/>
        <item m="1" x="481"/>
        <item x="18"/>
        <item m="1" x="347"/>
        <item m="1" x="354"/>
        <item m="1" x="411"/>
        <item m="1" x="418"/>
        <item m="1" x="186"/>
        <item m="1" x="277"/>
        <item x="21"/>
        <item m="1" x="479"/>
        <item m="1" x="436"/>
        <item m="1" x="367"/>
        <item x="23"/>
        <item x="26"/>
        <item x="27"/>
        <item m="1" x="485"/>
        <item m="1" x="469"/>
        <item m="1" x="394"/>
        <item m="1" x="435"/>
        <item x="30"/>
        <item m="1" x="248"/>
        <item x="32"/>
        <item x="33"/>
        <item x="34"/>
        <item x="35"/>
        <item m="1" x="482"/>
        <item m="1" x="226"/>
        <item m="1" x="283"/>
        <item x="38"/>
        <item m="1" x="213"/>
        <item m="1" x="274"/>
        <item m="1" x="425"/>
        <item m="1" x="345"/>
        <item m="1" x="532"/>
        <item m="1" x="443"/>
        <item m="1" x="331"/>
        <item m="1" x="396"/>
        <item x="39"/>
        <item m="1" x="501"/>
        <item m="1" x="387"/>
        <item x="40"/>
        <item x="44"/>
        <item x="45"/>
        <item m="1" x="289"/>
        <item m="1" x="475"/>
        <item m="1" x="521"/>
        <item m="1" x="376"/>
        <item m="1" x="221"/>
        <item x="46"/>
        <item m="1" x="431"/>
        <item m="1" x="292"/>
        <item m="1" x="414"/>
        <item m="1" x="375"/>
        <item m="1" x="471"/>
        <item x="47"/>
        <item m="1" x="393"/>
        <item m="1" x="494"/>
        <item x="51"/>
        <item m="1" x="416"/>
        <item x="52"/>
        <item m="1" x="439"/>
        <item m="1" x="256"/>
        <item x="53"/>
        <item x="54"/>
        <item x="55"/>
        <item m="1" x="529"/>
        <item m="1" x="461"/>
        <item m="1" x="415"/>
        <item x="58"/>
        <item x="59"/>
        <item m="1" x="452"/>
        <item m="1" x="457"/>
        <item m="1" x="508"/>
        <item m="1" x="208"/>
        <item m="1" x="321"/>
        <item m="1" x="390"/>
        <item m="1" x="293"/>
        <item m="1" x="366"/>
        <item m="1" x="310"/>
        <item x="63"/>
        <item m="1" x="400"/>
        <item m="1" x="446"/>
        <item x="66"/>
        <item m="1" x="259"/>
        <item m="1" x="519"/>
        <item x="68"/>
        <item m="1" x="490"/>
        <item m="1" x="344"/>
        <item x="71"/>
        <item m="1" x="406"/>
        <item x="72"/>
        <item m="1" x="458"/>
        <item m="1" x="196"/>
        <item m="1" x="314"/>
        <item m="1" x="419"/>
        <item x="74"/>
        <item x="75"/>
        <item x="76"/>
        <item m="1" x="404"/>
        <item m="1" x="302"/>
        <item m="1" x="372"/>
        <item m="1" x="316"/>
        <item m="1" x="276"/>
        <item m="1" x="361"/>
        <item m="1" x="468"/>
        <item m="1" x="371"/>
        <item m="1" x="430"/>
        <item x="79"/>
        <item x="80"/>
        <item m="1" x="427"/>
        <item x="81"/>
        <item m="1" x="395"/>
        <item m="1" x="407"/>
        <item m="1" x="473"/>
        <item m="1" x="445"/>
        <item m="1" x="405"/>
        <item m="1" x="464"/>
        <item m="1" x="230"/>
        <item x="83"/>
        <item m="1" x="514"/>
        <item m="1" x="456"/>
        <item m="1" x="517"/>
        <item m="1" x="422"/>
        <item m="1" x="505"/>
        <item m="1" x="233"/>
        <item m="1" x="250"/>
        <item m="1" x="470"/>
        <item x="87"/>
        <item x="89"/>
        <item m="1" x="465"/>
        <item m="1" x="489"/>
        <item m="1" x="300"/>
        <item x="92"/>
        <item m="1" x="315"/>
        <item m="1" x="278"/>
        <item m="1" x="486"/>
        <item m="1" x="454"/>
        <item m="1" x="211"/>
        <item m="1" x="317"/>
        <item m="1" x="298"/>
        <item m="1" x="288"/>
        <item m="1" x="448"/>
        <item m="1" x="450"/>
        <item m="1" x="512"/>
        <item x="96"/>
        <item x="98"/>
        <item m="1" x="516"/>
        <item m="1" x="365"/>
        <item m="1" x="242"/>
        <item m="1" x="377"/>
        <item m="1" x="491"/>
        <item m="1" x="472"/>
        <item m="1" x="384"/>
        <item m="1" x="309"/>
        <item m="1" x="311"/>
        <item x="103"/>
        <item m="1" x="386"/>
        <item m="1" x="197"/>
        <item m="1" x="528"/>
        <item m="1" x="223"/>
        <item m="1" x="275"/>
        <item m="1" x="194"/>
        <item x="106"/>
        <item m="1" x="403"/>
        <item m="1" x="525"/>
        <item m="1" x="324"/>
        <item m="1" x="243"/>
        <item m="1" x="434"/>
        <item m="1" x="363"/>
        <item m="1" x="437"/>
        <item m="1" x="329"/>
        <item m="1" x="284"/>
        <item m="1" x="441"/>
        <item x="109"/>
        <item x="110"/>
        <item m="1" x="225"/>
        <item m="1" x="442"/>
        <item m="1" x="402"/>
        <item m="1" x="333"/>
        <item x="111"/>
        <item m="1" x="383"/>
        <item x="114"/>
        <item m="1" x="507"/>
        <item m="1" x="493"/>
        <item x="117"/>
        <item m="1" x="330"/>
        <item m="1" x="389"/>
        <item m="1" x="234"/>
        <item m="1" x="408"/>
        <item m="1" x="506"/>
        <item m="1" x="391"/>
        <item m="1" x="509"/>
        <item m="1" x="374"/>
        <item m="1" x="305"/>
        <item m="1" x="282"/>
        <item x="122"/>
        <item m="1" x="280"/>
        <item x="124"/>
        <item m="1" x="356"/>
        <item m="1" x="327"/>
        <item m="1" x="398"/>
        <item m="1" x="498"/>
        <item x="126"/>
        <item m="1" x="451"/>
        <item m="1" x="530"/>
        <item m="1" x="388"/>
        <item x="128"/>
        <item m="1" x="206"/>
        <item m="1" x="417"/>
        <item m="1" x="534"/>
        <item m="1" x="440"/>
        <item m="1" x="254"/>
        <item x="130"/>
        <item m="1" x="455"/>
        <item m="1" x="523"/>
        <item m="1" x="296"/>
        <item m="1" x="474"/>
        <item m="1" x="334"/>
        <item m="1" x="531"/>
        <item m="1" x="229"/>
        <item x="134"/>
        <item x="135"/>
        <item m="1" x="535"/>
        <item m="1" x="476"/>
        <item m="1" x="239"/>
        <item m="1" x="478"/>
        <item x="138"/>
        <item m="1" x="423"/>
        <item m="1" x="401"/>
        <item m="1" x="397"/>
        <item m="1" x="526"/>
        <item x="142"/>
        <item x="143"/>
        <item m="1" x="428"/>
        <item x="144"/>
        <item x="145"/>
        <item x="146"/>
        <item m="1" x="247"/>
        <item m="1" x="502"/>
        <item m="1" x="207"/>
        <item m="1" x="222"/>
        <item m="1" x="462"/>
        <item m="1" x="520"/>
        <item m="1" x="410"/>
        <item m="1" x="511"/>
        <item m="1" x="424"/>
        <item m="1" x="421"/>
        <item m="1" x="499"/>
        <item m="1" x="515"/>
        <item m="1" x="527"/>
        <item m="1" x="379"/>
        <item x="150"/>
        <item m="1" x="369"/>
        <item x="151"/>
        <item m="1" x="237"/>
        <item m="1" x="323"/>
        <item x="152"/>
        <item x="153"/>
        <item x="154"/>
        <item m="1" x="348"/>
        <item m="1" x="236"/>
        <item m="1" x="483"/>
        <item m="1" x="420"/>
        <item m="1" x="503"/>
        <item m="1" x="460"/>
        <item m="1" x="513"/>
        <item m="1" x="320"/>
        <item m="1" x="453"/>
        <item m="1" x="500"/>
        <item x="160"/>
        <item m="1" x="484"/>
        <item m="1" x="399"/>
        <item x="161"/>
        <item m="1" x="304"/>
        <item m="1" x="382"/>
        <item m="1" x="318"/>
        <item m="1" x="319"/>
        <item m="1" x="429"/>
        <item m="1" x="378"/>
        <item m="1" x="269"/>
        <item m="1" x="496"/>
        <item m="1" x="281"/>
        <item m="1" x="495"/>
        <item m="1" x="301"/>
        <item x="162"/>
        <item m="1" x="353"/>
        <item m="1" x="343"/>
        <item m="1" x="312"/>
        <item m="1" x="497"/>
        <item m="1" x="350"/>
        <item m="1" x="368"/>
        <item m="1" x="438"/>
        <item m="1" x="342"/>
        <item m="1" x="467"/>
        <item m="1" x="337"/>
        <item m="1" x="524"/>
        <item m="1" x="299"/>
        <item m="1" x="459"/>
        <item m="1" x="466"/>
        <item m="1" x="492"/>
        <item m="1" x="477"/>
        <item m="1" x="449"/>
        <item m="1" x="409"/>
        <item m="1" x="480"/>
        <item x="167"/>
        <item m="1" x="522"/>
        <item m="1" x="261"/>
        <item m="1" x="412"/>
        <item m="1" x="432"/>
        <item m="1" x="444"/>
        <item m="1" x="370"/>
        <item x="172"/>
        <item m="1" x="273"/>
        <item x="173"/>
        <item m="1" x="487"/>
        <item m="1" x="463"/>
        <item x="175"/>
        <item m="1" x="380"/>
        <item x="177"/>
        <item m="1" x="181"/>
        <item m="1" x="220"/>
        <item m="1" x="279"/>
        <item m="1" x="258"/>
        <item m="1" x="285"/>
        <item m="1" x="286"/>
        <item m="1" x="287"/>
        <item m="1" x="290"/>
        <item m="1" x="231"/>
        <item m="1" x="291"/>
        <item m="1" x="294"/>
        <item m="1" x="228"/>
        <item x="166"/>
        <item m="1" x="306"/>
        <item m="1" x="307"/>
        <item m="1" x="308"/>
        <item m="1" x="313"/>
        <item x="19"/>
        <item m="1" x="322"/>
        <item m="1" x="325"/>
        <item m="1" x="262"/>
        <item m="1" x="326"/>
        <item x="5"/>
        <item m="1" x="328"/>
        <item m="1" x="255"/>
        <item m="1" x="332"/>
        <item m="1" x="335"/>
        <item m="1" x="336"/>
        <item m="1" x="338"/>
        <item m="1" x="339"/>
        <item m="1" x="340"/>
        <item m="1" x="341"/>
        <item m="1" x="200"/>
        <item m="1" x="346"/>
        <item m="1" x="209"/>
        <item m="1" x="349"/>
        <item x="131"/>
        <item m="1" x="351"/>
        <item m="1" x="352"/>
        <item m="1" x="355"/>
        <item m="1" x="357"/>
        <item m="1" x="238"/>
        <item m="1" x="359"/>
        <item m="1" x="360"/>
        <item m="1" x="362"/>
        <item x="179"/>
        <item m="1" x="364"/>
        <item m="1" x="219"/>
        <item m="1" x="182"/>
        <item x="123"/>
        <item m="1" x="183"/>
        <item m="1" x="184"/>
        <item m="1" x="185"/>
        <item x="85"/>
        <item m="1" x="187"/>
        <item m="1" x="188"/>
        <item m="1" x="189"/>
        <item x="97"/>
        <item m="1" x="190"/>
        <item m="1" x="191"/>
        <item x="24"/>
        <item m="1" x="192"/>
        <item m="1" x="193"/>
        <item x="140"/>
        <item m="1" x="195"/>
        <item m="1" x="198"/>
        <item m="1" x="199"/>
        <item m="1" x="201"/>
        <item m="1" x="203"/>
        <item m="1" x="204"/>
        <item m="1" x="205"/>
        <item x="112"/>
        <item m="1" x="210"/>
        <item m="1" x="212"/>
        <item x="171"/>
        <item m="1" x="214"/>
        <item x="156"/>
        <item x="170"/>
        <item m="1" x="215"/>
        <item m="1" x="216"/>
        <item m="1" x="217"/>
        <item m="1" x="218"/>
        <item x="165"/>
        <item m="1" x="224"/>
        <item m="1" x="227"/>
        <item x="70"/>
        <item x="133"/>
        <item x="95"/>
        <item m="1" x="232"/>
        <item x="118"/>
        <item m="1" x="235"/>
        <item m="1" x="240"/>
        <item m="1" x="241"/>
        <item m="1" x="244"/>
        <item m="1" x="245"/>
        <item x="77"/>
        <item x="149"/>
        <item m="1" x="246"/>
        <item m="1" x="249"/>
        <item x="180"/>
        <item x="29"/>
        <item m="1" x="251"/>
        <item m="1" x="252"/>
        <item m="1" x="253"/>
        <item m="1" x="257"/>
        <item x="141"/>
        <item m="1" x="260"/>
        <item x="61"/>
        <item m="1" x="263"/>
        <item m="1" x="264"/>
        <item m="1" x="265"/>
        <item m="1" x="266"/>
        <item m="1" x="267"/>
        <item m="1" x="268"/>
        <item m="1" x="270"/>
        <item m="1" x="271"/>
        <item m="1" x="272"/>
        <item x="0"/>
        <item x="1"/>
        <item x="3"/>
        <item x="4"/>
        <item x="6"/>
        <item x="8"/>
        <item x="10"/>
        <item x="11"/>
        <item x="12"/>
        <item x="13"/>
        <item x="14"/>
        <item x="20"/>
        <item x="22"/>
        <item x="25"/>
        <item x="28"/>
        <item x="31"/>
        <item x="36"/>
        <item x="37"/>
        <item x="41"/>
        <item x="42"/>
        <item x="43"/>
        <item x="48"/>
        <item x="49"/>
        <item x="50"/>
        <item x="56"/>
        <item x="57"/>
        <item x="60"/>
        <item x="62"/>
        <item x="64"/>
        <item x="65"/>
        <item x="67"/>
        <item x="69"/>
        <item x="73"/>
        <item x="78"/>
        <item x="82"/>
        <item x="84"/>
        <item x="86"/>
        <item x="88"/>
        <item x="90"/>
        <item x="91"/>
        <item x="93"/>
        <item x="94"/>
        <item x="99"/>
        <item x="100"/>
        <item x="101"/>
        <item x="102"/>
        <item x="104"/>
        <item x="105"/>
        <item x="107"/>
        <item x="108"/>
        <item x="113"/>
        <item x="115"/>
        <item x="116"/>
        <item x="119"/>
        <item x="120"/>
        <item x="121"/>
        <item x="125"/>
        <item x="127"/>
        <item x="129"/>
        <item x="132"/>
        <item x="136"/>
        <item x="137"/>
        <item x="139"/>
        <item x="147"/>
        <item x="148"/>
        <item x="155"/>
        <item x="157"/>
        <item x="158"/>
        <item x="159"/>
        <item x="163"/>
        <item x="164"/>
        <item x="168"/>
        <item x="169"/>
        <item x="174"/>
        <item x="176"/>
        <item x="178"/>
        <item t="default"/>
      </items>
    </pivotField>
    <pivotField axis="axisPage" multipleItemSelectionAllowed="1" showAll="0">
      <items count="41">
        <item h="1" x="2"/>
        <item h="1" x="7"/>
        <item h="1" x="3"/>
        <item h="1" m="1" x="35"/>
        <item h="1" x="20"/>
        <item h="1" m="1" x="32"/>
        <item h="1" x="5"/>
        <item h="1" x="6"/>
        <item h="1" x="11"/>
        <item h="1" x="15"/>
        <item h="1" m="1" x="30"/>
        <item h="1" x="1"/>
        <item h="1" x="16"/>
        <item h="1" x="21"/>
        <item h="1" x="19"/>
        <item h="1" x="8"/>
        <item h="1" x="0"/>
        <item h="1" x="9"/>
        <item h="1" x="13"/>
        <item h="1" x="4"/>
        <item h="1" x="10"/>
        <item h="1" m="1" x="38"/>
        <item h="1" m="1" x="33"/>
        <item h="1" m="1" x="26"/>
        <item h="1" x="12"/>
        <item h="1" m="1" x="28"/>
        <item h="1" m="1" x="36"/>
        <item h="1" m="1" x="37"/>
        <item h="1" m="1" x="29"/>
        <item h="1" m="1" x="39"/>
        <item h="1" m="1" x="23"/>
        <item h="1" m="1" x="31"/>
        <item h="1" m="1" x="25"/>
        <item h="1" x="17"/>
        <item h="1" m="1" x="34"/>
        <item x="14"/>
        <item h="1" m="1" x="24"/>
        <item h="1" m="1" x="27"/>
        <item h="1" x="18"/>
        <item h="1" x="22"/>
        <item t="default"/>
      </items>
    </pivotField>
    <pivotField showAll="0"/>
    <pivotField numFmtId="4" showAll="0"/>
    <pivotField numFmtId="4" showAll="0"/>
    <pivotField dataField="1" numFmtId="4" showAll="0"/>
    <pivotField numFmtId="4" showAll="0"/>
    <pivotField numFmtId="4" showAll="0"/>
    <pivotField numFmtId="166" showAll="0"/>
    <pivotField showAll="0"/>
    <pivotField showAll="0"/>
    <pivotField showAll="0"/>
    <pivotField showAll="0"/>
  </pivotFields>
  <rowFields count="1">
    <field x="2"/>
  </rowFields>
  <rowItems count="6">
    <i>
      <x v="474"/>
    </i>
    <i>
      <x v="495"/>
    </i>
    <i>
      <x v="506"/>
    </i>
    <i>
      <x v="514"/>
    </i>
    <i>
      <x v="529"/>
    </i>
    <i t="grand">
      <x/>
    </i>
  </rowItems>
  <colItems count="1">
    <i/>
  </colItems>
  <pageFields count="1">
    <pageField fld="3" hier="-1"/>
  </pageFields>
  <dataFields count="1">
    <dataField name="Total" fld="7" baseField="0" baseItem="0" numFmtId="44"/>
  </dataFields>
  <formats count="2">
    <format dxfId="140">
      <pivotArea field="2" type="button" dataOnly="0" labelOnly="1" outline="0" axis="axisRow" fieldPosition="0"/>
    </format>
    <format dxfId="139">
      <pivotArea dataOnly="0" labelOnly="1" outline="0" axis="axisValues" fieldPosition="0"/>
    </format>
  </formats>
  <pivotTableStyleInfo name="PivotStyleLight16" showRowHeaders="1" showColHeaders="1" showRowStripes="1" showColStripes="0" showLastColumn="1"/>
  <filters count="1">
    <filter fld="2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53B198-3B09-7747-9B96-99F0FA13F890}" name="PivotTable6" cacheId="4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ient">
  <location ref="D4:E7" firstHeaderRow="1" firstDataRow="1" firstDataCol="1" rowPageCount="1" colPageCount="1"/>
  <pivotFields count="15">
    <pivotField showAll="0"/>
    <pivotField numFmtId="165" showAll="0"/>
    <pivotField axis="axisRow" showAll="0" measureFilter="1">
      <items count="537">
        <item m="1" x="433"/>
        <item x="2"/>
        <item m="1" x="358"/>
        <item m="1" x="297"/>
        <item m="1" x="373"/>
        <item m="1" x="381"/>
        <item m="1" x="202"/>
        <item m="1" x="303"/>
        <item m="1" x="533"/>
        <item m="1" x="295"/>
        <item m="1" x="488"/>
        <item x="7"/>
        <item m="1" x="510"/>
        <item x="9"/>
        <item m="1" x="426"/>
        <item m="1" x="413"/>
        <item m="1" x="518"/>
        <item m="1" x="385"/>
        <item m="1" x="392"/>
        <item x="15"/>
        <item x="16"/>
        <item m="1" x="504"/>
        <item x="17"/>
        <item m="1" x="447"/>
        <item m="1" x="481"/>
        <item x="18"/>
        <item m="1" x="347"/>
        <item m="1" x="354"/>
        <item m="1" x="411"/>
        <item m="1" x="418"/>
        <item m="1" x="186"/>
        <item m="1" x="277"/>
        <item x="21"/>
        <item m="1" x="479"/>
        <item m="1" x="436"/>
        <item m="1" x="367"/>
        <item x="23"/>
        <item x="26"/>
        <item x="27"/>
        <item m="1" x="485"/>
        <item m="1" x="469"/>
        <item m="1" x="394"/>
        <item m="1" x="435"/>
        <item x="30"/>
        <item m="1" x="248"/>
        <item x="32"/>
        <item x="33"/>
        <item x="34"/>
        <item x="35"/>
        <item m="1" x="482"/>
        <item m="1" x="226"/>
        <item m="1" x="283"/>
        <item x="38"/>
        <item m="1" x="213"/>
        <item m="1" x="274"/>
        <item m="1" x="425"/>
        <item m="1" x="345"/>
        <item m="1" x="532"/>
        <item m="1" x="443"/>
        <item m="1" x="331"/>
        <item m="1" x="396"/>
        <item x="39"/>
        <item m="1" x="501"/>
        <item m="1" x="387"/>
        <item x="40"/>
        <item x="44"/>
        <item x="45"/>
        <item m="1" x="289"/>
        <item m="1" x="475"/>
        <item m="1" x="521"/>
        <item m="1" x="376"/>
        <item m="1" x="221"/>
        <item x="46"/>
        <item m="1" x="431"/>
        <item m="1" x="292"/>
        <item m="1" x="414"/>
        <item m="1" x="375"/>
        <item m="1" x="471"/>
        <item x="47"/>
        <item m="1" x="393"/>
        <item m="1" x="494"/>
        <item x="51"/>
        <item m="1" x="416"/>
        <item x="52"/>
        <item m="1" x="439"/>
        <item m="1" x="256"/>
        <item x="53"/>
        <item x="54"/>
        <item x="55"/>
        <item m="1" x="529"/>
        <item m="1" x="461"/>
        <item m="1" x="415"/>
        <item x="58"/>
        <item x="59"/>
        <item m="1" x="452"/>
        <item m="1" x="457"/>
        <item m="1" x="508"/>
        <item m="1" x="208"/>
        <item m="1" x="321"/>
        <item m="1" x="390"/>
        <item m="1" x="293"/>
        <item m="1" x="366"/>
        <item m="1" x="310"/>
        <item x="63"/>
        <item m="1" x="400"/>
        <item m="1" x="446"/>
        <item x="66"/>
        <item m="1" x="259"/>
        <item m="1" x="519"/>
        <item x="68"/>
        <item m="1" x="490"/>
        <item m="1" x="344"/>
        <item x="71"/>
        <item m="1" x="406"/>
        <item x="72"/>
        <item m="1" x="458"/>
        <item m="1" x="196"/>
        <item m="1" x="314"/>
        <item m="1" x="419"/>
        <item x="74"/>
        <item x="75"/>
        <item x="76"/>
        <item m="1" x="404"/>
        <item m="1" x="302"/>
        <item m="1" x="372"/>
        <item m="1" x="316"/>
        <item m="1" x="276"/>
        <item m="1" x="361"/>
        <item m="1" x="468"/>
        <item m="1" x="371"/>
        <item m="1" x="430"/>
        <item x="79"/>
        <item x="80"/>
        <item m="1" x="427"/>
        <item x="81"/>
        <item m="1" x="395"/>
        <item m="1" x="407"/>
        <item m="1" x="473"/>
        <item m="1" x="445"/>
        <item m="1" x="405"/>
        <item m="1" x="464"/>
        <item m="1" x="230"/>
        <item x="83"/>
        <item m="1" x="514"/>
        <item m="1" x="456"/>
        <item m="1" x="517"/>
        <item m="1" x="422"/>
        <item m="1" x="505"/>
        <item m="1" x="233"/>
        <item m="1" x="250"/>
        <item m="1" x="470"/>
        <item x="87"/>
        <item x="89"/>
        <item m="1" x="465"/>
        <item m="1" x="489"/>
        <item m="1" x="300"/>
        <item x="92"/>
        <item m="1" x="315"/>
        <item m="1" x="278"/>
        <item m="1" x="486"/>
        <item m="1" x="454"/>
        <item m="1" x="211"/>
        <item m="1" x="317"/>
        <item m="1" x="298"/>
        <item m="1" x="288"/>
        <item m="1" x="448"/>
        <item m="1" x="450"/>
        <item m="1" x="512"/>
        <item x="96"/>
        <item x="98"/>
        <item m="1" x="516"/>
        <item m="1" x="365"/>
        <item m="1" x="242"/>
        <item m="1" x="377"/>
        <item m="1" x="491"/>
        <item m="1" x="472"/>
        <item m="1" x="384"/>
        <item m="1" x="309"/>
        <item m="1" x="311"/>
        <item x="103"/>
        <item m="1" x="386"/>
        <item m="1" x="197"/>
        <item m="1" x="528"/>
        <item m="1" x="223"/>
        <item m="1" x="275"/>
        <item m="1" x="194"/>
        <item x="106"/>
        <item m="1" x="403"/>
        <item m="1" x="525"/>
        <item m="1" x="324"/>
        <item m="1" x="243"/>
        <item m="1" x="434"/>
        <item m="1" x="363"/>
        <item m="1" x="437"/>
        <item m="1" x="329"/>
        <item m="1" x="284"/>
        <item m="1" x="441"/>
        <item x="109"/>
        <item x="110"/>
        <item m="1" x="225"/>
        <item m="1" x="442"/>
        <item m="1" x="402"/>
        <item m="1" x="333"/>
        <item x="111"/>
        <item m="1" x="383"/>
        <item x="114"/>
        <item m="1" x="507"/>
        <item m="1" x="493"/>
        <item x="117"/>
        <item m="1" x="330"/>
        <item m="1" x="389"/>
        <item m="1" x="234"/>
        <item m="1" x="408"/>
        <item m="1" x="506"/>
        <item m="1" x="391"/>
        <item m="1" x="509"/>
        <item m="1" x="374"/>
        <item m="1" x="305"/>
        <item m="1" x="282"/>
        <item x="122"/>
        <item m="1" x="280"/>
        <item x="124"/>
        <item m="1" x="356"/>
        <item m="1" x="327"/>
        <item m="1" x="398"/>
        <item m="1" x="498"/>
        <item x="126"/>
        <item m="1" x="451"/>
        <item m="1" x="530"/>
        <item m="1" x="388"/>
        <item x="128"/>
        <item m="1" x="206"/>
        <item m="1" x="417"/>
        <item m="1" x="534"/>
        <item m="1" x="440"/>
        <item m="1" x="254"/>
        <item x="130"/>
        <item m="1" x="455"/>
        <item m="1" x="523"/>
        <item m="1" x="296"/>
        <item m="1" x="474"/>
        <item m="1" x="334"/>
        <item m="1" x="531"/>
        <item m="1" x="229"/>
        <item x="134"/>
        <item x="135"/>
        <item m="1" x="535"/>
        <item m="1" x="476"/>
        <item m="1" x="239"/>
        <item m="1" x="478"/>
        <item x="138"/>
        <item m="1" x="423"/>
        <item m="1" x="401"/>
        <item m="1" x="397"/>
        <item m="1" x="526"/>
        <item x="142"/>
        <item x="143"/>
        <item m="1" x="428"/>
        <item x="144"/>
        <item x="145"/>
        <item x="146"/>
        <item m="1" x="247"/>
        <item m="1" x="502"/>
        <item m="1" x="207"/>
        <item m="1" x="222"/>
        <item m="1" x="462"/>
        <item m="1" x="520"/>
        <item m="1" x="410"/>
        <item m="1" x="511"/>
        <item m="1" x="424"/>
        <item m="1" x="421"/>
        <item m="1" x="499"/>
        <item m="1" x="515"/>
        <item m="1" x="527"/>
        <item m="1" x="379"/>
        <item x="150"/>
        <item m="1" x="369"/>
        <item x="151"/>
        <item m="1" x="237"/>
        <item m="1" x="323"/>
        <item x="152"/>
        <item x="153"/>
        <item x="154"/>
        <item m="1" x="348"/>
        <item m="1" x="236"/>
        <item m="1" x="483"/>
        <item m="1" x="420"/>
        <item m="1" x="503"/>
        <item m="1" x="460"/>
        <item m="1" x="513"/>
        <item m="1" x="320"/>
        <item m="1" x="453"/>
        <item m="1" x="500"/>
        <item x="160"/>
        <item m="1" x="484"/>
        <item m="1" x="399"/>
        <item x="161"/>
        <item m="1" x="304"/>
        <item m="1" x="382"/>
        <item m="1" x="318"/>
        <item m="1" x="319"/>
        <item m="1" x="429"/>
        <item m="1" x="378"/>
        <item m="1" x="269"/>
        <item m="1" x="496"/>
        <item m="1" x="281"/>
        <item m="1" x="495"/>
        <item m="1" x="301"/>
        <item x="162"/>
        <item m="1" x="353"/>
        <item m="1" x="343"/>
        <item m="1" x="312"/>
        <item m="1" x="497"/>
        <item m="1" x="350"/>
        <item m="1" x="368"/>
        <item m="1" x="438"/>
        <item m="1" x="342"/>
        <item m="1" x="467"/>
        <item m="1" x="337"/>
        <item m="1" x="524"/>
        <item m="1" x="299"/>
        <item m="1" x="459"/>
        <item m="1" x="466"/>
        <item m="1" x="492"/>
        <item m="1" x="477"/>
        <item m="1" x="449"/>
        <item m="1" x="409"/>
        <item m="1" x="480"/>
        <item x="167"/>
        <item m="1" x="522"/>
        <item m="1" x="261"/>
        <item m="1" x="412"/>
        <item m="1" x="432"/>
        <item m="1" x="444"/>
        <item m="1" x="370"/>
        <item x="172"/>
        <item m="1" x="273"/>
        <item x="173"/>
        <item m="1" x="487"/>
        <item m="1" x="463"/>
        <item x="175"/>
        <item m="1" x="380"/>
        <item x="177"/>
        <item m="1" x="181"/>
        <item m="1" x="220"/>
        <item m="1" x="279"/>
        <item m="1" x="258"/>
        <item m="1" x="285"/>
        <item m="1" x="286"/>
        <item m="1" x="287"/>
        <item m="1" x="290"/>
        <item m="1" x="231"/>
        <item m="1" x="291"/>
        <item m="1" x="294"/>
        <item m="1" x="228"/>
        <item x="166"/>
        <item m="1" x="306"/>
        <item m="1" x="307"/>
        <item m="1" x="308"/>
        <item m="1" x="313"/>
        <item x="19"/>
        <item m="1" x="322"/>
        <item m="1" x="325"/>
        <item m="1" x="262"/>
        <item m="1" x="326"/>
        <item x="5"/>
        <item m="1" x="328"/>
        <item m="1" x="255"/>
        <item m="1" x="332"/>
        <item m="1" x="335"/>
        <item m="1" x="336"/>
        <item m="1" x="338"/>
        <item m="1" x="339"/>
        <item m="1" x="340"/>
        <item m="1" x="341"/>
        <item m="1" x="200"/>
        <item m="1" x="346"/>
        <item m="1" x="209"/>
        <item m="1" x="349"/>
        <item x="131"/>
        <item m="1" x="351"/>
        <item m="1" x="352"/>
        <item m="1" x="355"/>
        <item m="1" x="357"/>
        <item m="1" x="238"/>
        <item m="1" x="359"/>
        <item m="1" x="360"/>
        <item m="1" x="362"/>
        <item x="179"/>
        <item m="1" x="364"/>
        <item m="1" x="219"/>
        <item m="1" x="182"/>
        <item x="123"/>
        <item m="1" x="183"/>
        <item m="1" x="184"/>
        <item m="1" x="185"/>
        <item x="85"/>
        <item m="1" x="187"/>
        <item m="1" x="188"/>
        <item m="1" x="189"/>
        <item x="97"/>
        <item m="1" x="190"/>
        <item m="1" x="191"/>
        <item x="24"/>
        <item m="1" x="192"/>
        <item m="1" x="193"/>
        <item x="140"/>
        <item m="1" x="195"/>
        <item m="1" x="198"/>
        <item m="1" x="199"/>
        <item m="1" x="201"/>
        <item m="1" x="203"/>
        <item m="1" x="204"/>
        <item m="1" x="205"/>
        <item x="112"/>
        <item m="1" x="210"/>
        <item m="1" x="212"/>
        <item x="171"/>
        <item m="1" x="214"/>
        <item x="156"/>
        <item x="170"/>
        <item m="1" x="215"/>
        <item m="1" x="216"/>
        <item m="1" x="217"/>
        <item m="1" x="218"/>
        <item x="165"/>
        <item m="1" x="224"/>
        <item m="1" x="227"/>
        <item x="70"/>
        <item x="133"/>
        <item x="95"/>
        <item m="1" x="232"/>
        <item x="118"/>
        <item m="1" x="235"/>
        <item m="1" x="240"/>
        <item m="1" x="241"/>
        <item m="1" x="244"/>
        <item m="1" x="245"/>
        <item x="77"/>
        <item x="149"/>
        <item m="1" x="246"/>
        <item m="1" x="249"/>
        <item x="180"/>
        <item x="29"/>
        <item m="1" x="251"/>
        <item m="1" x="252"/>
        <item m="1" x="253"/>
        <item m="1" x="257"/>
        <item x="141"/>
        <item m="1" x="260"/>
        <item x="61"/>
        <item m="1" x="263"/>
        <item m="1" x="264"/>
        <item m="1" x="265"/>
        <item m="1" x="266"/>
        <item m="1" x="267"/>
        <item m="1" x="268"/>
        <item m="1" x="270"/>
        <item m="1" x="271"/>
        <item m="1" x="272"/>
        <item x="0"/>
        <item x="1"/>
        <item x="3"/>
        <item x="4"/>
        <item x="6"/>
        <item x="8"/>
        <item x="10"/>
        <item x="11"/>
        <item x="12"/>
        <item x="13"/>
        <item x="14"/>
        <item x="20"/>
        <item x="22"/>
        <item x="25"/>
        <item x="28"/>
        <item x="31"/>
        <item x="36"/>
        <item x="37"/>
        <item x="41"/>
        <item x="42"/>
        <item x="43"/>
        <item x="48"/>
        <item x="49"/>
        <item x="50"/>
        <item x="56"/>
        <item x="57"/>
        <item x="60"/>
        <item x="62"/>
        <item x="64"/>
        <item x="65"/>
        <item x="67"/>
        <item x="69"/>
        <item x="73"/>
        <item x="78"/>
        <item x="82"/>
        <item x="84"/>
        <item x="86"/>
        <item x="88"/>
        <item x="90"/>
        <item x="91"/>
        <item x="93"/>
        <item x="94"/>
        <item x="99"/>
        <item x="100"/>
        <item x="101"/>
        <item x="102"/>
        <item x="104"/>
        <item x="105"/>
        <item x="107"/>
        <item x="108"/>
        <item x="113"/>
        <item x="115"/>
        <item x="116"/>
        <item x="119"/>
        <item x="120"/>
        <item x="121"/>
        <item x="125"/>
        <item x="127"/>
        <item x="129"/>
        <item x="132"/>
        <item x="136"/>
        <item x="137"/>
        <item x="139"/>
        <item x="147"/>
        <item x="148"/>
        <item x="155"/>
        <item x="157"/>
        <item x="158"/>
        <item x="159"/>
        <item x="163"/>
        <item x="164"/>
        <item x="168"/>
        <item x="169"/>
        <item x="174"/>
        <item x="176"/>
        <item x="178"/>
        <item t="default"/>
      </items>
    </pivotField>
    <pivotField axis="axisPage" multipleItemSelectionAllowed="1" showAll="0">
      <items count="41">
        <item h="1" x="2"/>
        <item h="1" x="7"/>
        <item h="1" x="3"/>
        <item h="1" m="1" x="35"/>
        <item h="1" x="20"/>
        <item h="1" m="1" x="32"/>
        <item h="1" x="5"/>
        <item h="1" x="6"/>
        <item h="1" x="11"/>
        <item h="1" x="15"/>
        <item h="1" m="1" x="30"/>
        <item h="1" x="1"/>
        <item h="1" x="16"/>
        <item h="1" x="21"/>
        <item x="19"/>
        <item h="1" x="8"/>
        <item h="1" x="0"/>
        <item h="1" x="9"/>
        <item h="1" x="13"/>
        <item h="1" x="4"/>
        <item h="1" x="10"/>
        <item h="1" m="1" x="38"/>
        <item h="1" m="1" x="33"/>
        <item h="1" m="1" x="26"/>
        <item h="1" x="12"/>
        <item h="1" m="1" x="28"/>
        <item h="1" m="1" x="36"/>
        <item h="1" m="1" x="37"/>
        <item h="1" m="1" x="29"/>
        <item h="1" m="1" x="39"/>
        <item h="1" m="1" x="23"/>
        <item h="1" m="1" x="31"/>
        <item h="1" m="1" x="25"/>
        <item h="1" x="17"/>
        <item h="1" m="1" x="34"/>
        <item h="1" x="14"/>
        <item h="1" m="1" x="24"/>
        <item h="1" m="1" x="27"/>
        <item h="1" x="18"/>
        <item h="1" x="22"/>
        <item t="default"/>
      </items>
    </pivotField>
    <pivotField showAll="0"/>
    <pivotField numFmtId="4" showAll="0"/>
    <pivotField numFmtId="4" showAll="0"/>
    <pivotField dataField="1" numFmtId="4" showAll="0"/>
    <pivotField numFmtId="4" showAll="0"/>
    <pivotField numFmtId="4" showAll="0"/>
    <pivotField numFmtId="166" showAll="0"/>
    <pivotField showAll="0"/>
    <pivotField showAll="0"/>
    <pivotField showAll="0"/>
    <pivotField showAll="0"/>
  </pivotFields>
  <rowFields count="1">
    <field x="2"/>
  </rowFields>
  <rowItems count="3">
    <i>
      <x v="142"/>
    </i>
    <i>
      <x v="494"/>
    </i>
    <i t="grand">
      <x/>
    </i>
  </rowItems>
  <colItems count="1">
    <i/>
  </colItems>
  <pageFields count="1">
    <pageField fld="3" hier="-1"/>
  </pageFields>
  <dataFields count="1">
    <dataField name="Total" fld="7" baseField="0" baseItem="0" numFmtId="44"/>
  </dataFields>
  <formats count="2">
    <format dxfId="120">
      <pivotArea field="2" type="button" dataOnly="0" labelOnly="1" outline="0" axis="axisRow" fieldPosition="0"/>
    </format>
    <format dxfId="119">
      <pivotArea dataOnly="0" labelOnly="1" outline="0" axis="axisValues" fieldPosition="0"/>
    </format>
  </formats>
  <pivotTableStyleInfo name="PivotStyleLight16" showRowHeaders="1" showColHeaders="1" showRowStripes="1" showColStripes="0" showLastColumn="1"/>
  <filters count="1">
    <filter fld="2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32883E-513B-7D4D-93F2-E08F3333DDDF}" name="PivotTable5" cacheId="4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ient">
  <location ref="A4:B8" firstHeaderRow="1" firstDataRow="1" firstDataCol="1" rowPageCount="1" colPageCount="1"/>
  <pivotFields count="15">
    <pivotField axis="axisRow" showAll="0">
      <items count="71">
        <item x="56"/>
        <item x="64"/>
        <item x="57"/>
        <item x="65"/>
        <item x="25"/>
        <item x="34"/>
        <item x="36"/>
        <item x="30"/>
        <item x="21"/>
        <item x="52"/>
        <item x="13"/>
        <item x="44"/>
        <item x="14"/>
        <item x="22"/>
        <item x="16"/>
        <item x="29"/>
        <item x="2"/>
        <item x="8"/>
        <item x="51"/>
        <item x="20"/>
        <item x="26"/>
        <item x="35"/>
        <item x="19"/>
        <item x="6"/>
        <item x="61"/>
        <item x="4"/>
        <item x="43"/>
        <item x="11"/>
        <item x="54"/>
        <item x="33"/>
        <item x="38"/>
        <item x="39"/>
        <item x="63"/>
        <item x="17"/>
        <item x="55"/>
        <item x="0"/>
        <item x="1"/>
        <item m="1" x="67"/>
        <item x="46"/>
        <item x="45"/>
        <item x="24"/>
        <item x="18"/>
        <item x="50"/>
        <item x="58"/>
        <item x="59"/>
        <item x="7"/>
        <item x="47"/>
        <item x="31"/>
        <item x="53"/>
        <item x="48"/>
        <item x="23"/>
        <item x="27"/>
        <item x="32"/>
        <item x="37"/>
        <item x="49"/>
        <item m="1" x="68"/>
        <item m="1" x="69"/>
        <item x="3"/>
        <item x="9"/>
        <item x="60"/>
        <item x="28"/>
        <item x="10"/>
        <item x="66"/>
        <item x="62"/>
        <item x="40"/>
        <item x="41"/>
        <item x="42"/>
        <item x="12"/>
        <item x="15"/>
        <item x="5"/>
        <item t="default"/>
      </items>
    </pivotField>
    <pivotField showAll="0"/>
    <pivotField showAll="0"/>
    <pivotField axis="axisPage" multipleItemSelectionAllowed="1" showAll="0">
      <items count="49">
        <item h="1" x="10"/>
        <item h="1" x="15"/>
        <item h="1" x="17"/>
        <item h="1" x="5"/>
        <item h="1" x="7"/>
        <item h="1" m="1" x="18"/>
        <item h="1" x="6"/>
        <item h="1" x="12"/>
        <item h="1" x="14"/>
        <item h="1" m="1" x="36"/>
        <item x="3"/>
        <item h="1" x="8"/>
        <item h="1" x="9"/>
        <item h="1" m="1" x="41"/>
        <item h="1" m="1" x="42"/>
        <item h="1" x="13"/>
        <item h="1" x="0"/>
        <item h="1" m="1" x="23"/>
        <item h="1" m="1" x="45"/>
        <item h="1" m="1" x="47"/>
        <item h="1" x="1"/>
        <item h="1" m="1" x="39"/>
        <item h="1" x="4"/>
        <item h="1" m="1" x="44"/>
        <item h="1" m="1" x="46"/>
        <item h="1" x="2"/>
        <item h="1" m="1" x="40"/>
        <item h="1" x="11"/>
        <item h="1" m="1" x="34"/>
        <item h="1" m="1" x="21"/>
        <item h="1" m="1" x="31"/>
        <item h="1" m="1" x="33"/>
        <item h="1" m="1" x="22"/>
        <item h="1" m="1" x="20"/>
        <item h="1" m="1" x="26"/>
        <item h="1" m="1" x="27"/>
        <item h="1" m="1" x="19"/>
        <item h="1" x="16"/>
        <item h="1" m="1" x="43"/>
        <item h="1" m="1" x="24"/>
        <item h="1" m="1" x="25"/>
        <item h="1" m="1" x="28"/>
        <item h="1" m="1" x="29"/>
        <item h="1" m="1" x="30"/>
        <item h="1" m="1" x="32"/>
        <item h="1" m="1" x="35"/>
        <item h="1" m="1" x="37"/>
        <item h="1" m="1" x="38"/>
        <item t="default"/>
      </items>
    </pivotField>
    <pivotField axis="axisRow" showAll="0">
      <items count="2742">
        <item sd="0" m="1" x="47"/>
        <item sd="0" m="1" x="2726"/>
        <item sd="0" m="1" x="2571"/>
        <item sd="0" m="1" x="116"/>
        <item sd="0" m="1" x="2721"/>
        <item sd="0" m="1" x="2731"/>
        <item sd="0" x="7"/>
        <item sd="0" m="1" x="244"/>
        <item sd="0" m="1" x="2090"/>
        <item sd="0" m="1" x="456"/>
        <item sd="0" m="1" x="445"/>
        <item sd="0" x="31"/>
        <item sd="0" m="1" x="256"/>
        <item sd="0" m="1" x="2737"/>
        <item sd="0" m="1" x="2105"/>
        <item sd="0" m="1" x="2739"/>
        <item sd="0" m="1" x="2223"/>
        <item sd="0" m="1" x="245"/>
        <item sd="0" x="15"/>
        <item sd="0" m="1" x="2677"/>
        <item sd="0" m="1" x="2727"/>
        <item sd="0" m="1" x="2733"/>
        <item sd="0" m="1" x="2732"/>
        <item sd="0" m="1" x="2725"/>
        <item sd="0" m="1" x="1190"/>
        <item sd="0" m="1" x="522"/>
        <item sd="0" m="1" x="2736"/>
        <item sd="0" m="1" x="2719"/>
        <item sd="0" m="1" x="2740"/>
        <item sd="0" x="29"/>
        <item sd="0" m="1" x="604"/>
        <item sd="0" m="1" x="2730"/>
        <item sd="0" m="1" x="2735"/>
        <item sd="0" x="26"/>
        <item sd="0" m="1" x="2738"/>
        <item sd="0" m="1" x="493"/>
        <item sd="0" m="1" x="2734"/>
        <item sd="0" m="1" x="640"/>
        <item sd="0" m="1" x="2722"/>
        <item sd="0" m="1" x="465"/>
        <item sd="0" m="1" x="2728"/>
        <item sd="0" m="1" x="2117"/>
        <item sd="0" m="1" x="2729"/>
        <item m="1" x="2717"/>
        <item m="1" x="2718"/>
        <item m="1" x="234"/>
        <item m="1" x="258"/>
        <item m="1" x="301"/>
        <item m="1" x="213"/>
        <item m="1" x="308"/>
        <item m="1" x="128"/>
        <item x="40"/>
        <item x="8"/>
        <item x="28"/>
        <item m="1" x="2709"/>
        <item m="1" x="646"/>
        <item m="1" x="699"/>
        <item m="1" x="2712"/>
        <item m="1" x="729"/>
        <item m="1" x="800"/>
        <item m="1" x="1114"/>
        <item m="1" x="1843"/>
        <item m="1" x="1887"/>
        <item sd="0" m="1" x="2707"/>
        <item m="1" x="2710"/>
        <item m="1" x="2715"/>
        <item m="1" x="2720"/>
        <item m="1" x="2238"/>
        <item m="1" x="2565"/>
        <item x="45"/>
        <item m="1" x="631"/>
        <item m="1" x="439"/>
        <item m="1" x="921"/>
        <item m="1" x="2723"/>
        <item m="1" x="2724"/>
        <item m="1" x="2711"/>
        <item m="1" x="95"/>
        <item m="1" x="201"/>
        <item m="1" x="235"/>
        <item m="1" x="293"/>
        <item m="1" x="387"/>
        <item m="1" x="328"/>
        <item m="1" x="307"/>
        <item m="1" x="2424"/>
        <item m="1" x="132"/>
        <item m="1" x="596"/>
        <item m="1" x="593"/>
        <item m="1" x="166"/>
        <item x="18"/>
        <item m="1" x="1820"/>
        <item x="44"/>
        <item m="1" x="1332"/>
        <item m="1" x="634"/>
        <item x="21"/>
        <item m="1" x="590"/>
        <item x="14"/>
        <item m="1" x="2457"/>
        <item m="1" x="2542"/>
        <item x="42"/>
        <item m="1" x="480"/>
        <item m="1" x="2570"/>
        <item m="1" x="2716"/>
        <item m="1" x="495"/>
        <item m="1" x="623"/>
        <item m="1" x="2714"/>
        <item m="1" x="2713"/>
        <item x="5"/>
        <item m="1" x="103"/>
        <item m="1" x="1226"/>
        <item m="1" x="2694"/>
        <item m="1" x="780"/>
        <item m="1" x="2708"/>
        <item m="1" x="92"/>
        <item m="1" x="141"/>
        <item m="1" x="330"/>
        <item m="1" x="288"/>
        <item m="1" x="345"/>
        <item m="1" x="346"/>
        <item m="1" x="255"/>
        <item m="1" x="297"/>
        <item m="1" x="451"/>
        <item m="1" x="637"/>
        <item m="1" x="460"/>
        <item m="1" x="223"/>
        <item m="1" x="96"/>
        <item m="1" x="2035"/>
        <item m="1" x="2081"/>
        <item m="1" x="2101"/>
        <item m="1" x="1885"/>
        <item m="1" x="2419"/>
        <item m="1" x="573"/>
        <item m="1" x="124"/>
        <item m="1" x="2583"/>
        <item m="1" x="2593"/>
        <item m="1" x="2588"/>
        <item m="1" x="241"/>
        <item m="1" x="2683"/>
        <item m="1" x="155"/>
        <item m="1" x="190"/>
        <item m="1" x="392"/>
        <item m="1" x="65"/>
        <item m="1" x="432"/>
        <item m="1" x="192"/>
        <item m="1" x="606"/>
        <item m="1" x="724"/>
        <item m="1" x="582"/>
        <item x="4"/>
        <item x="46"/>
        <item m="1" x="232"/>
        <item m="1" x="2256"/>
        <item m="1" x="2122"/>
        <item m="1" x="1994"/>
        <item m="1" x="2461"/>
        <item m="1" x="812"/>
        <item m="1" x="1090"/>
        <item m="1" x="1537"/>
        <item m="1" x="137"/>
        <item m="1" x="340"/>
        <item m="1" x="706"/>
        <item m="1" x="2642"/>
        <item m="1" x="2643"/>
        <item m="1" x="600"/>
        <item m="1" x="2688"/>
        <item m="1" x="2703"/>
        <item m="1" x="839"/>
        <item m="1" x="331"/>
        <item m="1" x="1662"/>
        <item m="1" x="2299"/>
        <item m="1" x="129"/>
        <item m="1" x="2635"/>
        <item m="1" x="449"/>
        <item m="1" x="337"/>
        <item m="1" x="273"/>
        <item m="1" x="329"/>
        <item m="1" x="633"/>
        <item m="1" x="591"/>
        <item m="1" x="700"/>
        <item m="1" x="1815"/>
        <item m="1" x="1842"/>
        <item m="1" x="1810"/>
        <item m="1" x="1865"/>
        <item m="1" x="1093"/>
        <item m="1" x="2116"/>
        <item m="1" x="630"/>
        <item m="1" x="434"/>
        <item m="1" x="2563"/>
        <item m="1" x="2621"/>
        <item m="1" x="214"/>
        <item m="1" x="217"/>
        <item m="1" x="221"/>
        <item m="1" x="262"/>
        <item m="1" x="64"/>
        <item m="1" x="609"/>
        <item m="1" x="684"/>
        <item m="1" x="601"/>
        <item m="1" x="1145"/>
        <item m="1" x="2706"/>
        <item m="1" x="259"/>
        <item m="1" x="1509"/>
        <item m="1" x="2562"/>
        <item m="1" x="467"/>
        <item m="1" x="2681"/>
        <item m="1" x="1997"/>
        <item m="1" x="1799"/>
        <item m="1" x="317"/>
        <item m="1" x="182"/>
        <item m="1" x="643"/>
        <item m="1" x="276"/>
        <item m="1" x="471"/>
        <item m="1" x="740"/>
        <item m="1" x="473"/>
        <item m="1" x="1711"/>
        <item m="1" x="556"/>
        <item m="1" x="49"/>
        <item m="1" x="415"/>
        <item m="1" x="521"/>
        <item m="1" x="1825"/>
        <item m="1" x="55"/>
        <item m="1" x="1714"/>
        <item m="1" x="1458"/>
        <item m="1" x="243"/>
        <item m="1" x="1395"/>
        <item m="1" x="309"/>
        <item m="1" x="1819"/>
        <item m="1" x="210"/>
        <item m="1" x="528"/>
        <item m="1" x="242"/>
        <item m="1" x="2572"/>
        <item m="1" x="2036"/>
        <item x="37"/>
        <item m="1" x="2667"/>
        <item m="1" x="433"/>
        <item m="1" x="1077"/>
        <item m="1" x="1510"/>
        <item m="1" x="463"/>
        <item m="1" x="343"/>
        <item m="1" x="231"/>
        <item x="22"/>
        <item x="10"/>
        <item m="1" x="2705"/>
        <item m="1" x="814"/>
        <item m="1" x="2155"/>
        <item m="1" x="1235"/>
        <item m="1" x="2095"/>
        <item m="1" x="494"/>
        <item m="1" x="2662"/>
        <item m="1" x="2044"/>
        <item m="1" x="610"/>
        <item m="1" x="2172"/>
        <item m="1" x="54"/>
        <item m="1" x="2704"/>
        <item m="1" x="502"/>
        <item m="1" x="52"/>
        <item x="19"/>
        <item x="2"/>
        <item x="33"/>
        <item m="1" x="914"/>
        <item m="1" x="2293"/>
        <item m="1" x="334"/>
        <item m="1" x="2295"/>
        <item m="1" x="61"/>
        <item m="1" x="1202"/>
        <item m="1" x="2628"/>
        <item m="1" x="156"/>
        <item m="1" x="367"/>
        <item m="1" x="559"/>
        <item m="1" x="396"/>
        <item m="1" x="469"/>
        <item m="1" x="2679"/>
        <item m="1" x="2693"/>
        <item m="1" x="1840"/>
        <item m="1" x="1867"/>
        <item m="1" x="424"/>
        <item x="9"/>
        <item m="1" x="2079"/>
        <item x="13"/>
        <item x="12"/>
        <item m="1" x="2033"/>
        <item m="1" x="271"/>
        <item x="20"/>
        <item m="1" x="51"/>
        <item m="1" x="2092"/>
        <item m="1" x="2575"/>
        <item x="35"/>
        <item m="1" x="705"/>
        <item m="1" x="1812"/>
        <item x="25"/>
        <item x="39"/>
        <item m="1" x="184"/>
        <item m="1" x="233"/>
        <item m="1" x="277"/>
        <item m="1" x="312"/>
        <item m="1" x="336"/>
        <item x="32"/>
        <item m="1" x="393"/>
        <item m="1" x="98"/>
        <item m="1" x="457"/>
        <item m="1" x="56"/>
        <item m="1" x="624"/>
        <item m="1" x="1720"/>
        <item x="36"/>
        <item m="1" x="1795"/>
        <item m="1" x="1811"/>
        <item x="23"/>
        <item m="1" x="605"/>
        <item m="1" x="1900"/>
        <item m="1" x="2054"/>
        <item m="1" x="2061"/>
        <item m="1" x="1140"/>
        <item x="11"/>
        <item m="1" x="2187"/>
        <item m="1" x="2392"/>
        <item x="17"/>
        <item m="1" x="1912"/>
        <item m="1" x="2684"/>
        <item m="1" x="2041"/>
        <item m="1" x="2047"/>
        <item m="1" x="335"/>
        <item m="1" x="2055"/>
        <item m="1" x="1040"/>
        <item m="1" x="2068"/>
        <item m="1" x="592"/>
        <item m="1" x="611"/>
        <item x="6"/>
        <item m="1" x="518"/>
        <item x="43"/>
        <item x="16"/>
        <item x="30"/>
        <item m="1" x="2159"/>
        <item m="1" x="75"/>
        <item x="38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4"/>
        <item m="1" x="97"/>
        <item m="1" x="99"/>
        <item m="1" x="100"/>
        <item m="1" x="101"/>
        <item m="1" x="102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7"/>
        <item m="1" x="118"/>
        <item m="1" x="119"/>
        <item m="1" x="120"/>
        <item m="1" x="121"/>
        <item m="1" x="122"/>
        <item m="1" x="123"/>
        <item m="1" x="125"/>
        <item m="1" x="126"/>
        <item m="1" x="127"/>
        <item x="0"/>
        <item m="1" x="130"/>
        <item m="1" x="131"/>
        <item m="1" x="133"/>
        <item m="1" x="134"/>
        <item m="1" x="135"/>
        <item m="1" x="136"/>
        <item x="1"/>
        <item m="1" x="138"/>
        <item m="1" x="139"/>
        <item m="1" x="140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3"/>
        <item m="1" x="185"/>
        <item m="1" x="186"/>
        <item m="1" x="187"/>
        <item m="1" x="188"/>
        <item m="1" x="189"/>
        <item m="1" x="191"/>
        <item m="1" x="193"/>
        <item m="1" x="194"/>
        <item m="1" x="195"/>
        <item m="1" x="196"/>
        <item m="1" x="197"/>
        <item m="1" x="198"/>
        <item m="1" x="199"/>
        <item m="1" x="200"/>
        <item m="1" x="202"/>
        <item m="1" x="203"/>
        <item m="1" x="204"/>
        <item m="1" x="205"/>
        <item m="1" x="206"/>
        <item m="1" x="207"/>
        <item m="1" x="208"/>
        <item m="1" x="209"/>
        <item m="1" x="211"/>
        <item m="1" x="212"/>
        <item m="1" x="215"/>
        <item m="1" x="216"/>
        <item m="1" x="218"/>
        <item m="1" x="219"/>
        <item m="1" x="220"/>
        <item m="1" x="222"/>
        <item m="1" x="224"/>
        <item m="1" x="225"/>
        <item m="1" x="226"/>
        <item m="1" x="227"/>
        <item m="1" x="228"/>
        <item m="1" x="229"/>
        <item m="1" x="230"/>
        <item m="1" x="63"/>
        <item m="1" x="236"/>
        <item m="1" x="237"/>
        <item m="1" x="238"/>
        <item m="1" x="239"/>
        <item m="1" x="240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7"/>
        <item m="1" x="260"/>
        <item m="1" x="261"/>
        <item m="1" x="263"/>
        <item m="1" x="264"/>
        <item m="1" x="265"/>
        <item m="1" x="266"/>
        <item m="1" x="267"/>
        <item m="1" x="268"/>
        <item m="1" x="269"/>
        <item m="1" x="270"/>
        <item m="1" x="272"/>
        <item m="1" x="274"/>
        <item m="1" x="275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9"/>
        <item m="1" x="290"/>
        <item m="1" x="291"/>
        <item m="1" x="292"/>
        <item m="1" x="294"/>
        <item m="1" x="295"/>
        <item m="1" x="296"/>
        <item m="1" x="298"/>
        <item m="1" x="299"/>
        <item m="1" x="300"/>
        <item m="1" x="302"/>
        <item m="1" x="303"/>
        <item m="1" x="304"/>
        <item m="1" x="305"/>
        <item m="1" x="306"/>
        <item m="1" x="310"/>
        <item m="1" x="311"/>
        <item m="1" x="313"/>
        <item m="1" x="314"/>
        <item m="1" x="315"/>
        <item m="1" x="316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32"/>
        <item m="1" x="333"/>
        <item m="1" x="338"/>
        <item m="1" x="339"/>
        <item m="1" x="341"/>
        <item m="1" x="342"/>
        <item m="1" x="344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8"/>
        <item m="1" x="389"/>
        <item m="1" x="390"/>
        <item m="1" x="391"/>
        <item m="1" x="394"/>
        <item m="1" x="395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6"/>
        <item m="1" x="417"/>
        <item m="1" x="418"/>
        <item m="1" x="419"/>
        <item m="1" x="420"/>
        <item m="1" x="421"/>
        <item m="1" x="422"/>
        <item m="1" x="423"/>
        <item m="1" x="425"/>
        <item m="1" x="426"/>
        <item m="1" x="427"/>
        <item m="1" x="428"/>
        <item m="1" x="429"/>
        <item m="1" x="430"/>
        <item m="1" x="431"/>
        <item m="1" x="53"/>
        <item m="1" x="435"/>
        <item m="1" x="436"/>
        <item m="1" x="437"/>
        <item m="1" x="438"/>
        <item m="1" x="440"/>
        <item m="1" x="441"/>
        <item m="1" x="442"/>
        <item m="1" x="443"/>
        <item m="1" x="444"/>
        <item m="1" x="446"/>
        <item m="1" x="447"/>
        <item m="1" x="448"/>
        <item m="1" x="450"/>
        <item m="1" x="452"/>
        <item m="1" x="453"/>
        <item m="1" x="454"/>
        <item m="1" x="455"/>
        <item m="1" x="458"/>
        <item m="1" x="459"/>
        <item m="1" x="461"/>
        <item m="1" x="462"/>
        <item m="1" x="464"/>
        <item m="1" x="466"/>
        <item m="1" x="468"/>
        <item m="1" x="470"/>
        <item m="1" x="472"/>
        <item m="1" x="474"/>
        <item m="1" x="475"/>
        <item m="1" x="476"/>
        <item m="1" x="477"/>
        <item m="1" x="478"/>
        <item m="1" x="479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57"/>
        <item m="1" x="496"/>
        <item m="1" x="497"/>
        <item m="1" x="498"/>
        <item m="1" x="499"/>
        <item m="1" x="500"/>
        <item m="1" x="501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9"/>
        <item m="1" x="520"/>
        <item m="1" x="523"/>
        <item m="1" x="524"/>
        <item m="1" x="525"/>
        <item m="1" x="526"/>
        <item m="1" x="527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7"/>
        <item m="1" x="558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4"/>
        <item m="1" x="575"/>
        <item m="1" x="576"/>
        <item m="1" x="577"/>
        <item m="1" x="578"/>
        <item m="1" x="579"/>
        <item m="1" x="580"/>
        <item m="1" x="581"/>
        <item m="1" x="583"/>
        <item m="1" x="584"/>
        <item m="1" x="585"/>
        <item m="1" x="586"/>
        <item m="1" x="587"/>
        <item m="1" x="588"/>
        <item m="1" x="589"/>
        <item m="1" x="594"/>
        <item m="1" x="595"/>
        <item m="1" x="597"/>
        <item m="1" x="598"/>
        <item m="1" x="599"/>
        <item m="1" x="602"/>
        <item m="1" x="603"/>
        <item m="1" x="607"/>
        <item m="1" x="608"/>
        <item x="4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5"/>
        <item m="1" x="626"/>
        <item m="1" x="627"/>
        <item m="1" x="628"/>
        <item m="1" x="629"/>
        <item m="1" x="632"/>
        <item m="1" x="635"/>
        <item m="1" x="58"/>
        <item m="1" x="636"/>
        <item m="1" x="638"/>
        <item m="1" x="639"/>
        <item m="1" x="641"/>
        <item m="1" x="642"/>
        <item m="1" x="644"/>
        <item m="1" x="645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701"/>
        <item m="1" x="702"/>
        <item m="1" x="703"/>
        <item m="1" x="704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x="34"/>
        <item m="1" x="725"/>
        <item m="1" x="726"/>
        <item m="1" x="727"/>
        <item m="1" x="728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3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5"/>
        <item m="1" x="916"/>
        <item m="1" x="917"/>
        <item m="1" x="918"/>
        <item m="1" x="919"/>
        <item m="1" x="920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73"/>
        <item m="1" x="1035"/>
        <item m="1" x="1036"/>
        <item m="1" x="1037"/>
        <item m="1" x="1038"/>
        <item m="1" x="1039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1"/>
        <item m="1" x="1092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5"/>
        <item m="1" x="1116"/>
        <item m="1" x="1117"/>
        <item m="1" x="1118"/>
        <item m="1" x="1119"/>
        <item m="1" x="50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1"/>
        <item m="1" x="1142"/>
        <item m="1" x="1143"/>
        <item m="1" x="1144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7"/>
        <item m="1" x="1228"/>
        <item m="1" x="1229"/>
        <item m="1" x="1230"/>
        <item m="1" x="1231"/>
        <item m="1" x="1232"/>
        <item m="1" x="1233"/>
        <item m="1" x="1234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2"/>
        <item m="1" x="1713"/>
        <item m="1" x="1715"/>
        <item m="1" x="1716"/>
        <item m="1" x="1717"/>
        <item m="1" x="1718"/>
        <item m="1" x="1719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59"/>
        <item m="1" x="1792"/>
        <item m="1" x="1793"/>
        <item m="1" x="1794"/>
        <item m="1" x="1796"/>
        <item m="1" x="1797"/>
        <item m="1" x="1798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3"/>
        <item m="1" x="1814"/>
        <item m="1" x="1816"/>
        <item m="1" x="1817"/>
        <item m="1" x="1818"/>
        <item m="1" x="1821"/>
        <item m="1" x="1822"/>
        <item m="1" x="60"/>
        <item m="1" x="1823"/>
        <item m="1" x="1824"/>
        <item m="1" x="1826"/>
        <item m="1" x="1827"/>
        <item m="1" x="1828"/>
        <item m="1" x="1829"/>
        <item m="1" x="1830"/>
        <item m="1" x="1831"/>
        <item m="1" x="1832"/>
        <item x="27"/>
        <item m="1" x="1833"/>
        <item m="1" x="1834"/>
        <item m="1" x="1835"/>
        <item m="1" x="1836"/>
        <item m="1" x="1837"/>
        <item m="1" x="1838"/>
        <item m="1" x="1839"/>
        <item m="1" x="1841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6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6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5"/>
        <item m="1" x="1996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4"/>
        <item m="1" x="2037"/>
        <item m="1" x="2038"/>
        <item m="1" x="2039"/>
        <item m="1" x="2040"/>
        <item m="1" x="2042"/>
        <item m="1" x="2043"/>
        <item m="1" x="2045"/>
        <item m="1" x="2046"/>
        <item m="1" x="2048"/>
        <item m="1" x="48"/>
        <item m="1" x="2049"/>
        <item m="1" x="2050"/>
        <item m="1" x="2051"/>
        <item x="3"/>
        <item m="1" x="2052"/>
        <item m="1" x="2053"/>
        <item m="1" x="2056"/>
        <item m="1" x="2057"/>
        <item m="1" x="2058"/>
        <item m="1" x="2059"/>
        <item m="1" x="2060"/>
        <item m="1" x="66"/>
        <item m="1" x="2062"/>
        <item m="1" x="2063"/>
        <item m="1" x="2064"/>
        <item m="1" x="2065"/>
        <item m="1" x="67"/>
        <item m="1" x="2066"/>
        <item m="1" x="2067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80"/>
        <item m="1" x="68"/>
        <item x="24"/>
        <item m="1" x="2082"/>
        <item m="1" x="2083"/>
        <item m="1" x="2084"/>
        <item m="1" x="2085"/>
        <item m="1" x="2086"/>
        <item m="1" x="2087"/>
        <item m="1" x="2088"/>
        <item m="1" x="2089"/>
        <item m="1" x="2091"/>
        <item m="1" x="2093"/>
        <item m="1" x="2094"/>
        <item m="1" x="2096"/>
        <item m="1" x="2097"/>
        <item m="1" x="2098"/>
        <item m="1" x="2099"/>
        <item m="1" x="2100"/>
        <item m="1" x="2102"/>
        <item m="1" x="2103"/>
        <item m="1" x="2104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8"/>
        <item m="1" x="2119"/>
        <item m="1" x="2120"/>
        <item m="1" x="2121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6"/>
        <item m="1" x="2157"/>
        <item m="1" x="2158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4"/>
        <item m="1" x="2296"/>
        <item m="1" x="2297"/>
        <item m="1" x="2298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20"/>
        <item m="1" x="2421"/>
        <item m="1" x="2422"/>
        <item m="1" x="2423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8"/>
        <item m="1" x="2459"/>
        <item m="1" x="2460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62"/>
        <item m="1" x="2510"/>
        <item m="1" x="2511"/>
        <item m="1" x="2512"/>
        <item m="1" x="2513"/>
        <item m="1" x="2514"/>
        <item m="1" x="69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4"/>
        <item m="1" x="2566"/>
        <item m="1" x="2567"/>
        <item m="1" x="2568"/>
        <item m="1" x="2569"/>
        <item m="1" x="2573"/>
        <item m="1" x="2574"/>
        <item m="1" x="2576"/>
        <item m="1" x="2577"/>
        <item m="1" x="2578"/>
        <item m="1" x="2579"/>
        <item m="1" x="2580"/>
        <item m="1" x="2581"/>
        <item m="1" x="2582"/>
        <item m="1" x="2584"/>
        <item m="1" x="2585"/>
        <item m="1" x="2586"/>
        <item m="1" x="2587"/>
        <item m="1" x="2589"/>
        <item m="1" x="2590"/>
        <item m="1" x="2591"/>
        <item m="1" x="2592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2"/>
        <item m="1" x="2623"/>
        <item m="1" x="2624"/>
        <item m="1" x="2625"/>
        <item m="1" x="2626"/>
        <item m="1" x="2627"/>
        <item m="1" x="2629"/>
        <item m="1" x="2630"/>
        <item m="1" x="2631"/>
        <item m="1" x="2632"/>
        <item m="1" x="2633"/>
        <item m="1" x="2634"/>
        <item m="1" x="2636"/>
        <item m="1" x="2637"/>
        <item m="1" x="2638"/>
        <item m="1" x="2639"/>
        <item m="1" x="2640"/>
        <item m="1" x="2641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70"/>
        <item m="1" x="2657"/>
        <item m="1" x="2658"/>
        <item m="1" x="2659"/>
        <item m="1" x="2660"/>
        <item m="1" x="2661"/>
        <item m="1" x="2663"/>
        <item m="1" x="2664"/>
        <item m="1" x="2665"/>
        <item m="1" x="2666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8"/>
        <item m="1" x="71"/>
        <item m="1" x="2680"/>
        <item m="1" x="2682"/>
        <item m="1" x="72"/>
        <item m="1" x="2685"/>
        <item m="1" x="2686"/>
        <item m="1" x="2687"/>
        <item m="1" x="74"/>
        <item m="1" x="2689"/>
        <item m="1" x="2690"/>
        <item m="1" x="2691"/>
        <item m="1" x="2692"/>
        <item m="1" x="2695"/>
        <item m="1" x="2696"/>
        <item m="1" x="2697"/>
        <item m="1" x="2698"/>
        <item m="1" x="2699"/>
        <item m="1" x="2700"/>
        <item m="1" x="2701"/>
        <item m="1" x="2702"/>
        <item t="default" sd="0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4"/>
    <field x="0"/>
  </rowFields>
  <rowItems count="4">
    <i>
      <x v="146"/>
    </i>
    <i r="1">
      <x v="25"/>
    </i>
    <i r="1">
      <x v="59"/>
    </i>
    <i t="grand">
      <x/>
    </i>
  </rowItems>
  <colItems count="1">
    <i/>
  </colItems>
  <pageFields count="1">
    <pageField fld="3" hier="-1"/>
  </pageFields>
  <dataFields count="1">
    <dataField name="Total" fld="9" baseField="0" baseItem="0" numFmtId="44"/>
  </dataFields>
  <formats count="9">
    <format dxfId="129">
      <pivotArea collapsedLevelsAreSubtotals="1" fieldPosition="0">
        <references count="1">
          <reference field="4" count="1">
            <x v="1"/>
          </reference>
        </references>
      </pivotArea>
    </format>
    <format dxfId="128">
      <pivotArea collapsedLevelsAreSubtotals="1" fieldPosition="0">
        <references count="1">
          <reference field="4" count="1">
            <x v="7"/>
          </reference>
        </references>
      </pivotArea>
    </format>
    <format dxfId="127">
      <pivotArea collapsedLevelsAreSubtotals="1" fieldPosition="0">
        <references count="1">
          <reference field="4" count="1">
            <x v="12"/>
          </reference>
        </references>
      </pivotArea>
    </format>
    <format dxfId="126">
      <pivotArea collapsedLevelsAreSubtotals="1" fieldPosition="0">
        <references count="1">
          <reference field="4" count="1">
            <x v="17"/>
          </reference>
        </references>
      </pivotArea>
    </format>
    <format dxfId="125">
      <pivotArea collapsedLevelsAreSubtotals="1" fieldPosition="0">
        <references count="1">
          <reference field="4" count="1">
            <x v="20"/>
          </reference>
        </references>
      </pivotArea>
    </format>
    <format dxfId="124">
      <pivotArea collapsedLevelsAreSubtotals="1" fieldPosition="0">
        <references count="1">
          <reference field="4" count="1">
            <x v="23"/>
          </reference>
        </references>
      </pivotArea>
    </format>
    <format dxfId="123">
      <pivotArea dataOnly="0" labelOnly="1" fieldPosition="0">
        <references count="1">
          <reference field="4" count="6">
            <x v="1"/>
            <x v="7"/>
            <x v="12"/>
            <x v="17"/>
            <x v="20"/>
            <x v="23"/>
          </reference>
        </references>
      </pivotArea>
    </format>
    <format dxfId="122">
      <pivotArea field="4" type="button" dataOnly="0" labelOnly="1" outline="0" axis="axisRow" fieldPosition="0"/>
    </format>
    <format dxfId="121">
      <pivotArea dataOnly="0" labelOnly="1" outline="0" axis="axisValues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2E33BC-8250-5847-8D4B-B6B979D4C12A}" name="PivotTable6" cacheId="42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D4:E20" firstHeaderRow="1" firstDataRow="1" firstDataCol="1" rowPageCount="1" colPageCount="1"/>
  <pivotFields count="15">
    <pivotField showAll="0"/>
    <pivotField numFmtId="165" showAll="0"/>
    <pivotField axis="axisRow" showAll="0" measureFilter="1" sortType="ascending">
      <items count="537">
        <item m="1" x="433"/>
        <item x="0"/>
        <item x="1"/>
        <item x="2"/>
        <item m="1" x="209"/>
        <item x="3"/>
        <item m="1" x="352"/>
        <item m="1" x="358"/>
        <item m="1" x="215"/>
        <item m="1" x="182"/>
        <item m="1" x="297"/>
        <item m="1" x="373"/>
        <item m="1" x="192"/>
        <item m="1" x="381"/>
        <item m="1" x="202"/>
        <item m="1" x="303"/>
        <item x="4"/>
        <item x="5"/>
        <item x="6"/>
        <item m="1" x="533"/>
        <item m="1" x="295"/>
        <item m="1" x="184"/>
        <item m="1" x="488"/>
        <item x="7"/>
        <item m="1" x="510"/>
        <item x="8"/>
        <item x="9"/>
        <item x="10"/>
        <item m="1" x="426"/>
        <item x="11"/>
        <item x="12"/>
        <item x="13"/>
        <item x="14"/>
        <item m="1" x="413"/>
        <item m="1" x="518"/>
        <item m="1" x="385"/>
        <item m="1" x="392"/>
        <item x="15"/>
        <item x="16"/>
        <item m="1" x="504"/>
        <item x="17"/>
        <item m="1" x="447"/>
        <item m="1" x="481"/>
        <item x="18"/>
        <item x="19"/>
        <item m="1" x="347"/>
        <item m="1" x="354"/>
        <item m="1" x="411"/>
        <item m="1" x="418"/>
        <item m="1" x="186"/>
        <item x="20"/>
        <item m="1" x="277"/>
        <item m="1" x="214"/>
        <item x="21"/>
        <item m="1" x="479"/>
        <item m="1" x="436"/>
        <item x="22"/>
        <item m="1" x="367"/>
        <item m="1" x="267"/>
        <item x="23"/>
        <item m="1" x="219"/>
        <item x="24"/>
        <item m="1" x="265"/>
        <item m="1" x="357"/>
        <item x="25"/>
        <item x="26"/>
        <item x="27"/>
        <item m="1" x="228"/>
        <item m="1" x="485"/>
        <item x="28"/>
        <item m="1" x="469"/>
        <item m="1" x="394"/>
        <item x="29"/>
        <item m="1" x="435"/>
        <item x="30"/>
        <item m="1" x="248"/>
        <item x="31"/>
        <item x="32"/>
        <item x="33"/>
        <item x="34"/>
        <item x="35"/>
        <item m="1" x="482"/>
        <item x="36"/>
        <item m="1" x="226"/>
        <item m="1" x="235"/>
        <item x="37"/>
        <item m="1" x="283"/>
        <item x="38"/>
        <item m="1" x="213"/>
        <item m="1" x="274"/>
        <item m="1" x="425"/>
        <item m="1" x="205"/>
        <item m="1" x="345"/>
        <item m="1" x="532"/>
        <item m="1" x="346"/>
        <item m="1" x="443"/>
        <item m="1" x="331"/>
        <item m="1" x="396"/>
        <item m="1" x="253"/>
        <item x="39"/>
        <item m="1" x="501"/>
        <item m="1" x="387"/>
        <item x="40"/>
        <item m="1" x="355"/>
        <item x="41"/>
        <item x="42"/>
        <item x="43"/>
        <item x="44"/>
        <item x="45"/>
        <item m="1" x="289"/>
        <item m="1" x="475"/>
        <item m="1" x="521"/>
        <item m="1" x="200"/>
        <item m="1" x="376"/>
        <item m="1" x="221"/>
        <item m="1" x="270"/>
        <item x="46"/>
        <item m="1" x="431"/>
        <item m="1" x="292"/>
        <item m="1" x="414"/>
        <item m="1" x="375"/>
        <item m="1" x="471"/>
        <item x="47"/>
        <item m="1" x="393"/>
        <item x="48"/>
        <item m="1" x="494"/>
        <item x="49"/>
        <item x="50"/>
        <item m="1" x="183"/>
        <item x="51"/>
        <item m="1" x="416"/>
        <item x="52"/>
        <item m="1" x="290"/>
        <item m="1" x="341"/>
        <item m="1" x="439"/>
        <item m="1" x="257"/>
        <item m="1" x="340"/>
        <item m="1" x="256"/>
        <item x="53"/>
        <item m="1" x="203"/>
        <item x="54"/>
        <item x="55"/>
        <item x="56"/>
        <item m="1" x="529"/>
        <item x="57"/>
        <item m="1" x="461"/>
        <item m="1" x="415"/>
        <item x="58"/>
        <item m="1" x="238"/>
        <item x="59"/>
        <item x="60"/>
        <item m="1" x="452"/>
        <item m="1" x="457"/>
        <item x="61"/>
        <item m="1" x="508"/>
        <item m="1" x="208"/>
        <item m="1" x="321"/>
        <item m="1" x="390"/>
        <item x="62"/>
        <item m="1" x="293"/>
        <item m="1" x="232"/>
        <item m="1" x="366"/>
        <item m="1" x="310"/>
        <item x="63"/>
        <item m="1" x="400"/>
        <item m="1" x="446"/>
        <item m="1" x="251"/>
        <item x="64"/>
        <item x="65"/>
        <item m="1" x="349"/>
        <item x="66"/>
        <item x="67"/>
        <item m="1" x="259"/>
        <item m="1" x="519"/>
        <item x="68"/>
        <item m="1" x="490"/>
        <item x="69"/>
        <item m="1" x="344"/>
        <item m="1" x="255"/>
        <item x="70"/>
        <item x="71"/>
        <item m="1" x="406"/>
        <item x="72"/>
        <item m="1" x="458"/>
        <item x="73"/>
        <item m="1" x="196"/>
        <item m="1" x="314"/>
        <item m="1" x="419"/>
        <item x="74"/>
        <item x="75"/>
        <item x="76"/>
        <item m="1" x="404"/>
        <item m="1" x="302"/>
        <item m="1" x="372"/>
        <item m="1" x="316"/>
        <item x="77"/>
        <item m="1" x="279"/>
        <item m="1" x="276"/>
        <item m="1" x="361"/>
        <item m="1" x="468"/>
        <item m="1" x="371"/>
        <item m="1" x="258"/>
        <item m="1" x="260"/>
        <item m="1" x="430"/>
        <item m="1" x="187"/>
        <item x="78"/>
        <item x="79"/>
        <item x="80"/>
        <item m="1" x="227"/>
        <item m="1" x="427"/>
        <item x="81"/>
        <item m="1" x="395"/>
        <item m="1" x="407"/>
        <item m="1" x="473"/>
        <item m="1" x="445"/>
        <item m="1" x="405"/>
        <item m="1" x="252"/>
        <item m="1" x="464"/>
        <item x="82"/>
        <item m="1" x="230"/>
        <item x="83"/>
        <item m="1" x="514"/>
        <item m="1" x="456"/>
        <item m="1" x="517"/>
        <item m="1" x="325"/>
        <item m="1" x="422"/>
        <item m="1" x="505"/>
        <item m="1" x="241"/>
        <item x="84"/>
        <item m="1" x="195"/>
        <item m="1" x="233"/>
        <item x="85"/>
        <item m="1" x="286"/>
        <item m="1" x="250"/>
        <item x="86"/>
        <item m="1" x="189"/>
        <item m="1" x="470"/>
        <item x="87"/>
        <item x="88"/>
        <item x="89"/>
        <item m="1" x="465"/>
        <item x="90"/>
        <item x="91"/>
        <item m="1" x="489"/>
        <item m="1" x="268"/>
        <item m="1" x="300"/>
        <item m="1" x="360"/>
        <item x="92"/>
        <item m="1" x="315"/>
        <item m="1" x="263"/>
        <item m="1" x="278"/>
        <item m="1" x="199"/>
        <item m="1" x="486"/>
        <item m="1" x="454"/>
        <item m="1" x="211"/>
        <item m="1" x="317"/>
        <item x="93"/>
        <item m="1" x="298"/>
        <item m="1" x="288"/>
        <item x="94"/>
        <item m="1" x="448"/>
        <item x="95"/>
        <item m="1" x="307"/>
        <item m="1" x="294"/>
        <item m="1" x="450"/>
        <item m="1" x="190"/>
        <item m="1" x="512"/>
        <item x="96"/>
        <item x="97"/>
        <item x="98"/>
        <item m="1" x="516"/>
        <item m="1" x="365"/>
        <item m="1" x="242"/>
        <item m="1" x="377"/>
        <item m="1" x="491"/>
        <item x="99"/>
        <item m="1" x="472"/>
        <item x="100"/>
        <item m="1" x="384"/>
        <item x="101"/>
        <item x="102"/>
        <item m="1" x="309"/>
        <item m="1" x="311"/>
        <item x="103"/>
        <item x="104"/>
        <item m="1" x="291"/>
        <item m="1" x="338"/>
        <item m="1" x="285"/>
        <item m="1" x="306"/>
        <item x="105"/>
        <item m="1" x="386"/>
        <item m="1" x="197"/>
        <item m="1" x="528"/>
        <item m="1" x="223"/>
        <item m="1" x="275"/>
        <item m="1" x="194"/>
        <item x="106"/>
        <item m="1" x="403"/>
        <item m="1" x="525"/>
        <item m="1" x="324"/>
        <item m="1" x="201"/>
        <item m="1" x="243"/>
        <item x="107"/>
        <item m="1" x="434"/>
        <item m="1" x="362"/>
        <item x="108"/>
        <item m="1" x="363"/>
        <item m="1" x="437"/>
        <item m="1" x="339"/>
        <item m="1" x="329"/>
        <item m="1" x="284"/>
        <item m="1" x="441"/>
        <item x="109"/>
        <item m="1" x="244"/>
        <item x="110"/>
        <item m="1" x="225"/>
        <item m="1" x="442"/>
        <item m="1" x="402"/>
        <item m="1" x="333"/>
        <item m="1" x="224"/>
        <item x="111"/>
        <item m="1" x="217"/>
        <item m="1" x="188"/>
        <item x="112"/>
        <item m="1" x="383"/>
        <item x="113"/>
        <item m="1" x="212"/>
        <item m="1" x="313"/>
        <item x="114"/>
        <item m="1" x="507"/>
        <item x="115"/>
        <item x="116"/>
        <item m="1" x="493"/>
        <item x="117"/>
        <item m="1" x="330"/>
        <item m="1" x="389"/>
        <item m="1" x="234"/>
        <item m="1" x="408"/>
        <item x="118"/>
        <item x="119"/>
        <item m="1" x="220"/>
        <item m="1" x="506"/>
        <item m="1" x="391"/>
        <item x="120"/>
        <item m="1" x="266"/>
        <item m="1" x="509"/>
        <item m="1" x="374"/>
        <item x="121"/>
        <item m="1" x="359"/>
        <item m="1" x="305"/>
        <item m="1" x="282"/>
        <item x="122"/>
        <item m="1" x="280"/>
        <item x="123"/>
        <item x="124"/>
        <item m="1" x="356"/>
        <item m="1" x="327"/>
        <item m="1" x="398"/>
        <item m="1" x="246"/>
        <item m="1" x="498"/>
        <item x="125"/>
        <item x="126"/>
        <item m="1" x="451"/>
        <item x="127"/>
        <item m="1" x="530"/>
        <item m="1" x="388"/>
        <item x="128"/>
        <item m="1" x="206"/>
        <item m="1" x="191"/>
        <item m="1" x="322"/>
        <item x="129"/>
        <item m="1" x="417"/>
        <item m="1" x="308"/>
        <item m="1" x="534"/>
        <item m="1" x="440"/>
        <item m="1" x="254"/>
        <item x="130"/>
        <item m="1" x="455"/>
        <item m="1" x="523"/>
        <item x="131"/>
        <item m="1" x="296"/>
        <item x="132"/>
        <item x="133"/>
        <item m="1" x="474"/>
        <item m="1" x="334"/>
        <item m="1" x="531"/>
        <item m="1" x="229"/>
        <item x="134"/>
        <item x="135"/>
        <item m="1" x="535"/>
        <item m="1" x="476"/>
        <item x="136"/>
        <item x="137"/>
        <item m="1" x="239"/>
        <item m="1" x="478"/>
        <item x="138"/>
        <item x="139"/>
        <item x="140"/>
        <item m="1" x="423"/>
        <item m="1" x="401"/>
        <item m="1" x="193"/>
        <item x="141"/>
        <item m="1" x="397"/>
        <item m="1" x="526"/>
        <item x="142"/>
        <item m="1" x="271"/>
        <item x="143"/>
        <item m="1" x="428"/>
        <item x="144"/>
        <item x="145"/>
        <item x="146"/>
        <item x="147"/>
        <item x="148"/>
        <item m="1" x="247"/>
        <item x="149"/>
        <item m="1" x="502"/>
        <item m="1" x="207"/>
        <item m="1" x="222"/>
        <item m="1" x="462"/>
        <item m="1" x="520"/>
        <item m="1" x="410"/>
        <item m="1" x="336"/>
        <item m="1" x="511"/>
        <item m="1" x="328"/>
        <item m="1" x="424"/>
        <item m="1" x="421"/>
        <item m="1" x="499"/>
        <item m="1" x="515"/>
        <item m="1" x="527"/>
        <item m="1" x="379"/>
        <item x="150"/>
        <item m="1" x="369"/>
        <item x="151"/>
        <item m="1" x="237"/>
        <item m="1" x="323"/>
        <item x="152"/>
        <item x="153"/>
        <item x="154"/>
        <item m="1" x="348"/>
        <item m="1" x="236"/>
        <item x="155"/>
        <item x="156"/>
        <item m="1" x="483"/>
        <item m="1" x="420"/>
        <item m="1" x="503"/>
        <item m="1" x="332"/>
        <item m="1" x="204"/>
        <item m="1" x="460"/>
        <item x="157"/>
        <item x="158"/>
        <item m="1" x="326"/>
        <item m="1" x="513"/>
        <item x="159"/>
        <item m="1" x="351"/>
        <item m="1" x="216"/>
        <item m="1" x="262"/>
        <item m="1" x="320"/>
        <item m="1" x="453"/>
        <item m="1" x="272"/>
        <item m="1" x="500"/>
        <item x="160"/>
        <item m="1" x="484"/>
        <item m="1" x="231"/>
        <item m="1" x="399"/>
        <item x="161"/>
        <item m="1" x="304"/>
        <item m="1" x="382"/>
        <item m="1" x="318"/>
        <item m="1" x="319"/>
        <item m="1" x="429"/>
        <item m="1" x="378"/>
        <item m="1" x="269"/>
        <item m="1" x="496"/>
        <item m="1" x="281"/>
        <item m="1" x="495"/>
        <item m="1" x="301"/>
        <item x="162"/>
        <item x="163"/>
        <item m="1" x="353"/>
        <item m="1" x="210"/>
        <item m="1" x="343"/>
        <item m="1" x="312"/>
        <item m="1" x="497"/>
        <item m="1" x="185"/>
        <item m="1" x="350"/>
        <item m="1" x="249"/>
        <item m="1" x="368"/>
        <item m="1" x="438"/>
        <item m="1" x="264"/>
        <item m="1" x="342"/>
        <item m="1" x="198"/>
        <item m="1" x="240"/>
        <item m="1" x="467"/>
        <item x="164"/>
        <item m="1" x="337"/>
        <item m="1" x="524"/>
        <item m="1" x="299"/>
        <item x="165"/>
        <item m="1" x="459"/>
        <item m="1" x="218"/>
        <item m="1" x="466"/>
        <item m="1" x="492"/>
        <item x="166"/>
        <item m="1" x="477"/>
        <item m="1" x="449"/>
        <item m="1" x="409"/>
        <item m="1" x="480"/>
        <item x="167"/>
        <item m="1" x="522"/>
        <item x="168"/>
        <item m="1" x="261"/>
        <item m="1" x="245"/>
        <item m="1" x="412"/>
        <item m="1" x="432"/>
        <item x="169"/>
        <item m="1" x="444"/>
        <item m="1" x="370"/>
        <item x="170"/>
        <item x="171"/>
        <item x="172"/>
        <item m="1" x="287"/>
        <item m="1" x="273"/>
        <item x="173"/>
        <item m="1" x="487"/>
        <item x="174"/>
        <item m="1" x="463"/>
        <item x="175"/>
        <item m="1" x="335"/>
        <item x="176"/>
        <item m="1" x="380"/>
        <item m="1" x="364"/>
        <item x="177"/>
        <item x="178"/>
        <item x="179"/>
        <item x="180"/>
        <item m="1" x="181"/>
        <item t="default"/>
      </items>
    </pivotField>
    <pivotField axis="axisPage" multipleItemSelectionAllowed="1" showAll="0">
      <items count="41">
        <item h="1" x="2"/>
        <item h="1" x="7"/>
        <item h="1" x="3"/>
        <item h="1" m="1" x="35"/>
        <item h="1" x="20"/>
        <item h="1" m="1" x="32"/>
        <item h="1" x="5"/>
        <item h="1" x="6"/>
        <item h="1" x="11"/>
        <item h="1" x="15"/>
        <item h="1" m="1" x="30"/>
        <item h="1" x="1"/>
        <item h="1" x="16"/>
        <item h="1" x="21"/>
        <item h="1" x="19"/>
        <item x="8"/>
        <item h="1" x="0"/>
        <item h="1" x="9"/>
        <item h="1" x="13"/>
        <item h="1" x="4"/>
        <item h="1" x="10"/>
        <item h="1" m="1" x="38"/>
        <item h="1" m="1" x="33"/>
        <item h="1" m="1" x="26"/>
        <item h="1" x="12"/>
        <item h="1" m="1" x="28"/>
        <item h="1" m="1" x="36"/>
        <item h="1" m="1" x="37"/>
        <item h="1" m="1" x="29"/>
        <item h="1" m="1" x="39"/>
        <item h="1" m="1" x="23"/>
        <item h="1" m="1" x="31"/>
        <item h="1" m="1" x="25"/>
        <item h="1" x="17"/>
        <item h="1" m="1" x="34"/>
        <item h="1" x="14"/>
        <item h="1" m="1" x="24"/>
        <item h="1" m="1" x="27"/>
        <item h="1" x="18"/>
        <item h="1" x="22"/>
        <item t="default"/>
      </items>
    </pivotField>
    <pivotField showAll="0"/>
    <pivotField numFmtId="4" showAll="0"/>
    <pivotField numFmtId="4" showAll="0"/>
    <pivotField dataField="1" numFmtId="4" showAll="0"/>
    <pivotField numFmtId="4" showAll="0"/>
    <pivotField numFmtId="4" showAll="0"/>
    <pivotField numFmtId="166" showAll="0"/>
    <pivotField showAll="0"/>
    <pivotField showAll="0"/>
    <pivotField showAll="0"/>
    <pivotField showAll="0"/>
  </pivotFields>
  <rowFields count="1">
    <field x="2"/>
  </rowFields>
  <rowItems count="16">
    <i>
      <x v="50"/>
    </i>
    <i>
      <x v="122"/>
    </i>
    <i>
      <x v="141"/>
    </i>
    <i>
      <x v="147"/>
    </i>
    <i>
      <x v="179"/>
    </i>
    <i>
      <x v="180"/>
    </i>
    <i>
      <x v="188"/>
    </i>
    <i>
      <x v="231"/>
    </i>
    <i>
      <x v="296"/>
    </i>
    <i>
      <x v="302"/>
    </i>
    <i>
      <x v="328"/>
    </i>
    <i>
      <x v="370"/>
    </i>
    <i>
      <x v="409"/>
    </i>
    <i>
      <x v="411"/>
    </i>
    <i>
      <x v="534"/>
    </i>
    <i t="grand">
      <x/>
    </i>
  </rowItems>
  <colItems count="1">
    <i/>
  </colItems>
  <pageFields count="1">
    <pageField fld="3" hier="-1"/>
  </pageFields>
  <dataFields count="1">
    <dataField name="Total" fld="7" baseField="0" baseItem="0" numFmtId="44"/>
  </dataFields>
  <formats count="2">
    <format dxfId="109">
      <pivotArea field="2" type="button" dataOnly="0" labelOnly="1" outline="0" axis="axisRow" fieldPosition="0"/>
    </format>
    <format dxfId="108">
      <pivotArea dataOnly="0" labelOnly="1" outline="0" axis="axisValues" fieldPosition="0"/>
    </format>
  </formats>
  <pivotTableStyleInfo name="PivotStyleLight16" showRowHeaders="1" showColHeaders="1" showRowStripes="1" showColStripes="0" showLastColumn="1"/>
  <filters count="1">
    <filter fld="2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83AFE-F0A9-AF4B-954F-59BC5921EFFF}" name="PivotTable5" cacheId="4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A4:B21" firstHeaderRow="1" firstDataRow="1" firstDataCol="1" rowPageCount="1" colPageCount="1"/>
  <pivotFields count="15">
    <pivotField axis="axisRow" showAll="0">
      <items count="71">
        <item x="56"/>
        <item x="64"/>
        <item x="57"/>
        <item x="65"/>
        <item x="25"/>
        <item x="34"/>
        <item x="36"/>
        <item x="30"/>
        <item x="21"/>
        <item x="52"/>
        <item x="13"/>
        <item x="44"/>
        <item x="14"/>
        <item x="22"/>
        <item x="16"/>
        <item x="29"/>
        <item x="2"/>
        <item x="8"/>
        <item x="51"/>
        <item x="20"/>
        <item x="26"/>
        <item x="35"/>
        <item x="19"/>
        <item x="6"/>
        <item x="61"/>
        <item x="4"/>
        <item x="43"/>
        <item x="11"/>
        <item x="54"/>
        <item x="33"/>
        <item x="38"/>
        <item x="39"/>
        <item x="63"/>
        <item x="17"/>
        <item x="55"/>
        <item x="0"/>
        <item x="1"/>
        <item m="1" x="67"/>
        <item x="46"/>
        <item x="45"/>
        <item x="24"/>
        <item x="18"/>
        <item x="50"/>
        <item x="58"/>
        <item x="59"/>
        <item x="7"/>
        <item x="47"/>
        <item x="31"/>
        <item x="53"/>
        <item x="48"/>
        <item x="23"/>
        <item x="27"/>
        <item x="32"/>
        <item x="37"/>
        <item x="49"/>
        <item m="1" x="68"/>
        <item m="1" x="69"/>
        <item x="3"/>
        <item x="9"/>
        <item x="60"/>
        <item x="28"/>
        <item x="10"/>
        <item x="66"/>
        <item x="62"/>
        <item x="40"/>
        <item x="41"/>
        <item x="42"/>
        <item x="12"/>
        <item x="15"/>
        <item x="5"/>
        <item t="default"/>
      </items>
    </pivotField>
    <pivotField showAll="0"/>
    <pivotField showAll="0"/>
    <pivotField axis="axisPage" multipleItemSelectionAllowed="1" showAll="0">
      <items count="49">
        <item h="1" x="10"/>
        <item h="1" x="15"/>
        <item h="1" x="17"/>
        <item h="1" x="5"/>
        <item h="1" x="7"/>
        <item h="1" m="1" x="18"/>
        <item h="1" x="6"/>
        <item h="1" x="12"/>
        <item h="1" x="14"/>
        <item h="1" m="1" x="36"/>
        <item h="1" x="3"/>
        <item x="8"/>
        <item h="1" x="9"/>
        <item h="1" m="1" x="41"/>
        <item h="1" m="1" x="42"/>
        <item h="1" x="13"/>
        <item h="1" x="0"/>
        <item h="1" m="1" x="23"/>
        <item h="1" m="1" x="45"/>
        <item h="1" m="1" x="47"/>
        <item h="1" x="1"/>
        <item h="1" m="1" x="39"/>
        <item h="1" x="4"/>
        <item h="1" m="1" x="44"/>
        <item h="1" m="1" x="46"/>
        <item h="1" x="2"/>
        <item h="1" m="1" x="40"/>
        <item h="1" x="11"/>
        <item h="1" m="1" x="34"/>
        <item h="1" m="1" x="21"/>
        <item h="1" m="1" x="31"/>
        <item h="1" m="1" x="33"/>
        <item h="1" m="1" x="22"/>
        <item h="1" m="1" x="20"/>
        <item h="1" m="1" x="26"/>
        <item h="1" m="1" x="27"/>
        <item h="1" m="1" x="19"/>
        <item h="1" x="16"/>
        <item h="1" m="1" x="43"/>
        <item h="1" m="1" x="24"/>
        <item h="1" m="1" x="25"/>
        <item h="1" m="1" x="28"/>
        <item h="1" m="1" x="29"/>
        <item h="1" m="1" x="30"/>
        <item h="1" m="1" x="32"/>
        <item h="1" m="1" x="35"/>
        <item h="1" m="1" x="37"/>
        <item h="1" m="1" x="38"/>
        <item t="default"/>
      </items>
    </pivotField>
    <pivotField axis="axisRow" showAll="0" sortType="ascending">
      <items count="2742">
        <item m="1" x="956"/>
        <item m="1" x="1464"/>
        <item m="1" x="2141"/>
        <item m="1" x="272"/>
        <item m="1" x="870"/>
        <item m="1" x="575"/>
        <item m="1" x="2057"/>
        <item m="1" x="1442"/>
        <item m="1" x="361"/>
        <item m="1" x="118"/>
        <item m="1" x="1346"/>
        <item m="1" x="725"/>
        <item m="1" x="1254"/>
        <item m="1" x="282"/>
        <item m="1" x="2036"/>
        <item m="1" x="2157"/>
        <item m="1" x="1796"/>
        <item m="1" x="951"/>
        <item m="1" x="1887"/>
        <item m="1" x="1870"/>
        <item m="1" x="2717"/>
        <item x="5"/>
        <item m="1" x="491"/>
        <item m="1" x="1549"/>
        <item m="1" x="1484"/>
        <item m="1" x="727"/>
        <item m="1" x="1288"/>
        <item m="1" x="1739"/>
        <item m="1" x="804"/>
        <item m="1" x="451"/>
        <item m="1" x="1888"/>
        <item x="12"/>
        <item m="1" x="2159"/>
        <item m="1" x="1623"/>
        <item m="1" x="2037"/>
        <item m="1" x="78"/>
        <item m="1" x="2611"/>
        <item m="1" x="1378"/>
        <item m="1" x="1556"/>
        <item m="1" x="959"/>
        <item m="1" x="177"/>
        <item m="1" x="2038"/>
        <item m="1" x="1737"/>
        <item m="1" x="2160"/>
        <item m="1" x="2161"/>
        <item m="1" x="357"/>
        <item m="1" x="1142"/>
        <item m="1" x="1003"/>
        <item m="1" x="2688"/>
        <item m="1" x="2162"/>
        <item m="1" x="1096"/>
        <item m="1" x="1016"/>
        <item m="1" x="2039"/>
        <item m="1" x="88"/>
        <item m="1" x="1738"/>
        <item m="1" x="2163"/>
        <item m="1" x="1459"/>
        <item m="1" x="2164"/>
        <item m="1" x="2153"/>
        <item m="1" x="89"/>
        <item m="1" x="2165"/>
        <item m="1" x="730"/>
        <item m="1" x="1630"/>
        <item m="1" x="1005"/>
        <item m="1" x="2166"/>
        <item m="1" x="1348"/>
        <item m="1" x="1006"/>
        <item m="1" x="731"/>
        <item m="1" x="1651"/>
        <item m="1" x="2167"/>
        <item m="1" x="1008"/>
        <item m="1" x="2168"/>
        <item m="1" x="1367"/>
        <item m="1" x="2146"/>
        <item m="1" x="90"/>
        <item m="1" x="2169"/>
        <item m="1" x="266"/>
        <item m="1" x="922"/>
        <item m="1" x="442"/>
        <item m="1" x="364"/>
        <item m="1" x="732"/>
        <item m="1" x="1555"/>
        <item m="1" x="2170"/>
        <item m="1" x="418"/>
        <item m="1" x="887"/>
        <item m="1" x="265"/>
        <item m="1" x="292"/>
        <item m="1" x="2171"/>
        <item m="1" x="68"/>
        <item m="1" x="521"/>
        <item m="1" x="616"/>
        <item m="1" x="2484"/>
        <item m="1" x="617"/>
        <item m="1" x="284"/>
        <item m="1" x="2172"/>
        <item m="1" x="2659"/>
        <item m="1" x="1617"/>
        <item m="1" x="1363"/>
        <item m="1" x="2173"/>
        <item m="1" x="232"/>
        <item m="1" x="2174"/>
        <item m="1" x="2175"/>
        <item m="1" x="2176"/>
        <item m="1" x="2040"/>
        <item m="1" x="562"/>
        <item m="1" x="1476"/>
        <item m="1" x="242"/>
        <item m="1" x="181"/>
        <item m="1" x="1465"/>
        <item m="1" x="2678"/>
        <item m="1" x="1482"/>
        <item m="1" x="815"/>
        <item m="1" x="1128"/>
        <item m="1" x="2489"/>
        <item m="1" x="2177"/>
        <item m="1" x="2385"/>
        <item m="1" x="1129"/>
        <item m="1" x="2178"/>
        <item m="1" x="2181"/>
        <item m="1" x="1012"/>
        <item m="1" x="890"/>
        <item m="1" x="2182"/>
        <item m="1" x="1874"/>
        <item m="1" x="2183"/>
        <item m="1" x="1727"/>
        <item m="1" x="2184"/>
        <item m="1" x="1408"/>
        <item m="1" x="238"/>
        <item m="1" x="2185"/>
        <item m="1" x="93"/>
        <item m="1" x="1041"/>
        <item m="1" x="734"/>
        <item m="1" x="1042"/>
        <item m="1" x="1309"/>
        <item m="1" x="1399"/>
        <item m="1" x="1547"/>
        <item m="1" x="2186"/>
        <item m="1" x="344"/>
        <item m="1" x="94"/>
        <item m="1" x="2187"/>
        <item m="1" x="2188"/>
        <item m="1" x="983"/>
        <item m="1" x="2041"/>
        <item m="1" x="547"/>
        <item m="1" x="1359"/>
        <item m="1" x="1303"/>
        <item m="1" x="1552"/>
        <item m="1" x="981"/>
        <item m="1" x="54"/>
        <item m="1" x="255"/>
        <item m="1" x="497"/>
        <item m="1" x="2190"/>
        <item m="1" x="2191"/>
        <item m="1" x="2192"/>
        <item m="1" x="2650"/>
        <item m="1" x="621"/>
        <item m="1" x="1045"/>
        <item m="1" x="880"/>
        <item m="1" x="1046"/>
        <item m="1" x="274"/>
        <item m="1" x="1047"/>
        <item m="1" x="2193"/>
        <item m="1" x="1049"/>
        <item m="1" x="1050"/>
        <item m="1" x="1962"/>
        <item m="1" x="735"/>
        <item m="1" x="2194"/>
        <item m="1" x="2083"/>
        <item m="1" x="2682"/>
        <item m="1" x="287"/>
        <item m="1" x="432"/>
        <item m="1" x="472"/>
        <item m="1" x="1868"/>
        <item m="1" x="419"/>
        <item m="1" x="2389"/>
        <item m="1" x="1052"/>
        <item m="1" x="1053"/>
        <item m="1" x="2618"/>
        <item m="1" x="2637"/>
        <item m="1" x="2641"/>
        <item m="1" x="366"/>
        <item m="1" x="296"/>
        <item m="1" x="1218"/>
        <item m="1" x="1151"/>
        <item m="1" x="620"/>
        <item m="1" x="1344"/>
        <item m="1" x="1203"/>
        <item m="1" x="2195"/>
        <item m="1" x="736"/>
        <item m="1" x="538"/>
        <item m="1" x="2196"/>
        <item m="1" x="1200"/>
        <item m="1" x="1873"/>
        <item m="1" x="1744"/>
        <item m="1" x="2197"/>
        <item m="1" x="1505"/>
        <item m="1" x="622"/>
        <item m="1" x="2261"/>
        <item m="1" x="2000"/>
        <item m="1" x="374"/>
        <item m="1" x="1741"/>
        <item m="1" x="1948"/>
        <item m="1" x="1056"/>
        <item m="1" x="304"/>
        <item m="1" x="498"/>
        <item m="1" x="737"/>
        <item m="1" x="2042"/>
        <item m="1" x="2198"/>
        <item m="1" x="1643"/>
        <item m="1" x="1475"/>
        <item m="1" x="738"/>
        <item m="1" x="1058"/>
        <item m="1" x="1863"/>
        <item m="1" x="2635"/>
        <item m="1" x="97"/>
        <item m="1" x="739"/>
        <item m="1" x="516"/>
        <item m="1" x="807"/>
        <item m="1" x="2651"/>
        <item m="1" x="2115"/>
        <item m="1" x="625"/>
        <item m="1" x="1978"/>
        <item m="1" x="2043"/>
        <item m="1" x="895"/>
        <item m="1" x="626"/>
        <item m="1" x="1063"/>
        <item m="1" x="1253"/>
        <item m="1" x="1393"/>
        <item m="1" x="1020"/>
        <item m="1" x="492"/>
        <item m="1" x="1804"/>
        <item m="1" x="2085"/>
        <item m="1" x="1900"/>
        <item m="1" x="1886"/>
        <item m="1" x="573"/>
        <item m="1" x="2638"/>
        <item m="1" x="628"/>
        <item m="1" x="2508"/>
        <item m="1" x="464"/>
        <item m="1" x="1224"/>
        <item m="1" x="2002"/>
        <item m="1" x="1500"/>
        <item m="1" x="2199"/>
        <item m="1" x="448"/>
        <item m="1" x="412"/>
        <item m="1" x="98"/>
        <item m="1" x="1575"/>
        <item m="1" x="2601"/>
        <item m="1" x="1508"/>
        <item m="1" x="741"/>
        <item m="1" x="2200"/>
        <item m="1" x="175"/>
        <item m="1" x="1349"/>
        <item m="1" x="1622"/>
        <item m="1" x="2080"/>
        <item m="1" x="806"/>
        <item m="1" x="1981"/>
        <item m="1" x="594"/>
        <item m="1" x="2201"/>
        <item m="1" x="1947"/>
        <item m="1" x="1069"/>
        <item sd="0" m="1" x="47"/>
        <item m="1" x="1382"/>
        <item m="1" x="1701"/>
        <item m="1" x="2681"/>
        <item m="1" x="1355"/>
        <item m="1" x="2202"/>
        <item m="1" x="1364"/>
        <item m="1" x="743"/>
        <item m="1" x="1072"/>
        <item m="1" x="1327"/>
        <item m="1" x="1240"/>
        <item m="1" x="250"/>
        <item m="1" x="2704"/>
        <item m="1" x="301"/>
        <item sd="0" m="1" x="2726"/>
        <item m="1" x="2572"/>
        <item m="1" x="744"/>
        <item m="1" x="2018"/>
        <item m="1" x="1073"/>
        <item m="1" x="745"/>
        <item m="1" x="746"/>
        <item m="1" x="2204"/>
        <item m="1" x="1137"/>
        <item m="1" x="2205"/>
        <item m="1" x="529"/>
        <item m="1" x="577"/>
        <item m="1" x="215"/>
        <item m="1" x="499"/>
        <item m="1" x="1418"/>
        <item m="1" x="1940"/>
        <item m="1" x="474"/>
        <item m="1" x="986"/>
        <item m="1" x="72"/>
        <item m="1" x="1388"/>
        <item m="1" x="2206"/>
        <item m="1" x="99"/>
        <item m="1" x="1330"/>
        <item m="1" x="1237"/>
        <item m="1" x="1282"/>
        <item m="1" x="1294"/>
        <item m="1" x="2207"/>
        <item m="1" x="2208"/>
        <item m="1" x="811"/>
        <item m="1" x="747"/>
        <item m="1" x="1310"/>
        <item m="1" x="2081"/>
        <item m="1" x="1771"/>
        <item m="1" x="449"/>
        <item m="1" x="1341"/>
        <item m="1" x="1878"/>
        <item m="1" x="159"/>
        <item m="1" x="576"/>
        <item m="1" x="551"/>
        <item m="1" x="2209"/>
        <item m="1" x="2003"/>
        <item m="1" x="1078"/>
        <item m="1" x="2210"/>
        <item m="1" x="1453"/>
        <item m="1" x="1935"/>
        <item m="1" x="251"/>
        <item m="1" x="1574"/>
        <item m="1" x="1306"/>
        <item m="1" x="1905"/>
        <item m="1" x="1652"/>
        <item m="1" x="313"/>
        <item m="1" x="631"/>
        <item m="1" x="1079"/>
        <item m="1" x="526"/>
        <item m="1" x="1757"/>
        <item m="1" x="2211"/>
        <item m="1" x="1037"/>
        <item m="1" x="561"/>
        <item m="1" x="926"/>
        <item m="1" x="2577"/>
        <item m="1" x="2212"/>
        <item m="1" x="1360"/>
        <item m="1" x="2086"/>
        <item m="1" x="1377"/>
        <item m="1" x="2213"/>
        <item m="1" x="100"/>
        <item m="1" x="476"/>
        <item m="1" x="1336"/>
        <item m="1" x="1907"/>
        <item m="1" x="1956"/>
        <item m="1" x="1909"/>
        <item m="1" x="452"/>
        <item m="1" x="109"/>
        <item m="1" x="399"/>
        <item m="1" x="1083"/>
        <item m="1" x="2214"/>
        <item m="1" x="1085"/>
        <item m="1" x="748"/>
        <item m="1" x="2215"/>
        <item m="1" x="2589"/>
        <item m="1" x="1087"/>
        <item m="1" x="254"/>
        <item m="1" x="2563"/>
        <item m="1" x="749"/>
        <item m="1" x="1088"/>
        <item m="1" x="2581"/>
        <item m="1" x="81"/>
        <item m="1" x="1095"/>
        <item m="1" x="158"/>
        <item m="1" x="950"/>
        <item m="1" x="979"/>
        <item m="1" x="1098"/>
        <item sd="0" m="1" x="2571"/>
        <item m="1" x="1084"/>
        <item x="38"/>
        <item m="1" x="2630"/>
        <item m="1" x="103"/>
        <item m="1" x="2716"/>
        <item m="1" x="633"/>
        <item m="1" x="1438"/>
        <item m="1" x="1147"/>
        <item m="1" x="1520"/>
        <item m="1" x="1149"/>
        <item m="1" x="102"/>
        <item m="1" x="1091"/>
        <item m="1" x="115"/>
        <item sd="0" m="1" x="116"/>
        <item m="1" x="1152"/>
        <item m="1" x="618"/>
        <item m="1" x="1380"/>
        <item m="1" x="117"/>
        <item m="1" x="649"/>
        <item m="1" x="648"/>
        <item m="1" x="1089"/>
        <item m="1" x="2670"/>
        <item m="1" x="2216"/>
        <item m="1" x="1090"/>
        <item m="1" x="2004"/>
        <item m="1" x="1021"/>
        <item m="1" x="523"/>
        <item m="1" x="578"/>
        <item m="1" x="1764"/>
        <item m="1" x="908"/>
        <item m="1" x="2560"/>
        <item m="1" x="1803"/>
        <item m="1" x="2242"/>
        <item m="1" x="49"/>
        <item m="1" x="2044"/>
        <item m="1" x="1397"/>
        <item m="1" x="2649"/>
        <item m="1" x="2217"/>
        <item m="1" x="1163"/>
        <item m="1" x="148"/>
        <item m="1" x="2596"/>
        <item m="1" x="167"/>
        <item m="1" x="970"/>
        <item m="1" x="1094"/>
        <item m="1" x="2218"/>
        <item m="1" x="1898"/>
        <item m="1" x="2219"/>
        <item m="1" x="883"/>
        <item m="1" x="873"/>
        <item m="1" x="2600"/>
        <item m="1" x="2380"/>
        <item m="1" x="1932"/>
        <item m="1" x="1062"/>
        <item m="1" x="2220"/>
        <item m="1" x="1952"/>
        <item m="1" x="1082"/>
        <item m="1" x="1289"/>
        <item sd="0" m="1" x="2721"/>
        <item m="1" x="106"/>
        <item m="1" x="360"/>
        <item m="1" x="1998"/>
        <item m="1" x="2339"/>
        <item m="1" x="2667"/>
        <item m="1" x="545"/>
        <item m="1" x="2087"/>
        <item m="1" x="751"/>
        <item m="1" x="107"/>
        <item m="1" x="509"/>
        <item m="1" x="259"/>
        <item m="1" x="1097"/>
        <item m="1" x="1080"/>
        <item x="10"/>
        <item m="1" x="2559"/>
        <item m="1" x="1621"/>
        <item m="1" x="753"/>
        <item m="1" x="331"/>
        <item m="1" x="932"/>
        <item x="22"/>
        <item x="1"/>
        <item m="1" x="2221"/>
        <item m="1" x="2222"/>
        <item m="1" x="369"/>
        <item m="1" x="453"/>
        <item m="1" x="58"/>
        <item m="1" x="437"/>
        <item m="1" x="1687"/>
        <item m="1" x="1099"/>
        <item m="1" x="2224"/>
        <item m="1" x="2045"/>
        <item m="1" x="2608"/>
        <item m="1" x="1783"/>
        <item m="1" x="1885"/>
        <item m="1" x="636"/>
        <item m="1" x="108"/>
        <item m="1" x="52"/>
        <item m="1" x="1103"/>
        <item x="18"/>
        <item m="1" x="1993"/>
        <item m="1" x="2016"/>
        <item m="1" x="1911"/>
        <item m="1" x="593"/>
        <item m="1" x="754"/>
        <item m="1" x="755"/>
        <item m="1" x="407"/>
        <item m="1" x="356"/>
        <item m="1" x="1104"/>
        <item m="1" x="2225"/>
        <item m="1" x="1105"/>
        <item m="1" x="756"/>
        <item m="1" x="2158"/>
        <item m="1" x="752"/>
        <item m="1" x="2046"/>
        <item m="1" x="2226"/>
        <item m="1" x="1913"/>
        <item m="1" x="2150"/>
        <item m="1" x="919"/>
        <item m="1" x="2020"/>
        <item m="1" x="208"/>
        <item m="1" x="1708"/>
        <item m="1" x="1111"/>
        <item m="1" x="454"/>
        <item m="1" x="1112"/>
        <item m="1" x="309"/>
        <item m="1" x="1869"/>
        <item m="1" x="302"/>
        <item m="1" x="852"/>
        <item m="1" x="1205"/>
        <item m="1" x="1113"/>
        <item m="1" x="713"/>
        <item m="1" x="638"/>
        <item m="1" x="1210"/>
        <item m="1" x="1070"/>
        <item m="1" x="1805"/>
        <item m="1" x="1806"/>
        <item m="1" x="216"/>
        <item m="1" x="1809"/>
        <item m="1" x="875"/>
        <item m="1" x="2669"/>
        <item m="1" x="1126"/>
        <item m="1" x="110"/>
        <item m="1" x="1054"/>
        <item m="1" x="1830"/>
        <item m="1" x="1832"/>
        <item m="1" x="1818"/>
        <item m="1" x="1106"/>
        <item x="19"/>
        <item m="1" x="1043"/>
        <item m="1" x="1712"/>
        <item x="33"/>
        <item m="1" x="1615"/>
        <item m="1" x="1810"/>
        <item m="1" x="1114"/>
        <item m="1" x="1143"/>
        <item m="1" x="1535"/>
        <item m="1" x="1812"/>
        <item m="1" x="2088"/>
        <item m="1" x="1813"/>
        <item m="1" x="111"/>
        <item m="1" x="2228"/>
        <item m="1" x="1000"/>
        <item m="1" x="2229"/>
        <item m="1" x="2578"/>
        <item m="1" x="2230"/>
        <item m="1" x="1030"/>
        <item m="1" x="2564"/>
        <item m="1" x="946"/>
        <item m="1" x="2231"/>
        <item m="1" x="50"/>
        <item m="1" x="378"/>
        <item m="1" x="2232"/>
        <item m="1" x="2456"/>
        <item m="1" x="276"/>
        <item m="1" x="758"/>
        <item m="1" x="1010"/>
        <item m="1" x="1120"/>
        <item m="1" x="900"/>
        <item m="1" x="2663"/>
        <item m="1" x="2233"/>
        <item m="1" x="1015"/>
        <item m="1" x="1026"/>
        <item m="1" x="641"/>
        <item m="1" x="642"/>
        <item m="1" x="597"/>
        <item m="1" x="2606"/>
        <item m="1" x="643"/>
        <item m="1" x="1918"/>
        <item m="1" x="635"/>
        <item m="1" x="1123"/>
        <item m="1" x="2234"/>
        <item m="1" x="112"/>
        <item m="1" x="1742"/>
        <item m="1" x="878"/>
        <item m="1" x="2235"/>
        <item m="1" x="1984"/>
        <item m="1" x="2007"/>
        <item m="1" x="2236"/>
        <item m="1" x="759"/>
        <item m="1" x="933"/>
        <item m="1" x="436"/>
        <item m="1" x="2664"/>
        <item m="1" x="2078"/>
        <item m="1" x="1775"/>
        <item m="1" x="2586"/>
        <item m="1" x="475"/>
        <item m="1" x="1109"/>
        <item m="1" x="2674"/>
        <item m="1" x="2657"/>
        <item m="1" x="1700"/>
        <item m="1" x="539"/>
        <item m="1" x="455"/>
        <item m="1" x="952"/>
        <item m="1" x="315"/>
        <item m="1" x="408"/>
        <item m="1" x="867"/>
        <item m="1" x="2506"/>
        <item m="1" x="114"/>
        <item m="1" x="2237"/>
        <item m="1" x="1402"/>
        <item m="1" x="164"/>
        <item m="1" x="645"/>
        <item m="1" x="1638"/>
        <item m="1" x="1139"/>
        <item m="1" x="1146"/>
        <item m="1" x="554"/>
        <item m="1" x="2634"/>
        <item m="1" x="994"/>
        <item m="1" x="2465"/>
        <item m="1" x="1406"/>
        <item m="1" x="1236"/>
        <item m="1" x="1959"/>
        <item m="1" x="1247"/>
        <item m="1" x="1481"/>
        <item m="1" x="1876"/>
        <item m="1" x="1141"/>
        <item m="1" x="1065"/>
        <item m="1" x="646"/>
        <item sd="0" m="1" x="2731"/>
        <item m="1" x="1573"/>
        <item m="1" x="647"/>
        <item m="1" x="2239"/>
        <item m="1" x="126"/>
        <item m="1" x="96"/>
        <item m="1" x="1329"/>
        <item m="1" x="760"/>
        <item m="1" x="1270"/>
        <item m="1" x="2558"/>
        <item m="1" x="869"/>
        <item m="1" x="1145"/>
        <item m="1" x="1510"/>
        <item x="20"/>
        <item m="1" x="1175"/>
        <item m="1" x="1795"/>
        <item m="1" x="1124"/>
        <item m="1" x="1802"/>
        <item sd="0" x="7"/>
        <item x="37"/>
        <item m="1" x="1298"/>
        <item m="1" x="1339"/>
        <item m="1" x="1816"/>
        <item m="1" x="1762"/>
        <item m="1" x="1532"/>
        <item m="1" x="2240"/>
        <item m="1" x="871"/>
        <item m="1" x="2718"/>
        <item m="1" x="91"/>
        <item m="1" x="2241"/>
        <item m="1" x="2030"/>
        <item m="1" x="1672"/>
        <item m="1" x="761"/>
        <item m="1" x="2089"/>
        <item m="1" x="2227"/>
        <item m="1" x="762"/>
        <item m="1" x="1148"/>
        <item m="1" x="316"/>
        <item m="1" x="2633"/>
        <item m="1" x="1242"/>
        <item m="1" x="260"/>
        <item m="1" x="1412"/>
        <item m="1" x="1384"/>
        <item m="1" x="763"/>
        <item m="1" x="1682"/>
        <item m="1" x="385"/>
        <item m="1" x="591"/>
        <item m="1" x="1565"/>
        <item m="1" x="2243"/>
        <item m="1" x="1153"/>
        <item m="1" x="500"/>
        <item m="1" x="2552"/>
        <item m="1" x="217"/>
        <item m="1" x="1229"/>
        <item m="1" x="373"/>
        <item m="1" x="433"/>
        <item m="1" x="2632"/>
        <item m="1" x="1092"/>
        <item m="1" x="1241"/>
        <item m="1" x="1743"/>
        <item sd="0" m="1" x="244"/>
        <item m="1" x="444"/>
        <item m="1" x="2047"/>
        <item m="1" x="1403"/>
        <item m="1" x="1644"/>
        <item m="1" x="1158"/>
        <item m="1" x="1612"/>
        <item m="1" x="372"/>
        <item m="1" x="2588"/>
        <item m="1" x="1872"/>
        <item m="1" x="1478"/>
        <item m="1" x="2244"/>
        <item m="1" x="1865"/>
        <item m="1" x="319"/>
        <item m="1" x="303"/>
        <item m="1" x="1879"/>
        <item m="1" x="2351"/>
        <item m="1" x="1875"/>
        <item sd="0" m="1" x="2090"/>
        <item m="1" x="2245"/>
        <item m="1" x="2072"/>
        <item m="1" x="2374"/>
        <item m="1" x="2091"/>
        <item m="1" x="311"/>
        <item m="1" x="2246"/>
        <item m="1" x="2247"/>
        <item m="1" x="333"/>
        <item m="1" x="765"/>
        <item m="1" x="1318"/>
        <item m="1" x="2248"/>
        <item m="1" x="1276"/>
        <item m="1" x="650"/>
        <item m="1" x="2557"/>
        <item m="1" x="997"/>
        <item m="1" x="1130"/>
        <item m="1" x="2249"/>
        <item m="1" x="1362"/>
        <item m="1" x="1836"/>
        <item m="1" x="131"/>
        <item m="1" x="202"/>
        <item m="1" x="2250"/>
        <item m="1" x="321"/>
        <item m="1" x="146"/>
        <item m="1" x="2697"/>
        <item m="1" x="652"/>
        <item m="1" x="740"/>
        <item m="1" x="920"/>
        <item m="1" x="291"/>
        <item m="1" x="1170"/>
        <item m="1" x="513"/>
        <item m="1" x="2251"/>
        <item m="1" x="1899"/>
        <item m="1" x="766"/>
        <item sd="0" m="1" x="456"/>
        <item m="1" x="1171"/>
        <item m="1" x="2687"/>
        <item m="1" x="1172"/>
        <item m="1" x="1439"/>
        <item m="1" x="2252"/>
        <item m="1" x="1544"/>
        <item m="1" x="2143"/>
        <item m="1" x="653"/>
        <item m="1" x="615"/>
        <item m="1" x="2615"/>
        <item m="1" x="550"/>
        <item m="1" x="1174"/>
        <item m="1" x="2253"/>
        <item m="1" x="2254"/>
        <item sd="0" m="1" x="445"/>
        <item m="1" x="290"/>
        <item m="1" x="1305"/>
        <item m="1" x="1930"/>
        <item m="1" x="767"/>
        <item m="1" x="992"/>
        <item m="1" x="2565"/>
        <item m="1" x="2658"/>
        <item m="1" x="1915"/>
        <item m="1" x="1221"/>
        <item m="1" x="411"/>
        <item m="1" x="2257"/>
        <item m="1" x="1211"/>
        <item m="1" x="2258"/>
        <item m="1" x="1931"/>
        <item m="1" x="84"/>
        <item m="1" x="1745"/>
        <item m="1" x="1135"/>
        <item m="1" x="2092"/>
        <item m="1" x="654"/>
        <item m="1" x="1413"/>
        <item m="1" x="1131"/>
        <item m="1" x="1215"/>
        <item m="1" x="947"/>
        <item m="1" x="1668"/>
        <item m="1" x="1179"/>
        <item m="1" x="85"/>
        <item m="1" x="553"/>
        <item m="1" x="768"/>
        <item m="1" x="1194"/>
        <item sd="0" x="31"/>
        <item m="1" x="1140"/>
        <item m="1" x="655"/>
        <item m="1" x="233"/>
        <item m="1" x="769"/>
        <item x="27"/>
        <item m="1" x="1627"/>
        <item m="1" x="945"/>
        <item m="1" x="1746"/>
        <item m="1" x="322"/>
        <item m="1" x="1747"/>
        <item m="1" x="1664"/>
        <item m="1" x="1515"/>
        <item m="1" x="1600"/>
        <item m="1" x="1181"/>
        <item m="1" x="1877"/>
        <item m="1" x="2073"/>
        <item m="1" x="891"/>
        <item m="1" x="574"/>
        <item m="1" x="2262"/>
        <item m="1" x="1748"/>
        <item m="1" x="570"/>
        <item m="1" x="2093"/>
        <item m="1" x="2263"/>
        <item m="1" x="1183"/>
        <item m="1" x="2642"/>
        <item m="1" x="171"/>
        <item sd="0" m="1" x="256"/>
        <item m="1" x="1405"/>
        <item m="1" x="1531"/>
        <item m="1" x="488"/>
        <item m="1" x="443"/>
        <item m="1" x="122"/>
        <item m="1" x="1186"/>
        <item m="1" x="2264"/>
        <item m="1" x="326"/>
        <item m="1" x="2265"/>
        <item m="1" x="327"/>
        <item m="1" x="978"/>
        <item m="1" x="2266"/>
        <item m="1" x="248"/>
        <item m="1" x="534"/>
        <item m="1" x="1506"/>
        <item m="1" x="2077"/>
        <item m="1" x="1498"/>
        <item m="1" x="1287"/>
        <item m="1" x="156"/>
        <item m="1" x="394"/>
        <item m="1" x="1361"/>
        <item m="1" x="1592"/>
        <item m="1" x="1492"/>
        <item m="1" x="1468"/>
        <item m="1" x="2580"/>
        <item m="1" x="1568"/>
        <item m="1" x="2026"/>
        <item m="1" x="664"/>
        <item m="1" x="1955"/>
        <item m="1" x="2267"/>
        <item m="1" x="295"/>
        <item m="1" x="1191"/>
        <item m="1" x="1729"/>
        <item m="1" x="771"/>
        <item m="1" x="1195"/>
        <item m="1" x="1571"/>
        <item m="1" x="2094"/>
        <item m="1" x="2015"/>
        <item m="1" x="2524"/>
        <item m="1" x="2271"/>
        <item m="1" x="1789"/>
        <item m="1" x="306"/>
        <item m="1" x="1954"/>
        <item m="1" x="865"/>
        <item m="1" x="1835"/>
        <item m="1" x="801"/>
        <item m="1" x="1790"/>
        <item m="1" x="2272"/>
        <item m="1" x="1774"/>
        <item m="1" x="1653"/>
        <item m="1" x="1441"/>
        <item m="1" x="2095"/>
        <item m="1" x="2274"/>
        <item m="1" x="1793"/>
        <item m="1" x="990"/>
        <item m="1" x="2273"/>
        <item m="1" x="1819"/>
        <item m="1" x="2275"/>
        <item m="1" x="2076"/>
        <item m="1" x="2276"/>
        <item m="1" x="1204"/>
        <item m="1" x="1526"/>
        <item m="1" x="2145"/>
        <item m="1" x="1503"/>
        <item m="1" x="560"/>
        <item m="1" x="1550"/>
        <item m="1" x="872"/>
        <item m="1" x="2277"/>
        <item m="1" x="1425"/>
        <item m="1" x="1340"/>
        <item m="1" x="1167"/>
        <item m="1" x="2278"/>
        <item m="1" x="2279"/>
        <item m="1" x="772"/>
        <item m="1" x="728"/>
        <item m="1" x="658"/>
        <item m="1" x="1176"/>
        <item m="1" x="1315"/>
        <item m="1" x="2096"/>
        <item m="1" x="123"/>
        <item m="1" x="1337"/>
        <item m="1" x="270"/>
        <item m="1" x="2280"/>
        <item m="1" x="125"/>
        <item m="1" x="2074"/>
        <item m="1" x="2281"/>
        <item m="1" x="2282"/>
        <item m="1" x="659"/>
        <item m="1" x="1450"/>
        <item m="1" x="2283"/>
        <item m="1" x="925"/>
        <item m="1" x="1470"/>
        <item m="1" x="1209"/>
        <item m="1" x="660"/>
        <item m="1" x="2550"/>
        <item m="1" x="2648"/>
        <item m="1" x="2345"/>
        <item m="1" x="2097"/>
        <item m="1" x="2048"/>
        <item x="0"/>
        <item m="1" x="1497"/>
        <item m="1" x="2627"/>
        <item m="1" x="1763"/>
        <item m="1" x="1212"/>
        <item m="1" x="410"/>
        <item m="1" x="1961"/>
        <item m="1" x="917"/>
        <item m="1" x="988"/>
        <item m="1" x="1197"/>
        <item m="1" x="2284"/>
        <item m="1" x="1213"/>
        <item m="1" x="773"/>
        <item m="1" x="1214"/>
        <item m="1" x="1686"/>
        <item m="1" x="218"/>
        <item m="1" x="1509"/>
        <item m="1" x="724"/>
        <item m="1" x="1557"/>
        <item m="1" x="330"/>
        <item m="1" x="1216"/>
        <item m="1" x="457"/>
        <item m="1" x="1162"/>
        <item m="1" x="2285"/>
        <item m="1" x="2155"/>
        <item m="1" x="2286"/>
        <item m="1" x="2579"/>
        <item m="1" x="1219"/>
        <item m="1" x="2287"/>
        <item m="1" x="2098"/>
        <item m="1" x="2288"/>
        <item m="1" x="1466"/>
        <item m="1" x="2612"/>
        <item m="1" x="2049"/>
        <item m="1" x="176"/>
        <item m="1" x="1749"/>
        <item m="1" x="1455"/>
        <item m="1" x="458"/>
        <item m="1" x="1933"/>
        <item m="1" x="1658"/>
        <item m="1" x="775"/>
        <item m="1" x="459"/>
        <item m="1" x="129"/>
        <item m="1" x="219"/>
        <item m="1" x="2180"/>
        <item m="1" x="750"/>
        <item m="1" x="1044"/>
        <item m="1" x="661"/>
        <item m="1" x="663"/>
        <item m="1" x="809"/>
        <item m="1" x="130"/>
        <item m="1" x="585"/>
        <item m="1" x="1624"/>
        <item m="1" x="943"/>
        <item m="1" x="80"/>
        <item m="1" x="1817"/>
        <item m="1" x="2289"/>
        <item m="1" x="1997"/>
        <item m="1" x="960"/>
        <item m="1" x="665"/>
        <item m="1" x="505"/>
        <item m="1" x="2100"/>
        <item m="1" x="332"/>
        <item m="1" x="776"/>
        <item m="1" x="2290"/>
        <item m="1" x="2291"/>
        <item m="1" x="1169"/>
        <item m="1" x="1022"/>
        <item m="1" x="2101"/>
        <item sd="0" m="1" x="2710"/>
        <item m="1" x="2292"/>
        <item m="1" x="182"/>
        <item m="1" x="48"/>
        <item m="1" x="2269"/>
        <item m="1" x="607"/>
        <item m="1" x="2388"/>
        <item m="1" x="252"/>
        <item m="1" x="2692"/>
        <item m="1" x="320"/>
        <item m="1" x="863"/>
        <item m="1" x="2293"/>
        <item m="1" x="1436"/>
        <item m="1" x="2102"/>
        <item m="1" x="376"/>
        <item m="1" x="2513"/>
        <item m="1" x="359"/>
        <item m="1" x="2147"/>
        <item m="1" x="2154"/>
        <item m="1" x="662"/>
        <item m="1" x="334"/>
        <item m="1" x="235"/>
        <item m="1" x="2103"/>
        <item m="1" x="76"/>
        <item m="1" x="1919"/>
        <item m="1" x="405"/>
        <item m="1" x="2534"/>
        <item m="1" x="2104"/>
        <item m="1" x="2294"/>
        <item m="1" x="1972"/>
        <item m="1" x="1228"/>
        <item m="1" x="1788"/>
        <item x="46"/>
        <item m="1" x="1189"/>
        <item m="1" x="462"/>
        <item m="1" x="1901"/>
        <item m="1" x="777"/>
        <item m="1" x="2592"/>
        <item m="1" x="335"/>
        <item m="1" x="2295"/>
        <item m="1" x="2296"/>
        <item m="1" x="612"/>
        <item m="1" x="1027"/>
        <item m="1" x="363"/>
        <item m="1" x="1750"/>
        <item m="1" x="1230"/>
        <item m="1" x="1799"/>
        <item m="1" x="1231"/>
        <item m="1" x="2297"/>
        <item m="1" x="1936"/>
        <item m="1" x="579"/>
        <item m="1" x="220"/>
        <item m="1" x="666"/>
        <item m="1" x="391"/>
        <item m="1" x="2724"/>
        <item m="1" x="2701"/>
        <item m="1" x="2656"/>
        <item m="1" x="778"/>
        <item m="1" x="1675"/>
        <item m="1" x="2298"/>
        <item m="1" x="53"/>
        <item m="1" x="1820"/>
        <item m="1" x="1232"/>
        <item m="1" x="1853"/>
        <item m="1" x="1469"/>
        <item m="1" x="61"/>
        <item m="1" x="1884"/>
        <item m="1" x="1941"/>
        <item m="1" x="623"/>
        <item m="1" x="2386"/>
        <item m="1" x="1263"/>
        <item m="1" x="1971"/>
        <item m="1" x="1039"/>
        <item m="1" x="1233"/>
        <item m="1" x="530"/>
        <item m="1" x="1892"/>
        <item m="1" x="2300"/>
        <item m="1" x="1165"/>
        <item m="1" x="1507"/>
        <item m="1" x="779"/>
        <item m="1" x="2645"/>
        <item m="1" x="2106"/>
        <item m="1" x="358"/>
        <item m="1" x="2301"/>
        <item m="1" x="1386"/>
        <item m="1" x="1822"/>
        <item m="1" x="1235"/>
        <item m="1" x="318"/>
        <item m="1" x="2302"/>
        <item m="1" x="1009"/>
        <item m="1" x="1108"/>
        <item m="1" x="2303"/>
        <item m="1" x="2304"/>
        <item m="1" x="1437"/>
        <item m="1" x="581"/>
        <item m="1" x="1100"/>
        <item m="1" x="1071"/>
        <item m="1" x="2305"/>
        <item m="1" x="370"/>
        <item m="1" x="1259"/>
        <item m="1" x="59"/>
        <item m="1" x="1683"/>
        <item m="1" x="336"/>
        <item m="1" x="60"/>
        <item m="1" x="337"/>
        <item m="1" x="2306"/>
        <item m="1" x="1245"/>
        <item m="1" x="2307"/>
        <item m="1" x="268"/>
        <item m="1" x="512"/>
        <item m="1" x="1177"/>
        <item m="1" x="868"/>
        <item m="1" x="667"/>
        <item m="1" x="1516"/>
        <item m="1" x="494"/>
        <item m="1" x="1238"/>
        <item m="1" x="388"/>
        <item m="1" x="283"/>
        <item m="1" x="104"/>
        <item m="1" x="1513"/>
        <item m="1" x="2107"/>
        <item m="1" x="1539"/>
        <item m="1" x="537"/>
        <item m="1" x="1752"/>
        <item m="1" x="101"/>
        <item m="1" x="195"/>
        <item m="1" x="338"/>
        <item m="1" x="668"/>
        <item m="1" x="1193"/>
        <item m="1" x="438"/>
        <item m="1" x="221"/>
        <item x="32"/>
        <item m="1" x="2309"/>
        <item m="1" x="2310"/>
        <item m="1" x="1679"/>
        <item m="1" x="2311"/>
        <item m="1" x="948"/>
        <item m="1" x="1928"/>
        <item m="1" x="1551"/>
        <item m="1" x="288"/>
        <item m="1" x="273"/>
        <item m="1" x="1711"/>
        <item m="1" x="185"/>
        <item m="1" x="1461"/>
        <item m="1" x="1239"/>
        <item m="1" x="1937"/>
        <item m="1" x="903"/>
        <item m="1" x="692"/>
        <item m="1" x="506"/>
        <item m="1" x="2312"/>
        <item m="1" x="2313"/>
        <item m="1" x="669"/>
        <item m="1" x="876"/>
        <item m="1" x="2314"/>
        <item m="1" x="1244"/>
        <item m="1" x="2108"/>
        <item m="1" x="1420"/>
        <item m="1" x="2315"/>
        <item m="1" x="1992"/>
        <item m="1" x="826"/>
        <item m="1" x="2567"/>
        <item m="1" x="774"/>
        <item m="1" x="75"/>
        <item m="1" x="1246"/>
        <item m="1" x="2317"/>
        <item m="1" x="2318"/>
        <item m="1" x="672"/>
        <item m="1" x="2319"/>
        <item m="1" x="1645"/>
        <item m="1" x="2017"/>
        <item m="1" x="1248"/>
        <item m="1" x="1249"/>
        <item m="1" x="781"/>
        <item m="1" x="1250"/>
        <item m="1" x="1060"/>
        <item m="1" x="671"/>
        <item m="1" x="1252"/>
        <item m="1" x="1880"/>
        <item m="1" x="1286"/>
        <item x="6"/>
        <item m="1" x="348"/>
        <item m="1" x="2320"/>
        <item m="1" x="1243"/>
        <item m="1" x="354"/>
        <item m="1" x="2179"/>
        <item m="1" x="2321"/>
        <item m="1" x="1440"/>
        <item m="1" x="884"/>
        <item m="1" x="629"/>
        <item m="1" x="2152"/>
        <item m="1" x="764"/>
        <item m="1" x="782"/>
        <item m="1" x="2322"/>
        <item m="1" x="783"/>
        <item m="1" x="1371"/>
        <item m="1" x="2323"/>
        <item m="1" x="971"/>
        <item m="1" x="1304"/>
        <item m="1" x="2324"/>
        <item m="1" x="1921"/>
        <item m="1" x="368"/>
        <item m="1" x="279"/>
        <item m="1" x="57"/>
        <item m="1" x="2325"/>
        <item m="1" x="240"/>
        <item m="1" x="286"/>
        <item m="1" x="1589"/>
        <item m="1" x="1271"/>
        <item m="1" x="294"/>
        <item m="1" x="549"/>
        <item m="1" x="784"/>
        <item m="1" x="1602"/>
        <item m="1" x="2326"/>
        <item m="1" x="1546"/>
        <item m="1" x="1487"/>
        <item m="1" x="1419"/>
        <item m="1" x="281"/>
        <item m="1" x="566"/>
        <item m="1" x="341"/>
        <item m="1" x="2554"/>
        <item m="1" x="1740"/>
        <item m="1" x="460"/>
        <item m="1" x="1897"/>
        <item m="1" x="1255"/>
        <item m="1" x="785"/>
        <item m="1" x="786"/>
        <item m="1" x="2598"/>
        <item m="1" x="477"/>
        <item m="1" x="1753"/>
        <item m="1" x="2056"/>
        <item m="1" x="417"/>
        <item x="4"/>
        <item m="1" x="2075"/>
        <item m="1" x="1093"/>
        <item sd="0" m="1" x="2737"/>
        <item m="1" x="590"/>
        <item m="1" x="2707"/>
        <item m="1" x="1057"/>
        <item m="1" x="599"/>
        <item m="1" x="1654"/>
        <item m="1" x="1257"/>
        <item m="1" x="788"/>
        <item m="1" x="1754"/>
        <item m="1" x="536"/>
        <item m="1" x="1258"/>
        <item m="1" x="2327"/>
        <item m="1" x="789"/>
        <item m="1" x="567"/>
        <item m="1" x="2328"/>
        <item m="1" x="2329"/>
        <item m="1" x="439"/>
        <item m="1" x="406"/>
        <item m="1" x="269"/>
        <item m="1" x="1208"/>
        <item m="1" x="1261"/>
        <item m="1" x="1262"/>
        <item m="1" x="592"/>
        <item m="1" x="1522"/>
        <item m="1" x="791"/>
        <item m="1" x="1614"/>
        <item m="1" x="1871"/>
        <item m="1" x="2109"/>
        <item m="1" x="1825"/>
        <item m="1" x="559"/>
        <item m="1" x="1591"/>
        <item m="1" x="580"/>
        <item m="1" x="1369"/>
        <item m="1" x="548"/>
        <item m="1" x="1192"/>
        <item sd="0" m="1" x="2105"/>
        <item m="1" x="1256"/>
        <item m="1" x="673"/>
        <item m="1" x="899"/>
        <item m="1" x="1264"/>
        <item m="1" x="1265"/>
        <item m="1" x="1824"/>
        <item m="1" x="2110"/>
        <item x="8"/>
        <item m="1" x="511"/>
        <item m="1" x="546"/>
        <item m="1" x="64"/>
        <item m="1" x="1201"/>
        <item m="1" x="1266"/>
        <item m="1" x="792"/>
        <item m="1" x="1982"/>
        <item x="44"/>
        <item m="1" x="1577"/>
        <item m="1" x="1613"/>
        <item m="1" x="2330"/>
        <item m="1" x="793"/>
        <item m="1" x="2464"/>
        <item m="1" x="2084"/>
        <item m="1" x="794"/>
        <item m="1" x="583"/>
        <item m="1" x="1433"/>
        <item m="1" x="1640"/>
        <item m="1" x="2614"/>
        <item m="1" x="503"/>
        <item m="1" x="1267"/>
        <item m="1" x="1036"/>
        <item m="1" x="1302"/>
        <item m="1" x="1225"/>
        <item m="1" x="404"/>
        <item m="1" x="1251"/>
        <item m="1" x="2013"/>
        <item m="1" x="510"/>
        <item m="1" x="555"/>
        <item m="1" x="1671"/>
        <item m="1" x="1906"/>
        <item m="1" x="2111"/>
        <item m="1" x="1125"/>
        <item m="1" x="461"/>
        <item m="1" x="1351"/>
        <item m="1" x="518"/>
        <item m="1" x="2331"/>
        <item m="1" x="1368"/>
        <item m="1" x="222"/>
        <item m="1" x="2332"/>
        <item m="1" x="795"/>
        <item m="1" x="674"/>
        <item m="1" x="1132"/>
        <item m="1" x="584"/>
        <item m="1" x="1826"/>
        <item m="1" x="2605"/>
        <item m="1" x="1317"/>
        <item m="1" x="1980"/>
        <item m="1" x="1939"/>
        <item m="1" x="1272"/>
        <item m="1" x="675"/>
        <item m="1" x="676"/>
        <item m="1" x="1951"/>
        <item m="1" x="2625"/>
        <item x="13"/>
        <item m="1" x="1474"/>
        <item m="1" x="2333"/>
        <item m="1" x="1277"/>
        <item m="1" x="1572"/>
        <item m="1" x="1278"/>
        <item m="1" x="2334"/>
        <item m="1" x="2335"/>
        <item m="1" x="1784"/>
        <item m="1" x="300"/>
        <item m="1" x="1723"/>
        <item m="1" x="1279"/>
        <item m="1" x="1410"/>
        <item m="1" x="152"/>
        <item m="1" x="1594"/>
        <item m="1" x="277"/>
        <item m="1" x="1074"/>
        <item m="1" x="132"/>
        <item m="1" x="1934"/>
        <item m="1" x="236"/>
        <item m="1" x="1283"/>
        <item m="1" x="2337"/>
        <item m="1" x="426"/>
        <item m="1" x="1606"/>
        <item m="1" x="1966"/>
        <item m="1" x="2391"/>
        <item m="1" x="2338"/>
        <item m="1" x="1354"/>
        <item m="1" x="1463"/>
        <item m="1" x="2340"/>
        <item m="1" x="657"/>
        <item m="1" x="2668"/>
        <item m="1" x="906"/>
        <item m="1" x="2341"/>
        <item sd="0" m="1" x="2739"/>
        <item x="45"/>
        <item m="1" x="463"/>
        <item m="1" x="924"/>
        <item m="1" x="1925"/>
        <item m="1" x="2342"/>
        <item m="1" x="2343"/>
        <item m="1" x="2344"/>
        <item m="1" x="963"/>
        <item m="1" x="2033"/>
        <item m="1" x="2346"/>
        <item sd="0" m="1" x="2223"/>
        <item m="1" x="2715"/>
        <item m="1" x="2613"/>
        <item m="1" x="677"/>
        <item m="1" x="1598"/>
        <item m="1" x="2021"/>
        <item m="1" x="2347"/>
        <item m="1" x="2348"/>
        <item m="1" x="1297"/>
        <item m="1" x="343"/>
        <item m="1" x="2551"/>
        <item m="1" x="353"/>
        <item m="1" x="1964"/>
        <item m="1" x="441"/>
        <item m="1" x="2050"/>
        <item m="1" x="901"/>
        <item m="1" x="1499"/>
        <item m="1" x="450"/>
        <item m="1" x="2654"/>
        <item m="1" x="1646"/>
        <item m="1" x="2466"/>
        <item m="1" x="1860"/>
        <item m="1" x="1299"/>
        <item m="1" x="2028"/>
        <item m="1" x="904"/>
        <item m="1" x="2350"/>
        <item m="1" x="135"/>
        <item m="1" x="2336"/>
        <item m="1" x="2349"/>
        <item m="1" x="2582"/>
        <item m="1" x="234"/>
        <item m="1" x="1524"/>
        <item m="1" x="1414"/>
        <item m="1" x="1301"/>
        <item m="1" x="133"/>
        <item m="1" x="507"/>
        <item m="1" x="527"/>
        <item m="1" x="2112"/>
        <item m="1" x="214"/>
        <item m="1" x="213"/>
        <item m="1" x="1999"/>
        <item m="1" x="2352"/>
        <item m="1" x="1185"/>
        <item m="1" x="74"/>
        <item m="1" x="1311"/>
        <item m="1" x="2607"/>
        <item m="1" x="2151"/>
        <item m="1" x="1755"/>
        <item m="1" x="184"/>
        <item m="1" x="525"/>
        <item m="1" x="1312"/>
        <item m="1" x="1313"/>
        <item m="1" x="543"/>
        <item m="1" x="495"/>
        <item m="1" x="2008"/>
        <item m="1" x="1855"/>
        <item m="1" x="944"/>
        <item m="1" x="1081"/>
        <item m="1" x="223"/>
        <item m="1" x="2353"/>
        <item m="1" x="138"/>
        <item m="1" x="139"/>
        <item m="1" x="73"/>
        <item m="1" x="1007"/>
        <item m="1" x="2354"/>
        <item m="1" x="898"/>
        <item m="1" x="1756"/>
        <item m="1" x="2355"/>
        <item m="1" x="2356"/>
        <item m="1" x="1970"/>
        <item m="1" x="1985"/>
        <item m="1" x="1381"/>
        <item m="1" x="345"/>
        <item m="1" x="797"/>
        <item m="1" x="678"/>
        <item m="1" x="2358"/>
        <item m="1" x="2496"/>
        <item m="1" x="346"/>
        <item m="1" x="2661"/>
        <item m="1" x="237"/>
        <item m="1" x="1628"/>
        <item m="1" x="2359"/>
        <item m="1" x="140"/>
        <item m="1" x="1647"/>
        <item m="1" x="1316"/>
        <item m="1" x="1655"/>
        <item m="1" x="1632"/>
        <item m="1" x="1553"/>
        <item m="1" x="1942"/>
        <item m="1" x="1917"/>
        <item m="1" x="2683"/>
        <item m="1" x="836"/>
        <item m="1" x="2360"/>
        <item m="1" x="1949"/>
        <item m="1" x="712"/>
        <item m="1" x="2113"/>
        <item m="1" x="1285"/>
        <item m="1" x="271"/>
        <item m="1" x="1319"/>
        <item m="1" x="1011"/>
        <item m="1" x="2361"/>
        <item m="1" x="1357"/>
        <item m="1" x="349"/>
        <item m="1" x="2051"/>
        <item x="3"/>
        <item m="1" x="1963"/>
        <item m="1" x="619"/>
        <item m="1" x="2362"/>
        <item m="1" x="877"/>
        <item m="1" x="1893"/>
        <item m="1" x="1827"/>
        <item sd="0" m="1" x="245"/>
        <item m="1" x="996"/>
        <item m="1" x="384"/>
        <item m="1" x="2363"/>
        <item m="1" x="980"/>
        <item m="1" x="1548"/>
        <item m="1" x="2720"/>
        <item m="1" x="949"/>
        <item m="1" x="1102"/>
        <item m="1" x="689"/>
        <item m="1" x="639"/>
        <item m="1" x="1639"/>
        <item m="1" x="1321"/>
        <item m="1" x="1322"/>
        <item m="1" x="2366"/>
        <item m="1" x="528"/>
        <item m="1" x="1973"/>
        <item m="1" x="2553"/>
        <item m="1" x="2590"/>
        <item m="1" x="2583"/>
        <item m="1" x="342"/>
        <item m="1" x="1323"/>
        <item m="1" x="2052"/>
        <item m="1" x="1523"/>
        <item m="1" x="1786"/>
        <item m="1" x="1641"/>
        <item m="1" x="1829"/>
        <item m="1" x="681"/>
        <item m="1" x="350"/>
        <item m="1" x="2711"/>
        <item m="1" x="1324"/>
        <item m="1" x="390"/>
        <item m="1" x="1725"/>
        <item m="1" x="780"/>
        <item m="1" x="2621"/>
        <item m="1" x="955"/>
        <item m="1" x="1924"/>
        <item m="1" x="1950"/>
        <item m="1" x="787"/>
        <item sd="0" x="15"/>
        <item m="1" x="798"/>
        <item m="1" x="323"/>
        <item m="1" x="2364"/>
        <item m="1" x="973"/>
        <item m="1" x="142"/>
        <item m="1" x="2365"/>
        <item m="1" x="82"/>
        <item m="1" x="1372"/>
        <item m="1" x="1987"/>
        <item m="1" x="1831"/>
        <item m="1" x="1198"/>
        <item m="1" x="916"/>
        <item m="1" x="2685"/>
        <item m="1" x="1953"/>
        <item m="1" x="2703"/>
        <item m="1" x="682"/>
        <item m="1" x="264"/>
        <item m="1" x="2367"/>
        <item m="1" x="524"/>
        <item m="1" x="1328"/>
        <item m="1" x="1389"/>
        <item m="1" x="2369"/>
        <item m="1" x="1758"/>
        <item m="1" x="1821"/>
        <item m="1" x="965"/>
        <item m="1" x="1334"/>
        <item m="1" x="544"/>
        <item m="1" x="2053"/>
        <item m="1" x="2655"/>
        <item m="1" x="1807"/>
        <item m="1" x="2114"/>
        <item m="1" x="1345"/>
        <item m="1" x="2467"/>
        <item m="1" x="2370"/>
        <item m="1" x="964"/>
        <item m="1" x="209"/>
        <item m="1" x="2628"/>
        <item m="1" x="1588"/>
        <item m="1" x="1908"/>
        <item m="1" x="1385"/>
        <item m="1" x="1759"/>
        <item m="1" x="51"/>
        <item m="1" x="2371"/>
        <item m="1" x="1275"/>
        <item sd="0" m="1" x="2677"/>
        <item m="1" x="987"/>
        <item m="1" x="2010"/>
        <item m="1" x="683"/>
        <item m="1" x="1760"/>
        <item m="1" x="2373"/>
        <item m="1" x="864"/>
        <item m="1" x="2054"/>
        <item m="1" x="1945"/>
        <item m="1" x="684"/>
        <item m="1" x="572"/>
        <item m="1" x="145"/>
        <item m="1" x="479"/>
        <item m="1" x="1188"/>
        <item m="1" x="799"/>
        <item m="1" x="1833"/>
        <item m="1" x="2375"/>
        <item m="1" x="1761"/>
        <item m="1" x="1883"/>
        <item m="1" x="1048"/>
        <item m="1" x="2568"/>
        <item m="1" x="1891"/>
        <item m="1" x="2376"/>
        <item m="1" x="1716"/>
        <item m="1" x="1642"/>
        <item m="1" x="2377"/>
        <item m="1" x="2432"/>
        <item m="1" x="1542"/>
        <item m="1" x="2691"/>
        <item m="1" x="1370"/>
        <item m="1" x="1133"/>
        <item m="1" x="1636"/>
        <item m="1" x="1815"/>
        <item m="1" x="2665"/>
        <item m="1" x="1320"/>
        <item m="1" x="1447"/>
        <item m="1" x="466"/>
        <item m="1" x="1431"/>
        <item m="1" x="481"/>
        <item m="1" x="1307"/>
        <item m="1" x="1527"/>
        <item m="1" x="1077"/>
        <item m="1" x="297"/>
        <item m="1" x="2006"/>
        <item m="1" x="147"/>
        <item m="1" x="2378"/>
        <item m="1" x="1199"/>
        <item m="1" x="1452"/>
        <item m="1" x="999"/>
        <item m="1" x="2379"/>
        <item m="1" x="113"/>
        <item m="1" x="355"/>
        <item m="1" x="1196"/>
        <item m="1" x="1075"/>
        <item m="1" x="831"/>
        <item m="1" x="802"/>
        <item m="1" x="1202"/>
        <item m="1" x="2055"/>
        <item m="1" x="1536"/>
        <item m="1" x="568"/>
        <item m="1" x="1038"/>
        <item m="1" x="2025"/>
        <item m="1" x="317"/>
        <item m="1" x="1157"/>
        <item m="1" x="154"/>
        <item m="1" x="1300"/>
        <item m="1" x="1485"/>
        <item m="1" x="975"/>
        <item m="1" x="2555"/>
        <item m="1" x="2393"/>
        <item m="1" x="687"/>
        <item m="1" x="293"/>
        <item m="1" x="262"/>
        <item m="1" x="2673"/>
        <item m="1" x="1068"/>
        <item m="1" x="2394"/>
        <item m="1" x="2604"/>
        <item m="1" x="1059"/>
        <item m="1" x="2626"/>
        <item m="1" x="976"/>
        <item m="1" x="2620"/>
        <item m="1" x="1926"/>
        <item m="1" x="2395"/>
        <item m="1" x="2396"/>
        <item m="1" x="224"/>
        <item m="1" x="263"/>
        <item m="1" x="1530"/>
        <item m="1" x="1692"/>
        <item m="1" x="1227"/>
        <item m="1" x="83"/>
        <item m="1" x="2629"/>
        <item m="1" x="2397"/>
        <item m="1" x="2595"/>
        <item m="1" x="1427"/>
        <item m="1" x="1920"/>
        <item m="1" x="808"/>
        <item m="1" x="1428"/>
        <item m="1" x="810"/>
        <item m="1" x="2116"/>
        <item m="1" x="225"/>
        <item m="1" x="2398"/>
        <item m="1" x="1429"/>
        <item m="1" x="2399"/>
        <item m="1" x="688"/>
        <item m="1" x="377"/>
        <item m="1" x="2400"/>
        <item m="1" x="1430"/>
        <item m="1" x="1637"/>
        <item m="1" x="1488"/>
        <item m="1" x="1432"/>
        <item m="1" x="2401"/>
        <item m="1" x="2402"/>
        <item m="1" x="247"/>
        <item m="1" x="480"/>
        <item m="1" x="2623"/>
        <item m="1" x="1765"/>
        <item m="1" x="1518"/>
        <item m="1" x="957"/>
        <item m="1" x="2403"/>
        <item m="1" x="885"/>
        <item m="1" x="2405"/>
        <item m="1" x="2082"/>
        <item m="1" x="2060"/>
        <item m="1" x="467"/>
        <item m="1" x="1373"/>
        <item m="1" x="2406"/>
        <item m="1" x="1837"/>
        <item m="1" x="912"/>
        <item m="1" x="1576"/>
        <item m="1" x="1394"/>
        <item m="1" x="1448"/>
        <item m="1" x="1422"/>
        <item m="1" x="889"/>
        <item m="1" x="1449"/>
        <item m="1" x="1159"/>
        <item m="1" x="66"/>
        <item m="1" x="1894"/>
        <item m="1" x="314"/>
        <item m="1" x="163"/>
        <item m="1" x="1451"/>
        <item m="1" x="2491"/>
        <item m="1" x="381"/>
        <item m="1" x="2407"/>
        <item m="1" x="2408"/>
        <item m="1" x="2410"/>
        <item m="1" x="2675"/>
        <item m="1" x="1751"/>
        <item m="1" x="2409"/>
        <item m="1" x="382"/>
        <item m="1" x="1483"/>
        <item m="1" x="246"/>
        <item m="1" x="1454"/>
        <item m="1" x="1766"/>
        <item m="1" x="55"/>
        <item m="1" x="468"/>
        <item m="1" x="1220"/>
        <item m="1" x="395"/>
        <item m="1" x="1206"/>
        <item sd="0" m="1" x="2727"/>
        <item m="1" x="308"/>
        <item m="1" x="1910"/>
        <item m="1" x="1457"/>
        <item m="1" x="1456"/>
        <item m="1" x="1458"/>
        <item m="1" x="624"/>
        <item m="1" x="1444"/>
        <item m="1" x="1787"/>
        <item m="1" x="2566"/>
        <item m="1" x="2411"/>
        <item m="1" x="367"/>
        <item m="1" x="2412"/>
        <item m="1" x="289"/>
        <item m="1" x="2413"/>
        <item m="1" x="1543"/>
        <item m="1" x="2414"/>
        <item m="1" x="1722"/>
        <item m="1" x="170"/>
        <item m="1" x="2404"/>
        <item m="1" x="160"/>
        <item m="1" x="1392"/>
        <item m="1" x="2693"/>
        <item m="1" x="2556"/>
        <item m="1" x="2415"/>
        <item m="1" x="733"/>
        <item m="1" x="1656"/>
        <item x="14"/>
        <item m="1" x="1912"/>
        <item m="1" x="1528"/>
        <item m="1" x="1284"/>
        <item m="1" x="165"/>
        <item m="1" x="2270"/>
        <item m="1" x="1914"/>
        <item m="1" x="2653"/>
        <item m="1" x="2118"/>
        <item m="1" x="1390"/>
        <item m="1" x="2034"/>
        <item m="1" x="816"/>
        <item m="1" x="166"/>
        <item m="1" x="1281"/>
        <item m="1" x="1395"/>
        <item m="1" x="1471"/>
        <item m="1" x="144"/>
        <item m="1" x="2019"/>
        <item m="1" x="586"/>
        <item m="1" x="2602"/>
        <item m="1" x="2417"/>
        <item m="1" x="2418"/>
        <item m="1" x="817"/>
        <item m="1" x="2636"/>
        <item m="1" x="1409"/>
        <item m="1" x="1472"/>
        <item m="1" x="690"/>
        <item m="1" x="1473"/>
        <item m="1" x="2419"/>
        <item m="1" x="2420"/>
        <item m="1" x="915"/>
        <item m="1" x="2421"/>
        <item m="1" x="2709"/>
        <item m="1" x="2422"/>
        <item m="1" x="2423"/>
        <item m="1" x="2260"/>
        <item m="1" x="862"/>
        <item m="1" x="2684"/>
        <item m="1" x="882"/>
        <item m="1" x="2424"/>
        <item m="1" x="1882"/>
        <item m="1" x="1347"/>
        <item m="1" x="691"/>
        <item m="1" x="2690"/>
        <item m="1" x="351"/>
        <item m="1" x="2139"/>
        <item m="1" x="2469"/>
        <item m="1" x="1034"/>
        <item m="1" x="501"/>
        <item m="1" x="818"/>
        <item m="1" x="819"/>
        <item m="1" x="914"/>
        <item m="1" x="63"/>
        <item m="1" x="2119"/>
        <item m="1" x="656"/>
        <item m="1" x="2425"/>
        <item m="1" x="149"/>
        <item m="1" x="387"/>
        <item m="1" x="557"/>
        <item m="1" x="1785"/>
        <item m="1" x="2061"/>
        <item m="1" x="440"/>
        <item m="1" x="2099"/>
        <item m="1" x="2426"/>
        <item m="1" x="995"/>
        <item m="1" x="1767"/>
        <item m="1" x="991"/>
        <item m="1" x="386"/>
        <item m="1" x="434"/>
        <item m="1" x="2428"/>
        <item m="1" x="2120"/>
        <item m="1" x="820"/>
        <item m="1" x="1994"/>
        <item m="1" x="487"/>
        <item m="1" x="95"/>
        <item m="1" x="482"/>
        <item m="1" x="87"/>
        <item m="1" x="1938"/>
        <item m="1" x="2062"/>
        <item m="1" x="371"/>
        <item m="1" x="210"/>
        <item m="1" x="2671"/>
        <item m="1" x="312"/>
        <item m="1" x="1923"/>
        <item m="1" x="120"/>
        <item m="1" x="2429"/>
        <item m="1" x="966"/>
        <item m="1" x="821"/>
        <item m="1" x="2068"/>
        <item m="1" x="1489"/>
        <item m="1" x="1490"/>
        <item m="1" x="1491"/>
        <item m="1" x="2430"/>
        <item m="1" x="1684"/>
        <item m="1" x="1379"/>
        <item m="1" x="1730"/>
        <item m="1" x="1800"/>
        <item m="1" x="162"/>
        <item m="1" x="1314"/>
        <item m="1" x="694"/>
        <item m="1" x="1493"/>
        <item m="1" x="1435"/>
        <item m="1" x="611"/>
        <item m="1" x="1018"/>
        <item m="1" x="2384"/>
        <item m="1" x="2616"/>
        <item m="1" x="2561"/>
        <item m="1" x="1290"/>
        <item m="1" x="1156"/>
        <item m="1" x="401"/>
        <item m="1" x="2142"/>
        <item m="1" x="383"/>
        <item m="1" x="2433"/>
        <item m="1" x="380"/>
        <item m="1" x="2434"/>
        <item m="1" x="1986"/>
        <item m="1" x="695"/>
        <item m="1" x="1688"/>
        <item m="1" x="907"/>
        <item m="1" x="2387"/>
        <item m="1" x="310"/>
        <item m="1" x="168"/>
        <item m="1" x="954"/>
        <item m="1" x="1342"/>
        <item m="1" x="328"/>
        <item m="1" x="822"/>
        <item m="1" x="403"/>
        <item m="1" x="1486"/>
        <item m="1" x="339"/>
        <item m="1" x="823"/>
        <item m="1" x="2435"/>
        <item m="1" x="502"/>
        <item m="1" x="565"/>
        <item m="1" x="1501"/>
        <item m="1" x="1023"/>
        <item m="1" x="2436"/>
        <item sd="0" m="1" x="2733"/>
        <item m="1" x="1217"/>
        <item m="1" x="800"/>
        <item m="1" x="1467"/>
        <item m="1" x="389"/>
        <item m="1" x="2063"/>
        <item m="1" x="2437"/>
        <item m="1" x="1064"/>
        <item m="1" x="853"/>
        <item m="1" x="936"/>
        <item m="1" x="1596"/>
        <item m="1" x="1502"/>
        <item m="1" x="2438"/>
        <item m="1" x="2129"/>
        <item m="1" x="174"/>
        <item m="1" x="2064"/>
        <item m="1" x="161"/>
        <item m="1" x="931"/>
        <item m="1" x="2584"/>
        <item m="1" x="923"/>
        <item m="1" x="2439"/>
        <item m="1" x="227"/>
        <item m="1" x="1517"/>
        <item m="1" x="2440"/>
        <item x="25"/>
        <item m="1" x="392"/>
        <item m="1" x="824"/>
        <item m="1" x="886"/>
        <item m="1" x="1396"/>
        <item m="1" x="1480"/>
        <item m="1" x="2065"/>
        <item m="1" x="1680"/>
        <item m="1" x="1511"/>
        <item m="1" x="393"/>
        <item m="1" x="2441"/>
        <item m="1" x="1792"/>
        <item m="1" x="172"/>
        <item m="1" x="1967"/>
        <item m="1" x="1512"/>
        <item m="1" x="825"/>
        <item m="1" x="71"/>
        <item m="1" x="1944"/>
        <item m="1" x="2594"/>
        <item m="1" x="2382"/>
        <item m="1" x="1665"/>
        <item m="1" x="2442"/>
        <item m="1" x="375"/>
        <item m="1" x="985"/>
        <item m="1" x="257"/>
        <item m="1" x="1119"/>
        <item m="1" x="2443"/>
        <item m="1" x="721"/>
        <item m="1" x="2444"/>
        <item m="1" x="1376"/>
        <item m="1" x="670"/>
        <item m="1" x="1768"/>
        <item m="1" x="2445"/>
        <item m="1" x="1943"/>
        <item m="1" x="67"/>
        <item m="1" x="1222"/>
        <item m="1" x="2070"/>
        <item m="1" x="180"/>
        <item m="1" x="124"/>
        <item m="1" x="1968"/>
        <item m="1" x="396"/>
        <item m="1" x="1525"/>
        <item m="1" x="1295"/>
        <item m="1" x="340"/>
        <item m="1" x="2447"/>
        <item m="1" x="422"/>
        <item m="1" x="2448"/>
        <item m="1" x="563"/>
        <item m="1" x="893"/>
        <item m="1" x="894"/>
        <item m="1" x="696"/>
        <item m="1" x="2450"/>
        <item m="1" x="1066"/>
        <item m="1" x="2066"/>
        <item m="1" x="2646"/>
        <item m="1" x="2570"/>
        <item m="1" x="1443"/>
        <item m="1" x="226"/>
        <item m="1" x="157"/>
        <item m="1" x="1383"/>
        <item m="1" x="940"/>
        <item m="1" x="2014"/>
        <item m="1" x="697"/>
        <item m="1" x="698"/>
        <item m="1" x="587"/>
        <item m="1" x="2451"/>
        <item m="1" x="1580"/>
        <item m="1" x="2532"/>
        <item m="1" x="253"/>
        <item m="1" x="1814"/>
        <item m="1" x="1118"/>
        <item m="1" x="1180"/>
        <item m="1" x="827"/>
        <item m="1" x="2121"/>
        <item m="1" x="1619"/>
        <item m="1" x="1035"/>
        <item m="1" x="2723"/>
        <item m="1" x="2639"/>
        <item m="1" x="2009"/>
        <item m="1" x="119"/>
        <item m="1" x="1534"/>
        <item m="1" x="2452"/>
        <item m="1" x="1291"/>
        <item m="1" x="398"/>
        <item m="1" x="1728"/>
        <item m="1" x="2316"/>
        <item m="1" x="1560"/>
        <item m="1" x="2619"/>
        <item m="1" x="469"/>
        <item m="1" x="1769"/>
        <item m="1" x="1889"/>
        <item m="1" x="699"/>
        <item sd="0" m="1" x="2732"/>
        <item m="1" x="569"/>
        <item m="1" x="803"/>
        <item x="17"/>
        <item m="1" x="2453"/>
        <item m="1" x="1995"/>
        <item m="1" x="2454"/>
        <item m="1" x="1296"/>
        <item m="1" x="1866"/>
        <item m="1" x="1731"/>
        <item m="1" x="1537"/>
        <item m="1" x="1609"/>
        <item m="1" x="2574"/>
        <item m="1" x="1538"/>
        <item m="1" x="483"/>
        <item m="1" x="1603"/>
        <item m="1" x="178"/>
        <item m="1" x="1791"/>
        <item m="1" x="1840"/>
        <item m="1" x="958"/>
        <item m="1" x="402"/>
        <item m="1" x="258"/>
        <item sd="0" m="1" x="2725"/>
        <item m="1" x="1033"/>
        <item m="1" x="1798"/>
        <item m="1" x="1013"/>
        <item m="1" x="186"/>
        <item m="1" x="1916"/>
        <item m="1" x="968"/>
        <item m="1" x="2599"/>
        <item m="1" x="2140"/>
        <item m="1" x="796"/>
        <item m="1" x="1540"/>
        <item m="1" x="1541"/>
        <item m="1" x="701"/>
        <item m="1" x="1856"/>
        <item m="1" x="897"/>
        <item m="1" x="1857"/>
        <item m="1" x="2455"/>
        <item m="1" x="2660"/>
        <item m="1" x="1115"/>
        <item m="1" x="2471"/>
        <item m="1" x="1896"/>
        <item m="1" x="680"/>
        <item m="1" x="705"/>
        <item m="1" x="446"/>
        <item m="1" x="1350"/>
        <item m="1" x="600"/>
        <item m="1" x="1001"/>
        <item m="1" x="702"/>
        <item m="1" x="1545"/>
        <item x="2"/>
        <item m="1" x="531"/>
        <item m="1" x="634"/>
        <item m="1" x="814"/>
        <item m="1" x="556"/>
        <item x="21"/>
        <item m="1" x="2679"/>
        <item sd="0" m="1" x="1190"/>
        <item m="1" x="1823"/>
        <item m="1" x="790"/>
        <item m="1" x="2696"/>
        <item m="1" x="1127"/>
        <item m="1" x="845"/>
        <item m="1" x="347"/>
        <item m="1" x="1559"/>
        <item m="1" x="1116"/>
        <item m="1" x="1839"/>
        <item m="1" x="1721"/>
        <item m="1" x="1144"/>
        <item m="1" x="1107"/>
        <item m="1" x="888"/>
        <item m="1" x="1332"/>
        <item m="1" x="1845"/>
        <item sd="0" m="1" x="522"/>
        <item m="1" x="1714"/>
        <item m="1" x="1841"/>
        <item m="1" x="627"/>
        <item m="1" x="409"/>
        <item m="1" x="1040"/>
        <item m="1" x="1862"/>
        <item m="1" x="1969"/>
        <item m="1" x="379"/>
        <item m="1" x="1988"/>
        <item m="1" x="703"/>
        <item m="1" x="187"/>
        <item m="1" x="470"/>
        <item m="1" x="2122"/>
        <item m="1" x="1838"/>
        <item m="1" x="1564"/>
        <item m="1" x="198"/>
        <item x="39"/>
        <item m="1" x="913"/>
        <item m="1" x="1867"/>
        <item m="1" x="2458"/>
        <item m="1" x="1529"/>
        <item m="1" x="2459"/>
        <item m="1" x="2460"/>
        <item m="1" x="2462"/>
        <item m="1" x="830"/>
        <item m="1" x="704"/>
        <item m="1" x="2609"/>
        <item m="1" x="305"/>
        <item m="1" x="953"/>
        <item m="1" x="977"/>
        <item m="1" x="2463"/>
        <item m="1" x="2591"/>
        <item m="1" x="2299"/>
        <item m="1" x="189"/>
        <item m="1" x="2381"/>
        <item m="1" x="2662"/>
        <item m="1" x="228"/>
        <item m="1" x="2457"/>
        <item m="1" x="2032"/>
        <item m="1" x="961"/>
        <item m="1" x="1610"/>
        <item m="1" x="229"/>
        <item m="1" x="1772"/>
        <item m="1" x="1567"/>
        <item m="1" x="362"/>
        <item m="1" x="1029"/>
        <item m="1" x="829"/>
        <item m="1" x="1582"/>
        <item m="1" x="447"/>
        <item m="1" x="1150"/>
        <item sd="0" m="1" x="2736"/>
        <item m="1" x="1178"/>
        <item m="1" x="1514"/>
        <item m="1" x="1583"/>
        <item m="1" x="1584"/>
        <item m="1" x="1134"/>
        <item m="1" x="707"/>
        <item m="1" x="1561"/>
        <item m="1" x="2472"/>
        <item m="1" x="2011"/>
        <item m="1" x="1585"/>
        <item m="1" x="1338"/>
        <item m="1" x="909"/>
        <item m="1" x="700"/>
        <item m="1" x="77"/>
        <item m="1" x="2562"/>
        <item m="1" x="1586"/>
        <item m="1" x="2473"/>
        <item m="1" x="1685"/>
        <item m="1" x="564"/>
        <item m="1" x="1110"/>
        <item x="30"/>
        <item m="1" x="2474"/>
        <item m="1" x="2576"/>
        <item m="1" x="2610"/>
        <item m="1" x="1696"/>
        <item m="1" x="1051"/>
        <item m="1" x="2475"/>
        <item m="1" x="2476"/>
        <item m="1" x="1629"/>
        <item m="1" x="2477"/>
        <item m="1" x="1922"/>
        <item m="1" x="2479"/>
        <item m="1" x="2478"/>
        <item m="1" x="1676"/>
        <item m="1" x="1965"/>
        <item m="1" x="2695"/>
        <item m="1" x="496"/>
        <item m="1" x="1990"/>
        <item m="1" x="2689"/>
        <item m="1" x="1590"/>
        <item m="1" x="1155"/>
        <item m="1" x="881"/>
        <item m="1" x="2480"/>
        <item x="11"/>
        <item m="1" x="1960"/>
        <item m="1" x="2481"/>
        <item m="1" x="520"/>
        <item m="1" x="1028"/>
        <item m="1" x="352"/>
        <item m="1" x="2482"/>
        <item m="1" x="504"/>
        <item m="1" x="1496"/>
        <item m="1" x="928"/>
        <item m="1" x="2468"/>
        <item m="1" x="1024"/>
        <item m="1" x="1854"/>
        <item m="1" x="2483"/>
        <item m="1" x="1593"/>
        <item m="1" x="2680"/>
        <item m="1" x="1061"/>
        <item m="1" x="243"/>
        <item m="1" x="191"/>
        <item m="1" x="1579"/>
        <item m="1" x="1595"/>
        <item m="1" x="192"/>
        <item m="1" x="298"/>
        <item m="1" x="1601"/>
        <item m="1" x="962"/>
        <item m="1" x="2485"/>
        <item m="1" x="2124"/>
        <item m="1" x="1421"/>
        <item m="1" x="2005"/>
        <item m="1" x="1648"/>
        <item m="1" x="2125"/>
        <item m="1" x="1184"/>
        <item m="1" x="2676"/>
        <item m="1" x="1604"/>
        <item m="1" x="1558"/>
        <item m="1" x="194"/>
        <item m="1" x="2126"/>
        <item m="1" x="307"/>
        <item m="1" x="588"/>
        <item m="1" x="1168"/>
        <item m="1" x="193"/>
        <item m="1" x="972"/>
        <item m="1" x="413"/>
        <item m="1" x="414"/>
        <item m="1" x="415"/>
        <item m="1" x="169"/>
        <item m="1" x="416"/>
        <item m="1" x="1445"/>
        <item m="1" x="833"/>
        <item m="1" x="2486"/>
        <item m="1" x="1570"/>
        <item m="1" x="855"/>
        <item m="1" x="1533"/>
        <item m="1" x="2487"/>
        <item m="1" x="1842"/>
        <item m="1" x="1773"/>
        <item m="1" x="2488"/>
        <item m="1" x="1563"/>
        <item m="1" x="902"/>
        <item m="1" x="435"/>
        <item m="1" x="860"/>
        <item m="1" x="1121"/>
        <item m="1" x="708"/>
        <item m="1" x="2490"/>
        <item m="1" x="542"/>
        <item m="1" x="1607"/>
        <item m="1" x="1608"/>
        <item m="1" x="1335"/>
        <item sd="0" m="1" x="2719"/>
        <item m="1" x="1864"/>
        <item m="1" x="742"/>
        <item m="1" x="2368"/>
        <item m="1" x="832"/>
        <item m="1" x="1117"/>
        <item m="1" x="239"/>
        <item m="1" x="1426"/>
        <item m="1" x="2492"/>
        <item m="1" x="2493"/>
        <item m="1" x="196"/>
        <item m="1" x="2494"/>
        <item m="1" x="278"/>
        <item sd="0" m="1" x="2740"/>
        <item m="1" x="2069"/>
        <item m="1" x="1797"/>
        <item m="1" x="143"/>
        <item m="1" x="1611"/>
        <item x="42"/>
        <item m="1" x="608"/>
        <item m="1" x="1848"/>
        <item m="1" x="602"/>
        <item m="1" x="1858"/>
        <item m="1" x="1849"/>
        <item m="1" x="1976"/>
        <item m="1" x="1929"/>
        <item m="1" x="603"/>
        <item m="1" x="770"/>
        <item m="1" x="1850"/>
        <item m="1" x="601"/>
        <item m="1" x="606"/>
        <item m="1" x="610"/>
        <item m="1" x="1852"/>
        <item m="1" x="515"/>
        <item sd="0" x="29"/>
        <item m="1" x="1661"/>
        <item x="41"/>
        <item m="1" x="596"/>
        <item m="1" x="1662"/>
        <item m="1" x="514"/>
        <item m="1" x="595"/>
        <item m="1" x="1977"/>
        <item m="1" x="1358"/>
        <item m="1" x="1847"/>
        <item m="1" x="605"/>
        <item m="1" x="1846"/>
        <item m="1" x="609"/>
        <item sd="0" m="1" x="604"/>
        <item x="28"/>
        <item sd="0" m="1" x="2730"/>
        <item sd="0" m="1" x="2735"/>
        <item sd="0" x="26"/>
        <item m="1" x="857"/>
        <item m="1" x="1861"/>
        <item m="1" x="2027"/>
        <item m="1" x="2035"/>
        <item m="1" x="1881"/>
        <item m="1" x="92"/>
        <item m="1" x="1666"/>
        <item m="1" x="1974"/>
        <item m="1" x="1017"/>
        <item m="1" x="805"/>
        <item m="1" x="2699"/>
        <item m="1" x="2427"/>
        <item m="1" x="2446"/>
        <item m="1" x="151"/>
        <item m="1" x="709"/>
        <item m="1" x="1659"/>
        <item m="1" x="421"/>
        <item m="1" x="2067"/>
        <item m="1" x="2495"/>
        <item m="1" x="921"/>
        <item m="1" x="2238"/>
        <item sd="0" m="1" x="2738"/>
        <item m="1" x="1423"/>
        <item m="1" x="582"/>
        <item m="1" x="2123"/>
        <item m="1" x="70"/>
        <item m="1" x="2497"/>
        <item m="1" x="325"/>
        <item m="1" x="2156"/>
        <item m="1" x="2498"/>
        <item m="1" x="2461"/>
        <item m="1" x="1234"/>
        <item m="1" x="934"/>
        <item m="1" x="2672"/>
        <item m="1" x="1067"/>
        <item m="1" x="2256"/>
        <item m="1" x="1308"/>
        <item m="1" x="1669"/>
        <item m="1" x="1446"/>
        <item m="1" x="1154"/>
        <item m="1" x="2127"/>
        <item m="1" x="423"/>
        <item m="1" x="1400"/>
        <item m="1" x="424"/>
        <item m="1" x="1958"/>
        <item m="1" x="197"/>
        <item m="1" x="2499"/>
        <item m="1" x="1673"/>
        <item m="1" x="517"/>
        <item m="1" x="1477"/>
        <item m="1" x="2500"/>
        <item m="1" x="1808"/>
        <item m="1" x="892"/>
        <item m="1" x="1138"/>
        <item m="1" x="275"/>
        <item m="1" x="834"/>
        <item m="1" x="79"/>
        <item m="1" x="910"/>
        <item m="1" x="136"/>
        <item m="1" x="203"/>
        <item m="1" x="2575"/>
        <item m="1" x="2585"/>
        <item m="1" x="939"/>
        <item m="1" x="1366"/>
        <item m="1" x="1136"/>
        <item m="1" x="1605"/>
        <item m="1" x="1226"/>
        <item m="1" x="484"/>
        <item m="1" x="1677"/>
        <item m="1" x="2714"/>
        <item m="1" x="993"/>
        <item m="1" x="1387"/>
        <item m="1" x="1678"/>
        <item m="1" x="1895"/>
        <item m="1" x="1365"/>
        <item m="1" x="1649"/>
        <item m="1" x="1620"/>
        <item m="1" x="1599"/>
        <item m="1" x="1122"/>
        <item m="1" x="489"/>
        <item m="1" x="1352"/>
        <item m="1" x="1616"/>
        <item m="1" x="835"/>
        <item m="1" x="2515"/>
        <item m="1" x="230"/>
        <item m="1" x="533"/>
        <item m="1" x="2501"/>
        <item m="1" x="261"/>
        <item m="1" x="201"/>
        <item m="1" x="285"/>
        <item m="1" x="2502"/>
        <item m="1" x="1187"/>
        <item m="1" x="552"/>
        <item m="1" x="2503"/>
        <item m="1" x="630"/>
        <item m="1" x="859"/>
        <item m="1" x="1975"/>
        <item m="1" x="2504"/>
        <item m="1" x="2713"/>
        <item m="1" x="2694"/>
        <item m="1" x="1076"/>
        <item m="1" x="905"/>
        <item m="1" x="2514"/>
        <item m="1" x="1828"/>
        <item m="1" x="1164"/>
        <item m="1" x="1415"/>
        <item m="1" x="2587"/>
        <item m="1" x="2698"/>
        <item m="1" x="1697"/>
        <item m="1" x="1401"/>
        <item m="1" x="1292"/>
        <item m="1" x="2505"/>
        <item m="1" x="2702"/>
        <item m="1" x="280"/>
        <item m="1" x="879"/>
        <item m="1" x="937"/>
        <item x="34"/>
        <item m="1" x="365"/>
        <item m="1" x="1566"/>
        <item m="1" x="710"/>
        <item m="1" x="490"/>
        <item sd="0" m="1" x="493"/>
        <item m="1" x="711"/>
        <item m="1" x="400"/>
        <item m="1" x="2507"/>
        <item m="1" x="2624"/>
        <item m="1" x="632"/>
        <item m="1" x="2189"/>
        <item m="1" x="1631"/>
        <item m="1" x="2706"/>
        <item m="1" x="729"/>
        <item m="1" x="2617"/>
        <item x="24"/>
        <item m="1" x="1331"/>
        <item m="1" x="838"/>
        <item m="1" x="2022"/>
        <item m="1" x="1689"/>
        <item m="1" x="1690"/>
        <item m="1" x="2308"/>
        <item m="1" x="1794"/>
        <item m="1" x="1173"/>
        <item m="1" x="651"/>
        <item m="1" x="2652"/>
        <item m="1" x="1101"/>
        <item m="1" x="2128"/>
        <item m="1" x="613"/>
        <item m="1" x="137"/>
        <item m="1" x="813"/>
        <item m="1" x="2603"/>
        <item m="1" x="1343"/>
        <item m="1" x="2509"/>
        <item m="1" x="839"/>
        <item m="1" x="1691"/>
        <item m="1" x="121"/>
        <item m="1" x="425"/>
        <item m="1" x="2431"/>
        <item m="1" x="1890"/>
        <item m="1" x="1776"/>
        <item m="1" x="1904"/>
        <item m="1" x="2144"/>
        <item m="1" x="62"/>
        <item m="1" x="1055"/>
        <item m="1" x="840"/>
        <item m="1" x="2383"/>
        <item m="1" x="1578"/>
        <item m="1" x="2510"/>
        <item m="1" x="1660"/>
        <item m="1" x="485"/>
        <item m="1" x="1207"/>
        <item m="1" x="1693"/>
        <item m="1" x="1663"/>
        <item m="1" x="1657"/>
        <item m="1" x="858"/>
        <item m="1" x="2511"/>
        <item m="1" x="2001"/>
        <item m="1" x="841"/>
        <item m="1" x="1411"/>
        <item m="1" x="837"/>
        <item m="1" x="2597"/>
        <item m="1" x="1694"/>
        <item m="1" x="1801"/>
        <item m="1" x="1695"/>
        <item m="1" x="1681"/>
        <item m="1" x="1587"/>
        <item m="1" x="1160"/>
        <item m="1" x="1569"/>
        <item m="1" x="998"/>
        <item m="1" x="856"/>
        <item m="1" x="1166"/>
        <item m="1" x="2512"/>
        <item m="1" x="150"/>
        <item m="1" x="2149"/>
        <item m="1" x="1223"/>
        <item m="1" x="212"/>
        <item m="1" x="918"/>
        <item m="1" x="1989"/>
        <item m="1" x="1979"/>
        <item m="1" x="2268"/>
        <item m="1" x="56"/>
        <item m="1" x="1562"/>
        <item m="1" x="1581"/>
        <item m="1" x="2390"/>
        <item m="1" x="969"/>
        <item m="1" x="473"/>
        <item m="1" x="843"/>
        <item m="1" x="1625"/>
        <item m="1" x="935"/>
        <item m="1" x="2023"/>
        <item m="1" x="1462"/>
        <item m="1" x="2666"/>
        <item m="1" x="2024"/>
        <item x="9"/>
        <item m="1" x="1698"/>
        <item m="1" x="1375"/>
        <item m="1" x="1699"/>
        <item m="1" x="179"/>
        <item m="1" x="2148"/>
        <item m="1" x="589"/>
        <item m="1" x="558"/>
        <item m="1" x="1019"/>
        <item m="1" x="69"/>
        <item m="1" x="199"/>
        <item m="1" x="844"/>
        <item m="1" x="714"/>
        <item m="1" x="2449"/>
        <item m="1" x="715"/>
        <item m="1" x="1670"/>
        <item m="1" x="1407"/>
        <item m="1" x="2130"/>
        <item m="1" x="1702"/>
        <item m="1" x="427"/>
        <item m="1" x="190"/>
        <item m="1" x="1479"/>
        <item m="1" x="679"/>
        <item m="1" x="716"/>
        <item m="1" x="65"/>
        <item m="1" x="1703"/>
        <item m="1" x="1851"/>
        <item m="1" x="717"/>
        <item m="1" x="486"/>
        <item m="1" x="231"/>
        <item m="1" x="2079"/>
        <item m="1" x="2131"/>
        <item m="1" x="1626"/>
        <item m="1" x="2516"/>
        <item m="1" x="1374"/>
        <item m="1" x="1280"/>
        <item m="1" x="927"/>
        <item m="1" x="299"/>
        <item sd="0" m="1" x="2734"/>
        <item m="1" x="1843"/>
        <item m="1" x="1991"/>
        <item m="1" x="200"/>
        <item m="1" x="1859"/>
        <item m="1" x="86"/>
        <item m="1" x="1268"/>
        <item m="1" x="1417"/>
        <item m="1" x="1706"/>
        <item m="1" x="1269"/>
        <item m="1" x="2132"/>
        <item m="1" x="989"/>
        <item m="1" x="1704"/>
        <item m="1" x="637"/>
        <item m="1" x="706"/>
        <item sd="0" m="1" x="640"/>
        <item m="1" x="842"/>
        <item m="1" x="105"/>
        <item m="1" x="173"/>
        <item m="1" x="1495"/>
        <item m="1" x="896"/>
        <item m="1" x="2517"/>
        <item m="1" x="2518"/>
        <item m="1" x="982"/>
        <item m="1" x="2519"/>
        <item m="1" x="718"/>
        <item m="1" x="1705"/>
        <item m="1" x="1519"/>
        <item m="1" x="2644"/>
        <item m="1" x="2640"/>
        <item m="1" x="2520"/>
        <item m="1" x="1025"/>
        <item m="1" x="1182"/>
        <item m="1" x="1946"/>
        <item m="1" x="1635"/>
        <item m="1" x="984"/>
        <item m="1" x="1274"/>
        <item m="1" x="2521"/>
        <item m="1" x="1633"/>
        <item m="1" x="2522"/>
        <item m="1" x="861"/>
        <item m="1" x="1707"/>
        <item m="1" x="1834"/>
        <item m="1" x="1634"/>
        <item m="1" x="2700"/>
        <item m="1" x="127"/>
        <item m="1" x="1032"/>
        <item m="1" x="2203"/>
        <item m="1" x="1404"/>
        <item m="1" x="1494"/>
        <item m="1" x="1770"/>
        <item m="1" x="1983"/>
        <item m="1" x="2523"/>
        <item m="1" x="1709"/>
        <item m="1" x="1777"/>
        <item m="1" x="2525"/>
        <item m="1" x="719"/>
        <item m="1" x="1927"/>
        <item m="1" x="1996"/>
        <item m="1" x="846"/>
        <item m="1" x="2526"/>
        <item m="1" x="2392"/>
        <item m="1" x="519"/>
        <item m="1" x="1086"/>
        <item m="1" x="2059"/>
        <item m="1" x="598"/>
        <item m="1" x="757"/>
        <item m="1" x="535"/>
        <item m="1" x="2133"/>
        <item m="1" x="2527"/>
        <item m="1" x="204"/>
        <item m="1" x="720"/>
        <item x="35"/>
        <item m="1" x="1713"/>
        <item m="1" x="1014"/>
        <item m="1" x="1424"/>
        <item m="1" x="941"/>
        <item m="1" x="2712"/>
        <item m="1" x="420"/>
        <item m="1" x="2528"/>
        <item m="1" x="1391"/>
        <item m="1" x="2012"/>
        <item m="1" x="2573"/>
        <item m="1" x="938"/>
        <item m="1" x="2134"/>
        <item m="1" x="267"/>
        <item m="1" x="2529"/>
        <item m="1" x="1293"/>
        <item m="1" x="614"/>
        <item sd="0" m="1" x="2722"/>
        <item m="1" x="2593"/>
        <item m="1" x="1416"/>
        <item m="1" x="324"/>
        <item m="1" x="428"/>
        <item m="1" x="2530"/>
        <item m="1" x="2029"/>
        <item m="1" x="723"/>
        <item m="1" x="2259"/>
        <item m="1" x="541"/>
        <item m="1" x="1618"/>
        <item m="1" x="1674"/>
        <item m="1" x="1778"/>
        <item m="1" x="911"/>
        <item m="1" x="2531"/>
        <item m="1" x="847"/>
        <item x="23"/>
        <item m="1" x="478"/>
        <item m="1" x="848"/>
        <item m="1" x="929"/>
        <item m="1" x="1844"/>
        <item m="1" x="1715"/>
        <item m="1" x="1710"/>
        <item m="1" x="1004"/>
        <item m="1" x="726"/>
        <item m="1" x="2135"/>
        <item m="1" x="1353"/>
        <item m="1" x="1717"/>
        <item m="1" x="1779"/>
        <item sd="0" m="1" x="465"/>
        <item m="1" x="1260"/>
        <item m="1" x="974"/>
        <item m="1" x="2533"/>
        <item m="1" x="188"/>
        <item m="1" x="2647"/>
        <item m="1" x="2686"/>
        <item m="1" x="866"/>
        <item m="1" x="1811"/>
        <item m="1" x="812"/>
        <item x="43"/>
        <item m="1" x="1718"/>
        <item m="1" x="1719"/>
        <item m="1" x="1398"/>
        <item m="1" x="1720"/>
        <item sd="0" m="1" x="2728"/>
        <item m="1" x="128"/>
        <item m="1" x="205"/>
        <item m="1" x="686"/>
        <item m="1" x="2622"/>
        <item m="1" x="1780"/>
        <item m="1" x="685"/>
        <item m="1" x="2416"/>
        <item m="1" x="2705"/>
        <item m="1" x="1333"/>
        <item m="1" x="1667"/>
        <item m="1" x="2136"/>
        <item m="1" x="1781"/>
        <item m="1" x="329"/>
        <item m="1" x="1724"/>
        <item m="1" x="206"/>
        <item m="1" x="153"/>
        <item m="1" x="2643"/>
        <item m="1" x="849"/>
        <item m="1" x="854"/>
        <item m="1" x="2631"/>
        <item m="1" x="471"/>
        <item m="1" x="2535"/>
        <item m="1" x="1902"/>
        <item m="1" x="722"/>
        <item m="1" x="540"/>
        <item m="1" x="2255"/>
        <item m="1" x="850"/>
        <item m="1" x="183"/>
        <item m="1" x="693"/>
        <item m="1" x="644"/>
        <item m="1" x="1726"/>
        <item m="1" x="967"/>
        <item sd="0" m="1" x="2117"/>
        <item m="1" x="397"/>
        <item m="1" x="1504"/>
        <item x="40"/>
        <item sd="0" m="1" x="2729"/>
        <item m="1" x="1273"/>
        <item m="1" x="2536"/>
        <item m="1" x="2470"/>
        <item m="1" x="429"/>
        <item m="1" x="2537"/>
        <item m="1" x="2538"/>
        <item m="1" x="2569"/>
        <item m="1" x="2539"/>
        <item m="1" x="1460"/>
        <item m="1" x="2058"/>
        <item m="1" x="2540"/>
        <item m="1" x="942"/>
        <item m="1" x="2031"/>
        <item m="1" x="1597"/>
        <item m="1" x="2541"/>
        <item m="1" x="1325"/>
        <item m="1" x="2071"/>
        <item m="1" x="828"/>
        <item m="1" x="430"/>
        <item m="1" x="1356"/>
        <item m="1" x="1031"/>
        <item x="16"/>
        <item m="1" x="1957"/>
        <item m="1" x="1434"/>
        <item m="1" x="874"/>
        <item m="1" x="2542"/>
        <item m="1" x="2543"/>
        <item m="1" x="249"/>
        <item m="1" x="207"/>
        <item m="1" x="2544"/>
        <item m="1" x="2545"/>
        <item m="1" x="2137"/>
        <item m="1" x="2138"/>
        <item m="1" x="1002"/>
        <item m="1" x="134"/>
        <item m="1" x="1732"/>
        <item m="1" x="1326"/>
        <item m="1" x="155"/>
        <item m="1" x="211"/>
        <item m="1" x="1161"/>
        <item x="36"/>
        <item m="1" x="141"/>
        <item m="1" x="2548"/>
        <item m="1" x="508"/>
        <item m="1" x="930"/>
        <item m="1" x="571"/>
        <item m="1" x="2372"/>
        <item m="1" x="2357"/>
        <item m="1" x="241"/>
        <item m="1" x="1733"/>
        <item m="1" x="1734"/>
        <item m="1" x="431"/>
        <item m="1" x="851"/>
        <item m="1" x="2546"/>
        <item m="1" x="532"/>
        <item m="1" x="1521"/>
        <item m="1" x="1554"/>
        <item m="1" x="2547"/>
        <item m="1" x="1782"/>
        <item m="1" x="1903"/>
        <item m="1" x="2549"/>
        <item m="1" x="1735"/>
        <item m="1" x="1650"/>
        <item m="1" x="1736"/>
        <item m="1" x="2708"/>
        <item t="default" sd="0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4"/>
    <field x="0"/>
  </rowFields>
  <rowItems count="17">
    <i>
      <x v="439"/>
    </i>
    <i r="1">
      <x v="61"/>
    </i>
    <i>
      <x v="990"/>
    </i>
    <i r="1">
      <x v="62"/>
    </i>
    <i>
      <x v="2113"/>
    </i>
    <i r="1">
      <x v="63"/>
    </i>
    <i r="1">
      <x v="64"/>
    </i>
    <i r="1">
      <x v="65"/>
    </i>
    <i r="1">
      <x v="66"/>
    </i>
    <i>
      <x v="2136"/>
    </i>
    <i r="1">
      <x v="26"/>
    </i>
    <i r="1">
      <x v="27"/>
    </i>
    <i>
      <x v="2388"/>
    </i>
    <i r="1">
      <x v="60"/>
    </i>
    <i>
      <x v="2633"/>
    </i>
    <i r="1">
      <x v="24"/>
    </i>
    <i t="grand">
      <x/>
    </i>
  </rowItems>
  <colItems count="1">
    <i/>
  </colItems>
  <pageFields count="1">
    <pageField fld="3" hier="-1"/>
  </pageFields>
  <dataFields count="1">
    <dataField name="Total" fld="9" baseField="0" baseItem="0" numFmtId="44"/>
  </dataFields>
  <formats count="9">
    <format dxfId="118">
      <pivotArea collapsedLevelsAreSubtotals="1" fieldPosition="0">
        <references count="1">
          <reference field="4" count="1">
            <x v="275"/>
          </reference>
        </references>
      </pivotArea>
    </format>
    <format dxfId="117">
      <pivotArea collapsedLevelsAreSubtotals="1" fieldPosition="0">
        <references count="1">
          <reference field="4" count="1">
            <x v="664"/>
          </reference>
        </references>
      </pivotArea>
    </format>
    <format dxfId="116">
      <pivotArea collapsedLevelsAreSubtotals="1" fieldPosition="0">
        <references count="1">
          <reference field="4" count="1">
            <x v="789"/>
          </reference>
        </references>
      </pivotArea>
    </format>
    <format dxfId="115">
      <pivotArea collapsedLevelsAreSubtotals="1" fieldPosition="0">
        <references count="1">
          <reference field="4" count="1">
            <x v="1446"/>
          </reference>
        </references>
      </pivotArea>
    </format>
    <format dxfId="114">
      <pivotArea collapsedLevelsAreSubtotals="1" fieldPosition="0">
        <references count="1">
          <reference field="4" count="1">
            <x v="1688"/>
          </reference>
        </references>
      </pivotArea>
    </format>
    <format dxfId="113">
      <pivotArea collapsedLevelsAreSubtotals="1" fieldPosition="0">
        <references count="1">
          <reference field="4" count="1">
            <x v="1989"/>
          </reference>
        </references>
      </pivotArea>
    </format>
    <format dxfId="112">
      <pivotArea dataOnly="0" labelOnly="1" fieldPosition="0">
        <references count="1">
          <reference field="4" count="6">
            <x v="275"/>
            <x v="664"/>
            <x v="789"/>
            <x v="1446"/>
            <x v="1688"/>
            <x v="1989"/>
          </reference>
        </references>
      </pivotArea>
    </format>
    <format dxfId="111">
      <pivotArea field="4" type="button" dataOnly="0" labelOnly="1" outline="0" axis="axisRow" fieldPosition="0"/>
    </format>
    <format dxfId="110">
      <pivotArea dataOnly="0" labelOnly="1" outline="0" axis="axisValues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98076-A511-E34F-8728-17199F300FCB}" name="PivotTable5" cacheId="4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A4:B11" firstHeaderRow="1" firstDataRow="1" firstDataCol="1" rowPageCount="1" colPageCount="1"/>
  <pivotFields count="15">
    <pivotField axis="axisRow" showAll="0">
      <items count="71">
        <item x="56"/>
        <item x="64"/>
        <item x="57"/>
        <item x="65"/>
        <item x="25"/>
        <item x="34"/>
        <item x="36"/>
        <item x="30"/>
        <item x="21"/>
        <item x="52"/>
        <item x="13"/>
        <item x="44"/>
        <item x="14"/>
        <item x="22"/>
        <item x="16"/>
        <item x="29"/>
        <item x="2"/>
        <item x="8"/>
        <item x="51"/>
        <item x="20"/>
        <item x="26"/>
        <item x="35"/>
        <item x="19"/>
        <item x="6"/>
        <item x="61"/>
        <item x="4"/>
        <item x="43"/>
        <item x="11"/>
        <item x="54"/>
        <item x="33"/>
        <item x="38"/>
        <item x="39"/>
        <item x="63"/>
        <item x="17"/>
        <item x="55"/>
        <item x="0"/>
        <item x="1"/>
        <item m="1" x="67"/>
        <item x="46"/>
        <item x="45"/>
        <item x="24"/>
        <item x="18"/>
        <item x="50"/>
        <item x="58"/>
        <item x="59"/>
        <item x="7"/>
        <item x="47"/>
        <item x="31"/>
        <item x="53"/>
        <item x="48"/>
        <item x="23"/>
        <item x="27"/>
        <item x="32"/>
        <item x="37"/>
        <item x="49"/>
        <item m="1" x="68"/>
        <item m="1" x="69"/>
        <item x="3"/>
        <item x="9"/>
        <item x="60"/>
        <item x="28"/>
        <item x="10"/>
        <item x="66"/>
        <item x="62"/>
        <item x="40"/>
        <item x="41"/>
        <item x="42"/>
        <item x="12"/>
        <item x="15"/>
        <item x="5"/>
        <item t="default"/>
      </items>
    </pivotField>
    <pivotField showAll="0"/>
    <pivotField showAll="0"/>
    <pivotField axis="axisPage" multipleItemSelectionAllowed="1" showAll="0">
      <items count="49">
        <item h="1" x="10"/>
        <item h="1" x="15"/>
        <item h="1" x="17"/>
        <item h="1" x="5"/>
        <item h="1" x="7"/>
        <item h="1" m="1" x="18"/>
        <item h="1" x="6"/>
        <item h="1" x="12"/>
        <item h="1" x="14"/>
        <item h="1" m="1" x="36"/>
        <item h="1" x="3"/>
        <item h="1" x="8"/>
        <item x="9"/>
        <item h="1" m="1" x="41"/>
        <item h="1" m="1" x="42"/>
        <item h="1" x="13"/>
        <item h="1" x="0"/>
        <item h="1" m="1" x="23"/>
        <item h="1" m="1" x="45"/>
        <item h="1" m="1" x="47"/>
        <item h="1" x="1"/>
        <item h="1" m="1" x="39"/>
        <item h="1" x="4"/>
        <item h="1" m="1" x="44"/>
        <item h="1" m="1" x="46"/>
        <item h="1" x="2"/>
        <item h="1" m="1" x="40"/>
        <item h="1" x="11"/>
        <item h="1" m="1" x="34"/>
        <item h="1" m="1" x="21"/>
        <item h="1" m="1" x="31"/>
        <item h="1" m="1" x="33"/>
        <item h="1" m="1" x="22"/>
        <item h="1" m="1" x="20"/>
        <item h="1" m="1" x="26"/>
        <item h="1" m="1" x="27"/>
        <item h="1" m="1" x="19"/>
        <item h="1" x="16"/>
        <item h="1" m="1" x="43"/>
        <item h="1" m="1" x="24"/>
        <item h="1" m="1" x="25"/>
        <item h="1" m="1" x="28"/>
        <item h="1" m="1" x="29"/>
        <item h="1" m="1" x="30"/>
        <item h="1" m="1" x="32"/>
        <item h="1" m="1" x="35"/>
        <item h="1" m="1" x="37"/>
        <item h="1" m="1" x="38"/>
        <item t="default"/>
      </items>
    </pivotField>
    <pivotField axis="axisRow" showAll="0" sortType="ascending">
      <items count="2742">
        <item m="1" x="956"/>
        <item m="1" x="1464"/>
        <item m="1" x="2141"/>
        <item m="1" x="272"/>
        <item m="1" x="870"/>
        <item m="1" x="575"/>
        <item m="1" x="2057"/>
        <item m="1" x="1442"/>
        <item m="1" x="361"/>
        <item m="1" x="118"/>
        <item m="1" x="1346"/>
        <item m="1" x="725"/>
        <item m="1" x="1254"/>
        <item m="1" x="282"/>
        <item m="1" x="2036"/>
        <item m="1" x="2157"/>
        <item m="1" x="1796"/>
        <item m="1" x="951"/>
        <item sd="0" m="1" x="1887"/>
        <item m="1" x="1870"/>
        <item sd="0" m="1" x="2717"/>
        <item sd="0" x="5"/>
        <item m="1" x="491"/>
        <item m="1" x="1549"/>
        <item m="1" x="1484"/>
        <item m="1" x="727"/>
        <item m="1" x="1288"/>
        <item m="1" x="1739"/>
        <item m="1" x="804"/>
        <item sd="0" m="1" x="451"/>
        <item m="1" x="1888"/>
        <item x="12"/>
        <item m="1" x="2159"/>
        <item m="1" x="1623"/>
        <item m="1" x="2037"/>
        <item m="1" x="78"/>
        <item m="1" x="2611"/>
        <item m="1" x="1378"/>
        <item m="1" x="1556"/>
        <item m="1" x="959"/>
        <item m="1" x="177"/>
        <item m="1" x="2038"/>
        <item m="1" x="1737"/>
        <item m="1" x="2160"/>
        <item m="1" x="2161"/>
        <item m="1" x="357"/>
        <item m="1" x="1142"/>
        <item m="1" x="1003"/>
        <item sd="0" m="1" x="2688"/>
        <item m="1" x="2162"/>
        <item m="1" x="1096"/>
        <item m="1" x="1016"/>
        <item m="1" x="2039"/>
        <item m="1" x="88"/>
        <item m="1" x="1738"/>
        <item m="1" x="2163"/>
        <item m="1" x="1459"/>
        <item m="1" x="2164"/>
        <item m="1" x="2153"/>
        <item m="1" x="89"/>
        <item m="1" x="2165"/>
        <item m="1" x="730"/>
        <item m="1" x="1630"/>
        <item m="1" x="1005"/>
        <item m="1" x="2166"/>
        <item m="1" x="1348"/>
        <item m="1" x="1006"/>
        <item m="1" x="731"/>
        <item m="1" x="1651"/>
        <item m="1" x="2167"/>
        <item m="1" x="1008"/>
        <item m="1" x="2168"/>
        <item m="1" x="1367"/>
        <item m="1" x="2146"/>
        <item m="1" x="90"/>
        <item m="1" x="2169"/>
        <item m="1" x="266"/>
        <item m="1" x="922"/>
        <item m="1" x="442"/>
        <item m="1" x="364"/>
        <item m="1" x="732"/>
        <item m="1" x="1555"/>
        <item m="1" x="2170"/>
        <item m="1" x="418"/>
        <item m="1" x="887"/>
        <item m="1" x="265"/>
        <item m="1" x="292"/>
        <item m="1" x="2171"/>
        <item m="1" x="68"/>
        <item sd="0" m="1" x="521"/>
        <item m="1" x="616"/>
        <item m="1" x="2484"/>
        <item m="1" x="617"/>
        <item m="1" x="284"/>
        <item m="1" x="2172"/>
        <item m="1" x="2659"/>
        <item m="1" x="1617"/>
        <item m="1" x="1363"/>
        <item m="1" x="2173"/>
        <item sd="0" m="1" x="232"/>
        <item m="1" x="2174"/>
        <item m="1" x="2175"/>
        <item m="1" x="2176"/>
        <item m="1" x="2040"/>
        <item m="1" x="562"/>
        <item m="1" x="1476"/>
        <item m="1" x="242"/>
        <item m="1" x="181"/>
        <item m="1" x="1465"/>
        <item m="1" x="2678"/>
        <item m="1" x="1482"/>
        <item m="1" x="815"/>
        <item m="1" x="1128"/>
        <item m="1" x="2489"/>
        <item m="1" x="2177"/>
        <item m="1" x="2385"/>
        <item m="1" x="1129"/>
        <item m="1" x="2178"/>
        <item m="1" x="2181"/>
        <item m="1" x="1012"/>
        <item m="1" x="890"/>
        <item m="1" x="2182"/>
        <item m="1" x="1874"/>
        <item m="1" x="2183"/>
        <item m="1" x="1727"/>
        <item m="1" x="2184"/>
        <item m="1" x="1408"/>
        <item m="1" x="238"/>
        <item m="1" x="2185"/>
        <item m="1" x="93"/>
        <item m="1" x="1041"/>
        <item m="1" x="734"/>
        <item m="1" x="1042"/>
        <item m="1" x="1309"/>
        <item m="1" x="1399"/>
        <item m="1" x="1547"/>
        <item m="1" x="2186"/>
        <item m="1" x="344"/>
        <item m="1" x="94"/>
        <item m="1" x="2187"/>
        <item m="1" x="2188"/>
        <item m="1" x="983"/>
        <item m="1" x="2041"/>
        <item m="1" x="547"/>
        <item m="1" x="1359"/>
        <item m="1" x="1303"/>
        <item m="1" x="1552"/>
        <item m="1" x="981"/>
        <item m="1" x="54"/>
        <item sd="0" m="1" x="255"/>
        <item m="1" x="497"/>
        <item m="1" x="2190"/>
        <item m="1" x="2191"/>
        <item m="1" x="2192"/>
        <item m="1" x="2650"/>
        <item m="1" x="621"/>
        <item m="1" x="1045"/>
        <item m="1" x="880"/>
        <item m="1" x="1046"/>
        <item m="1" x="274"/>
        <item m="1" x="1047"/>
        <item m="1" x="2193"/>
        <item m="1" x="1049"/>
        <item m="1" x="1050"/>
        <item m="1" x="1962"/>
        <item m="1" x="735"/>
        <item m="1" x="2194"/>
        <item m="1" x="2083"/>
        <item m="1" x="2682"/>
        <item m="1" x="287"/>
        <item sd="0" m="1" x="432"/>
        <item m="1" x="472"/>
        <item m="1" x="1868"/>
        <item m="1" x="419"/>
        <item m="1" x="2389"/>
        <item m="1" x="1052"/>
        <item m="1" x="1053"/>
        <item m="1" x="2618"/>
        <item m="1" x="2637"/>
        <item m="1" x="2641"/>
        <item m="1" x="366"/>
        <item m="1" x="296"/>
        <item m="1" x="1218"/>
        <item m="1" x="1151"/>
        <item m="1" x="620"/>
        <item m="1" x="1344"/>
        <item m="1" x="1203"/>
        <item m="1" x="2195"/>
        <item m="1" x="736"/>
        <item m="1" x="538"/>
        <item m="1" x="2196"/>
        <item m="1" x="1200"/>
        <item m="1" x="1873"/>
        <item m="1" x="1744"/>
        <item m="1" x="2197"/>
        <item m="1" x="1505"/>
        <item m="1" x="622"/>
        <item m="1" x="2261"/>
        <item m="1" x="2000"/>
        <item m="1" x="374"/>
        <item m="1" x="1741"/>
        <item m="1" x="1948"/>
        <item m="1" x="1056"/>
        <item m="1" x="304"/>
        <item m="1" x="498"/>
        <item m="1" x="737"/>
        <item m="1" x="2042"/>
        <item m="1" x="2198"/>
        <item m="1" x="1643"/>
        <item m="1" x="1475"/>
        <item m="1" x="738"/>
        <item m="1" x="1058"/>
        <item m="1" x="1863"/>
        <item sd="0" m="1" x="2635"/>
        <item m="1" x="97"/>
        <item m="1" x="739"/>
        <item m="1" x="516"/>
        <item m="1" x="807"/>
        <item m="1" x="2651"/>
        <item m="1" x="2115"/>
        <item m="1" x="625"/>
        <item m="1" x="1978"/>
        <item m="1" x="2043"/>
        <item m="1" x="895"/>
        <item m="1" x="626"/>
        <item m="1" x="1063"/>
        <item m="1" x="1253"/>
        <item m="1" x="1393"/>
        <item m="1" x="1020"/>
        <item m="1" x="492"/>
        <item m="1" x="1804"/>
        <item m="1" x="2085"/>
        <item m="1" x="1900"/>
        <item m="1" x="1886"/>
        <item sd="0" m="1" x="573"/>
        <item m="1" x="2638"/>
        <item m="1" x="628"/>
        <item m="1" x="2508"/>
        <item m="1" x="464"/>
        <item m="1" x="1224"/>
        <item m="1" x="2002"/>
        <item m="1" x="1500"/>
        <item m="1" x="2199"/>
        <item m="1" x="448"/>
        <item m="1" x="412"/>
        <item m="1" x="98"/>
        <item m="1" x="1575"/>
        <item m="1" x="2601"/>
        <item m="1" x="1508"/>
        <item m="1" x="741"/>
        <item m="1" x="2200"/>
        <item m="1" x="175"/>
        <item m="1" x="1349"/>
        <item m="1" x="1622"/>
        <item m="1" x="2080"/>
        <item m="1" x="806"/>
        <item m="1" x="1981"/>
        <item m="1" x="594"/>
        <item m="1" x="2201"/>
        <item m="1" x="1947"/>
        <item m="1" x="1069"/>
        <item sd="0" m="1" x="47"/>
        <item m="1" x="1382"/>
        <item m="1" x="1701"/>
        <item sd="0" m="1" x="2681"/>
        <item m="1" x="1355"/>
        <item m="1" x="2202"/>
        <item m="1" x="1364"/>
        <item m="1" x="743"/>
        <item m="1" x="1072"/>
        <item m="1" x="1327"/>
        <item m="1" x="1240"/>
        <item m="1" x="250"/>
        <item m="1" x="2704"/>
        <item sd="0" m="1" x="301"/>
        <item sd="0" m="1" x="2726"/>
        <item m="1" x="2572"/>
        <item m="1" x="744"/>
        <item m="1" x="2018"/>
        <item m="1" x="1073"/>
        <item m="1" x="745"/>
        <item m="1" x="746"/>
        <item m="1" x="2204"/>
        <item m="1" x="1137"/>
        <item m="1" x="2205"/>
        <item m="1" x="529"/>
        <item m="1" x="577"/>
        <item m="1" x="215"/>
        <item m="1" x="499"/>
        <item m="1" x="1418"/>
        <item m="1" x="1940"/>
        <item m="1" x="474"/>
        <item m="1" x="986"/>
        <item m="1" x="72"/>
        <item m="1" x="1388"/>
        <item m="1" x="2206"/>
        <item m="1" x="99"/>
        <item m="1" x="1330"/>
        <item m="1" x="1237"/>
        <item m="1" x="1282"/>
        <item m="1" x="1294"/>
        <item m="1" x="2207"/>
        <item m="1" x="2208"/>
        <item m="1" x="811"/>
        <item m="1" x="747"/>
        <item m="1" x="1310"/>
        <item sd="0" m="1" x="2081"/>
        <item m="1" x="1771"/>
        <item sd="0" m="1" x="449"/>
        <item m="1" x="1341"/>
        <item m="1" x="1878"/>
        <item m="1" x="159"/>
        <item m="1" x="576"/>
        <item m="1" x="551"/>
        <item m="1" x="2209"/>
        <item m="1" x="2003"/>
        <item m="1" x="1078"/>
        <item m="1" x="2210"/>
        <item m="1" x="1453"/>
        <item m="1" x="1935"/>
        <item m="1" x="251"/>
        <item m="1" x="1574"/>
        <item m="1" x="1306"/>
        <item m="1" x="1905"/>
        <item m="1" x="1652"/>
        <item m="1" x="313"/>
        <item sd="0" m="1" x="631"/>
        <item m="1" x="1079"/>
        <item m="1" x="526"/>
        <item m="1" x="1757"/>
        <item m="1" x="2211"/>
        <item m="1" x="1037"/>
        <item m="1" x="561"/>
        <item m="1" x="926"/>
        <item m="1" x="2577"/>
        <item m="1" x="2212"/>
        <item m="1" x="1360"/>
        <item m="1" x="2086"/>
        <item m="1" x="1377"/>
        <item m="1" x="2213"/>
        <item m="1" x="100"/>
        <item m="1" x="476"/>
        <item m="1" x="1336"/>
        <item m="1" x="1907"/>
        <item m="1" x="1956"/>
        <item m="1" x="1909"/>
        <item m="1" x="452"/>
        <item m="1" x="109"/>
        <item m="1" x="399"/>
        <item m="1" x="1083"/>
        <item m="1" x="2214"/>
        <item m="1" x="1085"/>
        <item m="1" x="748"/>
        <item m="1" x="2215"/>
        <item m="1" x="2589"/>
        <item m="1" x="1087"/>
        <item m="1" x="254"/>
        <item sd="0" m="1" x="2563"/>
        <item m="1" x="749"/>
        <item m="1" x="1088"/>
        <item m="1" x="2581"/>
        <item m="1" x="81"/>
        <item m="1" x="1095"/>
        <item m="1" x="158"/>
        <item m="1" x="950"/>
        <item m="1" x="979"/>
        <item m="1" x="1098"/>
        <item sd="0" m="1" x="2571"/>
        <item m="1" x="1084"/>
        <item x="38"/>
        <item m="1" x="2630"/>
        <item sd="0" m="1" x="103"/>
        <item sd="0" m="1" x="2716"/>
        <item sd="0" m="1" x="633"/>
        <item m="1" x="1438"/>
        <item m="1" x="1147"/>
        <item m="1" x="1520"/>
        <item m="1" x="1149"/>
        <item m="1" x="102"/>
        <item m="1" x="1091"/>
        <item m="1" x="115"/>
        <item sd="0" m="1" x="116"/>
        <item m="1" x="1152"/>
        <item m="1" x="618"/>
        <item m="1" x="1380"/>
        <item m="1" x="117"/>
        <item m="1" x="649"/>
        <item m="1" x="648"/>
        <item m="1" x="1089"/>
        <item m="1" x="2670"/>
        <item m="1" x="2216"/>
        <item sd="0" m="1" x="1090"/>
        <item m="1" x="2004"/>
        <item m="1" x="1021"/>
        <item m="1" x="523"/>
        <item m="1" x="578"/>
        <item m="1" x="1764"/>
        <item m="1" x="908"/>
        <item m="1" x="2560"/>
        <item m="1" x="1803"/>
        <item m="1" x="2242"/>
        <item sd="0" m="1" x="49"/>
        <item m="1" x="2044"/>
        <item m="1" x="1397"/>
        <item m="1" x="2649"/>
        <item m="1" x="2217"/>
        <item m="1" x="1163"/>
        <item m="1" x="148"/>
        <item m="1" x="2596"/>
        <item m="1" x="167"/>
        <item m="1" x="970"/>
        <item m="1" x="1094"/>
        <item m="1" x="2218"/>
        <item m="1" x="1898"/>
        <item m="1" x="2219"/>
        <item m="1" x="883"/>
        <item m="1" x="873"/>
        <item m="1" x="2600"/>
        <item m="1" x="2380"/>
        <item m="1" x="1932"/>
        <item m="1" x="1062"/>
        <item m="1" x="2220"/>
        <item m="1" x="1952"/>
        <item m="1" x="1082"/>
        <item m="1" x="1289"/>
        <item sd="0" m="1" x="2721"/>
        <item m="1" x="106"/>
        <item m="1" x="360"/>
        <item m="1" x="1998"/>
        <item m="1" x="2339"/>
        <item m="1" x="2667"/>
        <item m="1" x="545"/>
        <item m="1" x="2087"/>
        <item m="1" x="751"/>
        <item m="1" x="107"/>
        <item m="1" x="509"/>
        <item sd="0" m="1" x="259"/>
        <item m="1" x="1097"/>
        <item m="1" x="1080"/>
        <item x="10"/>
        <item m="1" x="2559"/>
        <item m="1" x="1621"/>
        <item m="1" x="753"/>
        <item sd="0" m="1" x="331"/>
        <item m="1" x="932"/>
        <item x="22"/>
        <item x="1"/>
        <item m="1" x="2221"/>
        <item m="1" x="2222"/>
        <item m="1" x="369"/>
        <item m="1" x="453"/>
        <item m="1" x="58"/>
        <item m="1" x="437"/>
        <item m="1" x="1687"/>
        <item m="1" x="1099"/>
        <item m="1" x="2224"/>
        <item m="1" x="2045"/>
        <item m="1" x="2608"/>
        <item m="1" x="1783"/>
        <item sd="0" m="1" x="1885"/>
        <item m="1" x="636"/>
        <item m="1" x="108"/>
        <item m="1" x="52"/>
        <item m="1" x="1103"/>
        <item sd="0" x="18"/>
        <item m="1" x="1993"/>
        <item m="1" x="2016"/>
        <item m="1" x="1911"/>
        <item sd="0" m="1" x="593"/>
        <item m="1" x="754"/>
        <item m="1" x="755"/>
        <item m="1" x="407"/>
        <item m="1" x="356"/>
        <item m="1" x="1104"/>
        <item m="1" x="2225"/>
        <item m="1" x="1105"/>
        <item m="1" x="756"/>
        <item m="1" x="2158"/>
        <item m="1" x="752"/>
        <item m="1" x="2046"/>
        <item m="1" x="2226"/>
        <item m="1" x="1913"/>
        <item m="1" x="2150"/>
        <item m="1" x="919"/>
        <item m="1" x="2020"/>
        <item m="1" x="208"/>
        <item m="1" x="1708"/>
        <item m="1" x="1111"/>
        <item m="1" x="454"/>
        <item m="1" x="1112"/>
        <item m="1" x="309"/>
        <item m="1" x="1869"/>
        <item m="1" x="302"/>
        <item m="1" x="852"/>
        <item m="1" x="1205"/>
        <item m="1" x="1113"/>
        <item m="1" x="713"/>
        <item m="1" x="638"/>
        <item m="1" x="1210"/>
        <item m="1" x="1070"/>
        <item m="1" x="1805"/>
        <item m="1" x="1806"/>
        <item m="1" x="216"/>
        <item m="1" x="1809"/>
        <item m="1" x="875"/>
        <item m="1" x="2669"/>
        <item m="1" x="1126"/>
        <item m="1" x="110"/>
        <item m="1" x="1054"/>
        <item m="1" x="1830"/>
        <item m="1" x="1832"/>
        <item m="1" x="1818"/>
        <item m="1" x="1106"/>
        <item x="19"/>
        <item m="1" x="1043"/>
        <item m="1" x="1712"/>
        <item x="33"/>
        <item m="1" x="1615"/>
        <item sd="0" m="1" x="1810"/>
        <item sd="0" m="1" x="1114"/>
        <item m="1" x="1143"/>
        <item m="1" x="1535"/>
        <item m="1" x="1812"/>
        <item m="1" x="2088"/>
        <item m="1" x="1813"/>
        <item m="1" x="111"/>
        <item m="1" x="2228"/>
        <item m="1" x="1000"/>
        <item m="1" x="2229"/>
        <item m="1" x="2578"/>
        <item m="1" x="2230"/>
        <item m="1" x="1030"/>
        <item m="1" x="2564"/>
        <item m="1" x="946"/>
        <item m="1" x="2231"/>
        <item m="1" x="50"/>
        <item m="1" x="378"/>
        <item m="1" x="2232"/>
        <item m="1" x="2456"/>
        <item sd="0" m="1" x="276"/>
        <item m="1" x="758"/>
        <item m="1" x="1010"/>
        <item m="1" x="1120"/>
        <item m="1" x="900"/>
        <item m="1" x="2663"/>
        <item m="1" x="2233"/>
        <item m="1" x="1015"/>
        <item m="1" x="1026"/>
        <item m="1" x="641"/>
        <item m="1" x="642"/>
        <item m="1" x="597"/>
        <item m="1" x="2606"/>
        <item sd="0" m="1" x="643"/>
        <item m="1" x="1918"/>
        <item m="1" x="635"/>
        <item m="1" x="1123"/>
        <item m="1" x="2234"/>
        <item m="1" x="112"/>
        <item m="1" x="1742"/>
        <item m="1" x="878"/>
        <item m="1" x="2235"/>
        <item m="1" x="1984"/>
        <item m="1" x="2007"/>
        <item m="1" x="2236"/>
        <item m="1" x="759"/>
        <item m="1" x="933"/>
        <item m="1" x="436"/>
        <item m="1" x="2664"/>
        <item m="1" x="2078"/>
        <item m="1" x="1775"/>
        <item m="1" x="2586"/>
        <item m="1" x="475"/>
        <item m="1" x="1109"/>
        <item m="1" x="2674"/>
        <item m="1" x="2657"/>
        <item m="1" x="1700"/>
        <item m="1" x="539"/>
        <item m="1" x="455"/>
        <item m="1" x="952"/>
        <item m="1" x="315"/>
        <item m="1" x="408"/>
        <item m="1" x="867"/>
        <item m="1" x="2506"/>
        <item m="1" x="114"/>
        <item m="1" x="2237"/>
        <item m="1" x="1402"/>
        <item m="1" x="164"/>
        <item m="1" x="645"/>
        <item m="1" x="1638"/>
        <item m="1" x="1139"/>
        <item m="1" x="1146"/>
        <item m="1" x="554"/>
        <item m="1" x="2634"/>
        <item m="1" x="994"/>
        <item m="1" x="2465"/>
        <item m="1" x="1406"/>
        <item m="1" x="1236"/>
        <item m="1" x="1959"/>
        <item m="1" x="1247"/>
        <item m="1" x="1481"/>
        <item m="1" x="1876"/>
        <item m="1" x="1141"/>
        <item m="1" x="1065"/>
        <item sd="0" m="1" x="646"/>
        <item sd="0" m="1" x="2731"/>
        <item m="1" x="1573"/>
        <item m="1" x="647"/>
        <item m="1" x="2239"/>
        <item m="1" x="126"/>
        <item sd="0" m="1" x="96"/>
        <item m="1" x="1329"/>
        <item m="1" x="760"/>
        <item m="1" x="1270"/>
        <item m="1" x="2558"/>
        <item m="1" x="869"/>
        <item sd="0" m="1" x="1145"/>
        <item m="1" x="1510"/>
        <item x="20"/>
        <item m="1" x="1175"/>
        <item m="1" x="1795"/>
        <item m="1" x="1124"/>
        <item m="1" x="1802"/>
        <item sd="0" x="7"/>
        <item x="37"/>
        <item m="1" x="1298"/>
        <item m="1" x="1339"/>
        <item m="1" x="1816"/>
        <item m="1" x="1762"/>
        <item m="1" x="1532"/>
        <item m="1" x="2240"/>
        <item m="1" x="871"/>
        <item sd="0" m="1" x="2718"/>
        <item m="1" x="91"/>
        <item m="1" x="2241"/>
        <item m="1" x="2030"/>
        <item m="1" x="1672"/>
        <item m="1" x="761"/>
        <item m="1" x="2089"/>
        <item m="1" x="2227"/>
        <item m="1" x="762"/>
        <item m="1" x="1148"/>
        <item m="1" x="316"/>
        <item m="1" x="2633"/>
        <item m="1" x="1242"/>
        <item m="1" x="260"/>
        <item m="1" x="1412"/>
        <item m="1" x="1384"/>
        <item m="1" x="763"/>
        <item m="1" x="1682"/>
        <item m="1" x="385"/>
        <item sd="0" m="1" x="591"/>
        <item m="1" x="1565"/>
        <item m="1" x="2243"/>
        <item m="1" x="1153"/>
        <item m="1" x="500"/>
        <item m="1" x="2552"/>
        <item sd="0" m="1" x="217"/>
        <item m="1" x="1229"/>
        <item m="1" x="373"/>
        <item m="1" x="433"/>
        <item m="1" x="2632"/>
        <item m="1" x="1092"/>
        <item m="1" x="1241"/>
        <item m="1" x="1743"/>
        <item sd="0" m="1" x="244"/>
        <item m="1" x="444"/>
        <item m="1" x="2047"/>
        <item m="1" x="1403"/>
        <item m="1" x="1644"/>
        <item m="1" x="1158"/>
        <item m="1" x="1612"/>
        <item m="1" x="372"/>
        <item sd="0" m="1" x="2588"/>
        <item m="1" x="1872"/>
        <item m="1" x="1478"/>
        <item m="1" x="2244"/>
        <item sd="0" m="1" x="1865"/>
        <item m="1" x="319"/>
        <item m="1" x="303"/>
        <item m="1" x="1879"/>
        <item m="1" x="2351"/>
        <item m="1" x="1875"/>
        <item sd="0" m="1" x="2090"/>
        <item m="1" x="2245"/>
        <item m="1" x="2072"/>
        <item m="1" x="2374"/>
        <item m="1" x="2091"/>
        <item m="1" x="311"/>
        <item m="1" x="2246"/>
        <item m="1" x="2247"/>
        <item m="1" x="333"/>
        <item m="1" x="765"/>
        <item m="1" x="1318"/>
        <item m="1" x="2248"/>
        <item m="1" x="1276"/>
        <item m="1" x="650"/>
        <item m="1" x="2557"/>
        <item m="1" x="997"/>
        <item m="1" x="1130"/>
        <item m="1" x="2249"/>
        <item m="1" x="1362"/>
        <item m="1" x="1836"/>
        <item m="1" x="131"/>
        <item m="1" x="202"/>
        <item m="1" x="2250"/>
        <item m="1" x="321"/>
        <item m="1" x="146"/>
        <item m="1" x="2697"/>
        <item m="1" x="652"/>
        <item sd="0" m="1" x="740"/>
        <item m="1" x="920"/>
        <item m="1" x="291"/>
        <item m="1" x="1170"/>
        <item m="1" x="513"/>
        <item m="1" x="2251"/>
        <item m="1" x="1899"/>
        <item m="1" x="766"/>
        <item sd="0" m="1" x="456"/>
        <item m="1" x="1171"/>
        <item m="1" x="2687"/>
        <item m="1" x="1172"/>
        <item m="1" x="1439"/>
        <item m="1" x="2252"/>
        <item m="1" x="1544"/>
        <item m="1" x="2143"/>
        <item m="1" x="653"/>
        <item m="1" x="615"/>
        <item m="1" x="2615"/>
        <item m="1" x="550"/>
        <item m="1" x="1174"/>
        <item m="1" x="2253"/>
        <item m="1" x="2254"/>
        <item sd="0" m="1" x="445"/>
        <item m="1" x="290"/>
        <item m="1" x="1305"/>
        <item m="1" x="1930"/>
        <item m="1" x="767"/>
        <item m="1" x="992"/>
        <item sd="0" m="1" x="2565"/>
        <item m="1" x="2658"/>
        <item m="1" x="1915"/>
        <item m="1" x="1221"/>
        <item m="1" x="411"/>
        <item m="1" x="2257"/>
        <item m="1" x="1211"/>
        <item m="1" x="2258"/>
        <item m="1" x="1931"/>
        <item m="1" x="84"/>
        <item m="1" x="1745"/>
        <item m="1" x="1135"/>
        <item m="1" x="2092"/>
        <item m="1" x="654"/>
        <item m="1" x="1413"/>
        <item m="1" x="1131"/>
        <item m="1" x="1215"/>
        <item m="1" x="947"/>
        <item m="1" x="1668"/>
        <item m="1" x="1179"/>
        <item m="1" x="85"/>
        <item m="1" x="553"/>
        <item m="1" x="768"/>
        <item m="1" x="1194"/>
        <item sd="0" x="31"/>
        <item m="1" x="1140"/>
        <item m="1" x="655"/>
        <item m="1" x="233"/>
        <item m="1" x="769"/>
        <item x="27"/>
        <item m="1" x="1627"/>
        <item m="1" x="945"/>
        <item m="1" x="1746"/>
        <item m="1" x="322"/>
        <item m="1" x="1747"/>
        <item m="1" x="1664"/>
        <item m="1" x="1515"/>
        <item m="1" x="1600"/>
        <item m="1" x="1181"/>
        <item m="1" x="1877"/>
        <item m="1" x="2073"/>
        <item m="1" x="891"/>
        <item m="1" x="574"/>
        <item m="1" x="2262"/>
        <item m="1" x="1748"/>
        <item m="1" x="570"/>
        <item m="1" x="2093"/>
        <item m="1" x="2263"/>
        <item m="1" x="1183"/>
        <item sd="0" m="1" x="2642"/>
        <item m="1" x="171"/>
        <item sd="0" m="1" x="256"/>
        <item m="1" x="1405"/>
        <item m="1" x="1531"/>
        <item m="1" x="488"/>
        <item m="1" x="443"/>
        <item m="1" x="122"/>
        <item m="1" x="1186"/>
        <item m="1" x="2264"/>
        <item m="1" x="326"/>
        <item m="1" x="2265"/>
        <item m="1" x="327"/>
        <item m="1" x="978"/>
        <item m="1" x="2266"/>
        <item m="1" x="248"/>
        <item m="1" x="534"/>
        <item m="1" x="1506"/>
        <item m="1" x="2077"/>
        <item m="1" x="1498"/>
        <item m="1" x="1287"/>
        <item m="1" x="156"/>
        <item m="1" x="394"/>
        <item m="1" x="1361"/>
        <item m="1" x="1592"/>
        <item m="1" x="1492"/>
        <item m="1" x="1468"/>
        <item m="1" x="2580"/>
        <item m="1" x="1568"/>
        <item m="1" x="2026"/>
        <item m="1" x="664"/>
        <item m="1" x="1955"/>
        <item m="1" x="2267"/>
        <item m="1" x="295"/>
        <item m="1" x="1191"/>
        <item m="1" x="1729"/>
        <item m="1" x="771"/>
        <item m="1" x="1195"/>
        <item m="1" x="1571"/>
        <item m="1" x="2094"/>
        <item m="1" x="2015"/>
        <item m="1" x="2524"/>
        <item m="1" x="2271"/>
        <item m="1" x="1789"/>
        <item m="1" x="306"/>
        <item m="1" x="1954"/>
        <item m="1" x="865"/>
        <item m="1" x="1835"/>
        <item m="1" x="801"/>
        <item m="1" x="1790"/>
        <item m="1" x="2272"/>
        <item m="1" x="1774"/>
        <item m="1" x="1653"/>
        <item m="1" x="1441"/>
        <item m="1" x="2095"/>
        <item m="1" x="2274"/>
        <item m="1" x="1793"/>
        <item m="1" x="990"/>
        <item m="1" x="2273"/>
        <item m="1" x="1819"/>
        <item m="1" x="2275"/>
        <item m="1" x="2076"/>
        <item m="1" x="2276"/>
        <item m="1" x="1204"/>
        <item m="1" x="1526"/>
        <item m="1" x="2145"/>
        <item m="1" x="1503"/>
        <item m="1" x="560"/>
        <item m="1" x="1550"/>
        <item m="1" x="872"/>
        <item m="1" x="2277"/>
        <item m="1" x="1425"/>
        <item m="1" x="1340"/>
        <item m="1" x="1167"/>
        <item m="1" x="2278"/>
        <item m="1" x="2279"/>
        <item m="1" x="772"/>
        <item m="1" x="728"/>
        <item m="1" x="658"/>
        <item m="1" x="1176"/>
        <item m="1" x="1315"/>
        <item m="1" x="2096"/>
        <item m="1" x="123"/>
        <item m="1" x="1337"/>
        <item m="1" x="270"/>
        <item m="1" x="2280"/>
        <item m="1" x="125"/>
        <item m="1" x="2074"/>
        <item m="1" x="2281"/>
        <item m="1" x="2282"/>
        <item m="1" x="659"/>
        <item m="1" x="1450"/>
        <item m="1" x="2283"/>
        <item m="1" x="925"/>
        <item m="1" x="1470"/>
        <item m="1" x="1209"/>
        <item m="1" x="660"/>
        <item m="1" x="2550"/>
        <item m="1" x="2648"/>
        <item m="1" x="2345"/>
        <item m="1" x="2097"/>
        <item m="1" x="2048"/>
        <item x="0"/>
        <item m="1" x="1497"/>
        <item m="1" x="2627"/>
        <item m="1" x="1763"/>
        <item m="1" x="1212"/>
        <item m="1" x="410"/>
        <item m="1" x="1961"/>
        <item m="1" x="917"/>
        <item m="1" x="988"/>
        <item m="1" x="1197"/>
        <item m="1" x="2284"/>
        <item m="1" x="1213"/>
        <item m="1" x="773"/>
        <item m="1" x="1214"/>
        <item m="1" x="1686"/>
        <item m="1" x="218"/>
        <item sd="0" m="1" x="1509"/>
        <item sd="0" m="1" x="724"/>
        <item m="1" x="1557"/>
        <item sd="0" m="1" x="330"/>
        <item m="1" x="1216"/>
        <item m="1" x="457"/>
        <item m="1" x="1162"/>
        <item m="1" x="2285"/>
        <item m="1" x="2155"/>
        <item m="1" x="2286"/>
        <item m="1" x="2579"/>
        <item m="1" x="1219"/>
        <item m="1" x="2287"/>
        <item m="1" x="2098"/>
        <item m="1" x="2288"/>
        <item m="1" x="1466"/>
        <item m="1" x="2612"/>
        <item m="1" x="2049"/>
        <item m="1" x="176"/>
        <item m="1" x="1749"/>
        <item m="1" x="1455"/>
        <item m="1" x="458"/>
        <item m="1" x="1933"/>
        <item m="1" x="1658"/>
        <item m="1" x="775"/>
        <item m="1" x="459"/>
        <item sd="0" m="1" x="129"/>
        <item m="1" x="219"/>
        <item m="1" x="2180"/>
        <item m="1" x="750"/>
        <item m="1" x="1044"/>
        <item m="1" x="661"/>
        <item m="1" x="663"/>
        <item m="1" x="809"/>
        <item m="1" x="130"/>
        <item m="1" x="585"/>
        <item m="1" x="1624"/>
        <item m="1" x="943"/>
        <item m="1" x="80"/>
        <item m="1" x="1817"/>
        <item m="1" x="2289"/>
        <item sd="0" m="1" x="1997"/>
        <item m="1" x="960"/>
        <item m="1" x="665"/>
        <item m="1" x="505"/>
        <item m="1" x="2100"/>
        <item m="1" x="332"/>
        <item m="1" x="776"/>
        <item m="1" x="2290"/>
        <item m="1" x="2291"/>
        <item m="1" x="1169"/>
        <item m="1" x="1022"/>
        <item sd="0" m="1" x="2101"/>
        <item sd="0" m="1" x="2710"/>
        <item m="1" x="2292"/>
        <item sd="0" m="1" x="182"/>
        <item m="1" x="48"/>
        <item m="1" x="2269"/>
        <item m="1" x="607"/>
        <item m="1" x="2388"/>
        <item m="1" x="252"/>
        <item m="1" x="2692"/>
        <item m="1" x="320"/>
        <item m="1" x="863"/>
        <item m="1" x="2293"/>
        <item m="1" x="1436"/>
        <item m="1" x="2102"/>
        <item m="1" x="376"/>
        <item m="1" x="2513"/>
        <item m="1" x="359"/>
        <item m="1" x="2147"/>
        <item m="1" x="2154"/>
        <item m="1" x="662"/>
        <item m="1" x="334"/>
        <item sd="0" m="1" x="235"/>
        <item m="1" x="2103"/>
        <item m="1" x="76"/>
        <item m="1" x="1919"/>
        <item m="1" x="405"/>
        <item m="1" x="2534"/>
        <item m="1" x="2104"/>
        <item m="1" x="2294"/>
        <item m="1" x="1972"/>
        <item m="1" x="1228"/>
        <item m="1" x="1788"/>
        <item sd="0" x="46"/>
        <item m="1" x="1189"/>
        <item m="1" x="462"/>
        <item m="1" x="1901"/>
        <item m="1" x="777"/>
        <item m="1" x="2592"/>
        <item m="1" x="335"/>
        <item m="1" x="2295"/>
        <item m="1" x="2296"/>
        <item m="1" x="612"/>
        <item m="1" x="1027"/>
        <item m="1" x="363"/>
        <item m="1" x="1750"/>
        <item m="1" x="1230"/>
        <item sd="0" m="1" x="1799"/>
        <item m="1" x="1231"/>
        <item m="1" x="2297"/>
        <item m="1" x="1936"/>
        <item m="1" x="579"/>
        <item m="1" x="220"/>
        <item m="1" x="666"/>
        <item m="1" x="391"/>
        <item sd="0" m="1" x="2724"/>
        <item m="1" x="2701"/>
        <item m="1" x="2656"/>
        <item m="1" x="778"/>
        <item m="1" x="1675"/>
        <item m="1" x="2298"/>
        <item m="1" x="53"/>
        <item sd="0" m="1" x="1820"/>
        <item m="1" x="1232"/>
        <item m="1" x="1853"/>
        <item m="1" x="1469"/>
        <item m="1" x="61"/>
        <item m="1" x="1884"/>
        <item m="1" x="1941"/>
        <item sd="0" m="1" x="623"/>
        <item m="1" x="2386"/>
        <item m="1" x="1263"/>
        <item m="1" x="1971"/>
        <item m="1" x="1039"/>
        <item m="1" x="1233"/>
        <item m="1" x="530"/>
        <item m="1" x="1892"/>
        <item m="1" x="2300"/>
        <item m="1" x="1165"/>
        <item m="1" x="1507"/>
        <item m="1" x="779"/>
        <item m="1" x="2645"/>
        <item m="1" x="2106"/>
        <item m="1" x="358"/>
        <item m="1" x="2301"/>
        <item m="1" x="1386"/>
        <item m="1" x="1822"/>
        <item m="1" x="1235"/>
        <item m="1" x="318"/>
        <item m="1" x="2302"/>
        <item m="1" x="1009"/>
        <item m="1" x="1108"/>
        <item m="1" x="2303"/>
        <item m="1" x="2304"/>
        <item m="1" x="1437"/>
        <item m="1" x="581"/>
        <item m="1" x="1100"/>
        <item m="1" x="1071"/>
        <item m="1" x="2305"/>
        <item m="1" x="370"/>
        <item m="1" x="1259"/>
        <item m="1" x="59"/>
        <item m="1" x="1683"/>
        <item m="1" x="336"/>
        <item m="1" x="60"/>
        <item sd="0" m="1" x="337"/>
        <item m="1" x="2306"/>
        <item m="1" x="1245"/>
        <item m="1" x="2307"/>
        <item m="1" x="268"/>
        <item m="1" x="512"/>
        <item m="1" x="1177"/>
        <item m="1" x="868"/>
        <item m="1" x="667"/>
        <item m="1" x="1516"/>
        <item m="1" x="494"/>
        <item m="1" x="1238"/>
        <item m="1" x="388"/>
        <item m="1" x="283"/>
        <item m="1" x="104"/>
        <item m="1" x="1513"/>
        <item m="1" x="2107"/>
        <item m="1" x="1539"/>
        <item m="1" x="537"/>
        <item m="1" x="1752"/>
        <item m="1" x="101"/>
        <item m="1" x="195"/>
        <item m="1" x="338"/>
        <item m="1" x="668"/>
        <item m="1" x="1193"/>
        <item m="1" x="438"/>
        <item sd="0" m="1" x="221"/>
        <item x="32"/>
        <item m="1" x="2309"/>
        <item m="1" x="2310"/>
        <item m="1" x="1679"/>
        <item m="1" x="2311"/>
        <item m="1" x="948"/>
        <item m="1" x="1928"/>
        <item m="1" x="1551"/>
        <item sd="0" m="1" x="288"/>
        <item sd="0" m="1" x="273"/>
        <item sd="0" m="1" x="1711"/>
        <item m="1" x="185"/>
        <item m="1" x="1461"/>
        <item m="1" x="1239"/>
        <item m="1" x="1937"/>
        <item m="1" x="903"/>
        <item m="1" x="692"/>
        <item m="1" x="506"/>
        <item m="1" x="2312"/>
        <item m="1" x="2313"/>
        <item m="1" x="669"/>
        <item m="1" x="876"/>
        <item m="1" x="2314"/>
        <item m="1" x="1244"/>
        <item m="1" x="2108"/>
        <item m="1" x="1420"/>
        <item m="1" x="2315"/>
        <item m="1" x="1992"/>
        <item m="1" x="826"/>
        <item m="1" x="2567"/>
        <item m="1" x="774"/>
        <item m="1" x="75"/>
        <item m="1" x="1246"/>
        <item m="1" x="2317"/>
        <item m="1" x="2318"/>
        <item m="1" x="672"/>
        <item m="1" x="2319"/>
        <item m="1" x="1645"/>
        <item m="1" x="2017"/>
        <item m="1" x="1248"/>
        <item m="1" x="1249"/>
        <item m="1" x="781"/>
        <item m="1" x="1250"/>
        <item m="1" x="1060"/>
        <item m="1" x="671"/>
        <item m="1" x="1252"/>
        <item m="1" x="1880"/>
        <item m="1" x="1286"/>
        <item x="6"/>
        <item m="1" x="348"/>
        <item m="1" x="2320"/>
        <item m="1" x="1243"/>
        <item m="1" x="354"/>
        <item m="1" x="2179"/>
        <item m="1" x="2321"/>
        <item m="1" x="1440"/>
        <item m="1" x="884"/>
        <item m="1" x="629"/>
        <item m="1" x="2152"/>
        <item m="1" x="764"/>
        <item m="1" x="782"/>
        <item m="1" x="2322"/>
        <item m="1" x="783"/>
        <item m="1" x="1371"/>
        <item m="1" x="2323"/>
        <item m="1" x="971"/>
        <item m="1" x="1304"/>
        <item m="1" x="2324"/>
        <item m="1" x="1921"/>
        <item m="1" x="368"/>
        <item m="1" x="279"/>
        <item m="1" x="57"/>
        <item m="1" x="2325"/>
        <item m="1" x="240"/>
        <item m="1" x="286"/>
        <item m="1" x="1589"/>
        <item m="1" x="1271"/>
        <item m="1" x="294"/>
        <item m="1" x="549"/>
        <item m="1" x="784"/>
        <item m="1" x="1602"/>
        <item m="1" x="2326"/>
        <item m="1" x="1546"/>
        <item m="1" x="1487"/>
        <item m="1" x="1419"/>
        <item m="1" x="281"/>
        <item m="1" x="566"/>
        <item m="1" x="341"/>
        <item m="1" x="2554"/>
        <item m="1" x="1740"/>
        <item sd="0" m="1" x="460"/>
        <item m="1" x="1897"/>
        <item m="1" x="1255"/>
        <item m="1" x="785"/>
        <item m="1" x="786"/>
        <item m="1" x="2598"/>
        <item m="1" x="477"/>
        <item m="1" x="1753"/>
        <item m="1" x="2056"/>
        <item m="1" x="417"/>
        <item sd="0" x="4"/>
        <item m="1" x="2075"/>
        <item sd="0" m="1" x="1093"/>
        <item sd="0" m="1" x="2737"/>
        <item sd="0" m="1" x="590"/>
        <item sd="0" m="1" x="2707"/>
        <item m="1" x="1057"/>
        <item m="1" x="599"/>
        <item m="1" x="1654"/>
        <item m="1" x="1257"/>
        <item m="1" x="788"/>
        <item m="1" x="1754"/>
        <item m="1" x="536"/>
        <item m="1" x="1258"/>
        <item m="1" x="2327"/>
        <item m="1" x="789"/>
        <item m="1" x="567"/>
        <item m="1" x="2328"/>
        <item m="1" x="2329"/>
        <item sd="0" m="1" x="439"/>
        <item m="1" x="406"/>
        <item m="1" x="269"/>
        <item m="1" x="1208"/>
        <item m="1" x="1261"/>
        <item m="1" x="1262"/>
        <item m="1" x="592"/>
        <item m="1" x="1522"/>
        <item m="1" x="791"/>
        <item m="1" x="1614"/>
        <item m="1" x="1871"/>
        <item m="1" x="2109"/>
        <item sd="0" m="1" x="1825"/>
        <item m="1" x="559"/>
        <item m="1" x="1591"/>
        <item m="1" x="580"/>
        <item m="1" x="1369"/>
        <item m="1" x="548"/>
        <item m="1" x="1192"/>
        <item sd="0" m="1" x="2105"/>
        <item m="1" x="1256"/>
        <item m="1" x="673"/>
        <item m="1" x="899"/>
        <item m="1" x="1264"/>
        <item m="1" x="1265"/>
        <item m="1" x="1824"/>
        <item m="1" x="2110"/>
        <item sd="0" x="8"/>
        <item m="1" x="511"/>
        <item m="1" x="546"/>
        <item sd="0" m="1" x="64"/>
        <item m="1" x="1201"/>
        <item m="1" x="1266"/>
        <item m="1" x="792"/>
        <item m="1" x="1982"/>
        <item sd="0" x="44"/>
        <item m="1" x="1577"/>
        <item m="1" x="1613"/>
        <item m="1" x="2330"/>
        <item m="1" x="793"/>
        <item m="1" x="2464"/>
        <item m="1" x="2084"/>
        <item m="1" x="794"/>
        <item m="1" x="583"/>
        <item m="1" x="1433"/>
        <item m="1" x="1640"/>
        <item m="1" x="2614"/>
        <item m="1" x="503"/>
        <item m="1" x="1267"/>
        <item m="1" x="1036"/>
        <item m="1" x="1302"/>
        <item m="1" x="1225"/>
        <item m="1" x="404"/>
        <item m="1" x="1251"/>
        <item m="1" x="2013"/>
        <item m="1" x="510"/>
        <item m="1" x="555"/>
        <item m="1" x="1671"/>
        <item m="1" x="1906"/>
        <item m="1" x="2111"/>
        <item m="1" x="1125"/>
        <item m="1" x="461"/>
        <item m="1" x="1351"/>
        <item m="1" x="518"/>
        <item m="1" x="2331"/>
        <item m="1" x="1368"/>
        <item m="1" x="222"/>
        <item m="1" x="2332"/>
        <item m="1" x="795"/>
        <item m="1" x="674"/>
        <item m="1" x="1132"/>
        <item m="1" x="584"/>
        <item m="1" x="1826"/>
        <item m="1" x="2605"/>
        <item m="1" x="1317"/>
        <item m="1" x="1980"/>
        <item m="1" x="1939"/>
        <item m="1" x="1272"/>
        <item m="1" x="675"/>
        <item m="1" x="676"/>
        <item m="1" x="1951"/>
        <item m="1" x="2625"/>
        <item x="13"/>
        <item m="1" x="1474"/>
        <item m="1" x="2333"/>
        <item m="1" x="1277"/>
        <item m="1" x="1572"/>
        <item m="1" x="1278"/>
        <item m="1" x="2334"/>
        <item m="1" x="2335"/>
        <item m="1" x="1784"/>
        <item m="1" x="300"/>
        <item m="1" x="1723"/>
        <item m="1" x="1279"/>
        <item m="1" x="1410"/>
        <item m="1" x="152"/>
        <item m="1" x="1594"/>
        <item m="1" x="277"/>
        <item m="1" x="1074"/>
        <item sd="0" m="1" x="132"/>
        <item m="1" x="1934"/>
        <item m="1" x="236"/>
        <item m="1" x="1283"/>
        <item m="1" x="2337"/>
        <item m="1" x="426"/>
        <item m="1" x="1606"/>
        <item m="1" x="1966"/>
        <item m="1" x="2391"/>
        <item m="1" x="2338"/>
        <item m="1" x="1354"/>
        <item m="1" x="1463"/>
        <item m="1" x="2340"/>
        <item m="1" x="657"/>
        <item m="1" x="2668"/>
        <item m="1" x="906"/>
        <item m="1" x="2341"/>
        <item sd="0" m="1" x="2739"/>
        <item sd="0" x="45"/>
        <item m="1" x="463"/>
        <item m="1" x="924"/>
        <item m="1" x="1925"/>
        <item m="1" x="2342"/>
        <item m="1" x="2343"/>
        <item m="1" x="2344"/>
        <item m="1" x="963"/>
        <item m="1" x="2033"/>
        <item m="1" x="2346"/>
        <item sd="0" m="1" x="2223"/>
        <item sd="0" m="1" x="2715"/>
        <item m="1" x="2613"/>
        <item m="1" x="677"/>
        <item m="1" x="1598"/>
        <item m="1" x="2021"/>
        <item m="1" x="2347"/>
        <item m="1" x="2348"/>
        <item m="1" x="1297"/>
        <item m="1" x="343"/>
        <item m="1" x="2551"/>
        <item m="1" x="353"/>
        <item m="1" x="1964"/>
        <item m="1" x="441"/>
        <item m="1" x="2050"/>
        <item m="1" x="901"/>
        <item m="1" x="1499"/>
        <item m="1" x="450"/>
        <item m="1" x="2654"/>
        <item m="1" x="1646"/>
        <item m="1" x="2466"/>
        <item m="1" x="1860"/>
        <item m="1" x="1299"/>
        <item m="1" x="2028"/>
        <item m="1" x="904"/>
        <item m="1" x="2350"/>
        <item m="1" x="135"/>
        <item m="1" x="2336"/>
        <item m="1" x="2349"/>
        <item m="1" x="2582"/>
        <item sd="0" m="1" x="234"/>
        <item m="1" x="1524"/>
        <item m="1" x="1414"/>
        <item m="1" x="1301"/>
        <item m="1" x="133"/>
        <item m="1" x="507"/>
        <item m="1" x="527"/>
        <item m="1" x="2112"/>
        <item sd="0" m="1" x="214"/>
        <item sd="0" m="1" x="213"/>
        <item m="1" x="1999"/>
        <item m="1" x="2352"/>
        <item m="1" x="1185"/>
        <item m="1" x="74"/>
        <item m="1" x="1311"/>
        <item m="1" x="2607"/>
        <item m="1" x="2151"/>
        <item m="1" x="1755"/>
        <item m="1" x="184"/>
        <item m="1" x="525"/>
        <item m="1" x="1312"/>
        <item m="1" x="1313"/>
        <item m="1" x="543"/>
        <item sd="0" m="1" x="495"/>
        <item m="1" x="2008"/>
        <item m="1" x="1855"/>
        <item m="1" x="944"/>
        <item m="1" x="1081"/>
        <item sd="0" m="1" x="223"/>
        <item m="1" x="2353"/>
        <item m="1" x="138"/>
        <item m="1" x="139"/>
        <item m="1" x="73"/>
        <item m="1" x="1007"/>
        <item m="1" x="2354"/>
        <item m="1" x="898"/>
        <item m="1" x="1756"/>
        <item m="1" x="2355"/>
        <item m="1" x="2356"/>
        <item m="1" x="1970"/>
        <item m="1" x="1985"/>
        <item m="1" x="1381"/>
        <item sd="0" m="1" x="345"/>
        <item m="1" x="797"/>
        <item m="1" x="678"/>
        <item m="1" x="2358"/>
        <item m="1" x="2496"/>
        <item sd="0" m="1" x="346"/>
        <item m="1" x="2661"/>
        <item m="1" x="237"/>
        <item m="1" x="1628"/>
        <item m="1" x="2359"/>
        <item m="1" x="140"/>
        <item m="1" x="1647"/>
        <item m="1" x="1316"/>
        <item m="1" x="1655"/>
        <item m="1" x="1632"/>
        <item m="1" x="1553"/>
        <item m="1" x="1942"/>
        <item m="1" x="1917"/>
        <item sd="0" m="1" x="2683"/>
        <item m="1" x="836"/>
        <item m="1" x="2360"/>
        <item m="1" x="1949"/>
        <item m="1" x="712"/>
        <item m="1" x="2113"/>
        <item m="1" x="1285"/>
        <item m="1" x="271"/>
        <item m="1" x="1319"/>
        <item m="1" x="1011"/>
        <item m="1" x="2361"/>
        <item m="1" x="1357"/>
        <item m="1" x="349"/>
        <item m="1" x="2051"/>
        <item x="3"/>
        <item m="1" x="1963"/>
        <item m="1" x="619"/>
        <item m="1" x="2362"/>
        <item m="1" x="877"/>
        <item m="1" x="1893"/>
        <item m="1" x="1827"/>
        <item sd="0" m="1" x="245"/>
        <item m="1" x="996"/>
        <item m="1" x="384"/>
        <item m="1" x="2363"/>
        <item m="1" x="980"/>
        <item m="1" x="1548"/>
        <item sd="0" m="1" x="2720"/>
        <item m="1" x="949"/>
        <item m="1" x="1102"/>
        <item m="1" x="689"/>
        <item m="1" x="639"/>
        <item m="1" x="1639"/>
        <item m="1" x="1321"/>
        <item m="1" x="1322"/>
        <item m="1" x="2366"/>
        <item m="1" x="528"/>
        <item m="1" x="1973"/>
        <item m="1" x="2553"/>
        <item m="1" x="2590"/>
        <item sd="0" m="1" x="2583"/>
        <item m="1" x="342"/>
        <item m="1" x="1323"/>
        <item m="1" x="2052"/>
        <item m="1" x="1523"/>
        <item m="1" x="1786"/>
        <item m="1" x="1641"/>
        <item m="1" x="1829"/>
        <item m="1" x="681"/>
        <item m="1" x="350"/>
        <item sd="0" m="1" x="2711"/>
        <item m="1" x="1324"/>
        <item m="1" x="390"/>
        <item m="1" x="1725"/>
        <item sd="0" m="1" x="780"/>
        <item sd="0" m="1" x="2621"/>
        <item m="1" x="955"/>
        <item m="1" x="1924"/>
        <item m="1" x="1950"/>
        <item m="1" x="787"/>
        <item sd="0" x="15"/>
        <item m="1" x="798"/>
        <item m="1" x="323"/>
        <item m="1" x="2364"/>
        <item m="1" x="973"/>
        <item m="1" x="142"/>
        <item m="1" x="2365"/>
        <item m="1" x="82"/>
        <item m="1" x="1372"/>
        <item m="1" x="1987"/>
        <item m="1" x="1831"/>
        <item m="1" x="1198"/>
        <item m="1" x="916"/>
        <item m="1" x="2685"/>
        <item m="1" x="1953"/>
        <item sd="0" m="1" x="2703"/>
        <item m="1" x="682"/>
        <item m="1" x="264"/>
        <item m="1" x="2367"/>
        <item m="1" x="524"/>
        <item m="1" x="1328"/>
        <item m="1" x="1389"/>
        <item m="1" x="2369"/>
        <item m="1" x="1758"/>
        <item m="1" x="1821"/>
        <item m="1" x="965"/>
        <item m="1" x="1334"/>
        <item m="1" x="544"/>
        <item m="1" x="2053"/>
        <item m="1" x="2655"/>
        <item m="1" x="1807"/>
        <item m="1" x="2114"/>
        <item m="1" x="1345"/>
        <item m="1" x="2467"/>
        <item m="1" x="2370"/>
        <item m="1" x="964"/>
        <item m="1" x="209"/>
        <item m="1" x="2628"/>
        <item m="1" x="1588"/>
        <item m="1" x="1908"/>
        <item m="1" x="1385"/>
        <item m="1" x="1759"/>
        <item m="1" x="51"/>
        <item m="1" x="2371"/>
        <item m="1" x="1275"/>
        <item sd="0" m="1" x="2677"/>
        <item m="1" x="987"/>
        <item m="1" x="2010"/>
        <item m="1" x="683"/>
        <item m="1" x="1760"/>
        <item m="1" x="2373"/>
        <item m="1" x="864"/>
        <item m="1" x="2054"/>
        <item m="1" x="1945"/>
        <item sd="0" m="1" x="684"/>
        <item m="1" x="572"/>
        <item m="1" x="145"/>
        <item m="1" x="479"/>
        <item m="1" x="1188"/>
        <item m="1" x="799"/>
        <item m="1" x="1833"/>
        <item m="1" x="2375"/>
        <item m="1" x="1761"/>
        <item m="1" x="1883"/>
        <item m="1" x="1048"/>
        <item m="1" x="2568"/>
        <item m="1" x="1891"/>
        <item m="1" x="2376"/>
        <item m="1" x="1716"/>
        <item m="1" x="1642"/>
        <item m="1" x="2377"/>
        <item m="1" x="2432"/>
        <item m="1" x="1542"/>
        <item m="1" x="2691"/>
        <item m="1" x="1370"/>
        <item m="1" x="1133"/>
        <item m="1" x="1636"/>
        <item sd="0" m="1" x="1815"/>
        <item m="1" x="2665"/>
        <item m="1" x="1320"/>
        <item m="1" x="1447"/>
        <item m="1" x="466"/>
        <item m="1" x="1431"/>
        <item m="1" x="481"/>
        <item m="1" x="1307"/>
        <item m="1" x="1527"/>
        <item m="1" x="1077"/>
        <item sd="0" m="1" x="297"/>
        <item m="1" x="2006"/>
        <item m="1" x="147"/>
        <item m="1" x="2378"/>
        <item m="1" x="1199"/>
        <item m="1" x="1452"/>
        <item m="1" x="999"/>
        <item m="1" x="2379"/>
        <item m="1" x="113"/>
        <item m="1" x="355"/>
        <item m="1" x="1196"/>
        <item m="1" x="1075"/>
        <item m="1" x="831"/>
        <item m="1" x="802"/>
        <item m="1" x="1202"/>
        <item m="1" x="2055"/>
        <item m="1" x="1536"/>
        <item m="1" x="568"/>
        <item m="1" x="1038"/>
        <item m="1" x="2025"/>
        <item sd="0" m="1" x="317"/>
        <item m="1" x="1157"/>
        <item m="1" x="154"/>
        <item m="1" x="1300"/>
        <item m="1" x="1485"/>
        <item m="1" x="975"/>
        <item m="1" x="2555"/>
        <item m="1" x="2393"/>
        <item m="1" x="687"/>
        <item sd="0" m="1" x="293"/>
        <item sd="0" m="1" x="262"/>
        <item m="1" x="2673"/>
        <item m="1" x="1068"/>
        <item m="1" x="2394"/>
        <item m="1" x="2604"/>
        <item m="1" x="1059"/>
        <item m="1" x="2626"/>
        <item m="1" x="976"/>
        <item m="1" x="2620"/>
        <item m="1" x="1926"/>
        <item m="1" x="2395"/>
        <item m="1" x="2396"/>
        <item m="1" x="224"/>
        <item m="1" x="263"/>
        <item m="1" x="1530"/>
        <item m="1" x="1692"/>
        <item m="1" x="1227"/>
        <item m="1" x="83"/>
        <item m="1" x="2629"/>
        <item m="1" x="2397"/>
        <item m="1" x="2595"/>
        <item m="1" x="1427"/>
        <item m="1" x="1920"/>
        <item m="1" x="808"/>
        <item m="1" x="1428"/>
        <item m="1" x="810"/>
        <item sd="0" m="1" x="2116"/>
        <item m="1" x="225"/>
        <item m="1" x="2398"/>
        <item m="1" x="1429"/>
        <item m="1" x="2399"/>
        <item m="1" x="688"/>
        <item m="1" x="377"/>
        <item m="1" x="2400"/>
        <item m="1" x="1430"/>
        <item m="1" x="1637"/>
        <item m="1" x="1488"/>
        <item m="1" x="1432"/>
        <item m="1" x="2401"/>
        <item m="1" x="2402"/>
        <item m="1" x="247"/>
        <item sd="0" m="1" x="480"/>
        <item m="1" x="2623"/>
        <item m="1" x="1765"/>
        <item m="1" x="1518"/>
        <item m="1" x="957"/>
        <item m="1" x="2403"/>
        <item m="1" x="885"/>
        <item m="1" x="2405"/>
        <item m="1" x="2082"/>
        <item m="1" x="2060"/>
        <item sd="0" m="1" x="467"/>
        <item m="1" x="1373"/>
        <item m="1" x="2406"/>
        <item m="1" x="1837"/>
        <item m="1" x="912"/>
        <item m="1" x="1576"/>
        <item m="1" x="1394"/>
        <item m="1" x="1448"/>
        <item m="1" x="1422"/>
        <item m="1" x="889"/>
        <item m="1" x="1449"/>
        <item m="1" x="1159"/>
        <item m="1" x="66"/>
        <item m="1" x="1894"/>
        <item m="1" x="314"/>
        <item m="1" x="163"/>
        <item m="1" x="1451"/>
        <item m="1" x="2491"/>
        <item m="1" x="381"/>
        <item m="1" x="2407"/>
        <item m="1" x="2408"/>
        <item m="1" x="2410"/>
        <item m="1" x="2675"/>
        <item m="1" x="1751"/>
        <item m="1" x="2409"/>
        <item m="1" x="382"/>
        <item m="1" x="1483"/>
        <item m="1" x="246"/>
        <item m="1" x="1454"/>
        <item m="1" x="1766"/>
        <item sd="0" m="1" x="55"/>
        <item m="1" x="468"/>
        <item m="1" x="1220"/>
        <item m="1" x="395"/>
        <item m="1" x="1206"/>
        <item sd="0" m="1" x="2727"/>
        <item sd="0" m="1" x="308"/>
        <item m="1" x="1910"/>
        <item m="1" x="1457"/>
        <item m="1" x="1456"/>
        <item m="1" x="1458"/>
        <item m="1" x="624"/>
        <item m="1" x="1444"/>
        <item m="1" x="1787"/>
        <item m="1" x="2566"/>
        <item m="1" x="2411"/>
        <item m="1" x="367"/>
        <item m="1" x="2412"/>
        <item m="1" x="289"/>
        <item m="1" x="2413"/>
        <item m="1" x="1543"/>
        <item m="1" x="2414"/>
        <item m="1" x="1722"/>
        <item m="1" x="170"/>
        <item m="1" x="2404"/>
        <item m="1" x="160"/>
        <item m="1" x="1392"/>
        <item m="1" x="2693"/>
        <item m="1" x="2556"/>
        <item m="1" x="2415"/>
        <item m="1" x="733"/>
        <item m="1" x="1656"/>
        <item sd="0" x="14"/>
        <item m="1" x="1912"/>
        <item m="1" x="1528"/>
        <item m="1" x="1284"/>
        <item m="1" x="165"/>
        <item m="1" x="2270"/>
        <item m="1" x="1914"/>
        <item m="1" x="2653"/>
        <item m="1" x="2118"/>
        <item m="1" x="1390"/>
        <item m="1" x="2034"/>
        <item m="1" x="816"/>
        <item sd="0" m="1" x="166"/>
        <item m="1" x="1281"/>
        <item m="1" x="1395"/>
        <item m="1" x="1471"/>
        <item m="1" x="144"/>
        <item m="1" x="2019"/>
        <item m="1" x="586"/>
        <item m="1" x="2602"/>
        <item m="1" x="2417"/>
        <item m="1" x="2418"/>
        <item m="1" x="817"/>
        <item m="1" x="2636"/>
        <item m="1" x="1409"/>
        <item m="1" x="1472"/>
        <item m="1" x="690"/>
        <item m="1" x="1473"/>
        <item sd="0" m="1" x="2419"/>
        <item m="1" x="2420"/>
        <item m="1" x="915"/>
        <item m="1" x="2421"/>
        <item sd="0" m="1" x="2709"/>
        <item m="1" x="2422"/>
        <item m="1" x="2423"/>
        <item m="1" x="2260"/>
        <item m="1" x="862"/>
        <item m="1" x="2684"/>
        <item m="1" x="882"/>
        <item sd="0" m="1" x="2424"/>
        <item m="1" x="1882"/>
        <item m="1" x="1347"/>
        <item m="1" x="691"/>
        <item m="1" x="2690"/>
        <item m="1" x="351"/>
        <item m="1" x="2139"/>
        <item m="1" x="2469"/>
        <item m="1" x="1034"/>
        <item m="1" x="501"/>
        <item m="1" x="818"/>
        <item m="1" x="819"/>
        <item m="1" x="914"/>
        <item m="1" x="63"/>
        <item m="1" x="2119"/>
        <item m="1" x="656"/>
        <item m="1" x="2425"/>
        <item m="1" x="149"/>
        <item sd="0" m="1" x="387"/>
        <item m="1" x="557"/>
        <item m="1" x="1785"/>
        <item m="1" x="2061"/>
        <item m="1" x="440"/>
        <item m="1" x="2099"/>
        <item m="1" x="2426"/>
        <item m="1" x="995"/>
        <item m="1" x="1767"/>
        <item m="1" x="991"/>
        <item m="1" x="386"/>
        <item sd="0" m="1" x="434"/>
        <item m="1" x="2428"/>
        <item m="1" x="2120"/>
        <item m="1" x="820"/>
        <item sd="0" m="1" x="1994"/>
        <item m="1" x="487"/>
        <item sd="0" m="1" x="95"/>
        <item m="1" x="482"/>
        <item m="1" x="87"/>
        <item m="1" x="1938"/>
        <item m="1" x="2062"/>
        <item m="1" x="371"/>
        <item m="1" x="210"/>
        <item m="1" x="2671"/>
        <item m="1" x="312"/>
        <item m="1" x="1923"/>
        <item m="1" x="120"/>
        <item m="1" x="2429"/>
        <item m="1" x="966"/>
        <item m="1" x="821"/>
        <item m="1" x="2068"/>
        <item m="1" x="1489"/>
        <item m="1" x="1490"/>
        <item m="1" x="1491"/>
        <item m="1" x="2430"/>
        <item m="1" x="1684"/>
        <item m="1" x="1379"/>
        <item m="1" x="1730"/>
        <item m="1" x="1800"/>
        <item m="1" x="162"/>
        <item m="1" x="1314"/>
        <item m="1" x="694"/>
        <item m="1" x="1493"/>
        <item m="1" x="1435"/>
        <item m="1" x="611"/>
        <item m="1" x="1018"/>
        <item m="1" x="2384"/>
        <item m="1" x="2616"/>
        <item m="1" x="2561"/>
        <item m="1" x="1290"/>
        <item m="1" x="1156"/>
        <item m="1" x="401"/>
        <item m="1" x="2142"/>
        <item m="1" x="383"/>
        <item m="1" x="2433"/>
        <item m="1" x="380"/>
        <item m="1" x="2434"/>
        <item m="1" x="1986"/>
        <item m="1" x="695"/>
        <item m="1" x="1688"/>
        <item m="1" x="907"/>
        <item m="1" x="2387"/>
        <item m="1" x="310"/>
        <item m="1" x="168"/>
        <item m="1" x="954"/>
        <item m="1" x="1342"/>
        <item sd="0" m="1" x="328"/>
        <item m="1" x="822"/>
        <item m="1" x="403"/>
        <item m="1" x="1486"/>
        <item m="1" x="339"/>
        <item m="1" x="823"/>
        <item m="1" x="2435"/>
        <item m="1" x="502"/>
        <item m="1" x="565"/>
        <item m="1" x="1501"/>
        <item m="1" x="1023"/>
        <item m="1" x="2436"/>
        <item sd="0" m="1" x="2733"/>
        <item m="1" x="1217"/>
        <item sd="0" m="1" x="800"/>
        <item m="1" x="1467"/>
        <item m="1" x="389"/>
        <item m="1" x="2063"/>
        <item m="1" x="2437"/>
        <item m="1" x="1064"/>
        <item m="1" x="853"/>
        <item m="1" x="936"/>
        <item m="1" x="1596"/>
        <item m="1" x="1502"/>
        <item m="1" x="2438"/>
        <item m="1" x="2129"/>
        <item m="1" x="174"/>
        <item m="1" x="2064"/>
        <item m="1" x="161"/>
        <item m="1" x="931"/>
        <item m="1" x="2584"/>
        <item m="1" x="923"/>
        <item m="1" x="2439"/>
        <item m="1" x="227"/>
        <item m="1" x="1517"/>
        <item m="1" x="2440"/>
        <item x="25"/>
        <item sd="0" m="1" x="392"/>
        <item m="1" x="824"/>
        <item m="1" x="886"/>
        <item m="1" x="1396"/>
        <item m="1" x="1480"/>
        <item m="1" x="2065"/>
        <item m="1" x="1680"/>
        <item m="1" x="1511"/>
        <item m="1" x="393"/>
        <item m="1" x="2441"/>
        <item m="1" x="1792"/>
        <item m="1" x="172"/>
        <item m="1" x="1967"/>
        <item m="1" x="1512"/>
        <item m="1" x="825"/>
        <item m="1" x="71"/>
        <item m="1" x="1944"/>
        <item m="1" x="2594"/>
        <item m="1" x="2382"/>
        <item m="1" x="1665"/>
        <item m="1" x="2442"/>
        <item m="1" x="375"/>
        <item m="1" x="985"/>
        <item m="1" x="257"/>
        <item m="1" x="1119"/>
        <item m="1" x="2443"/>
        <item m="1" x="721"/>
        <item m="1" x="2444"/>
        <item m="1" x="1376"/>
        <item m="1" x="670"/>
        <item m="1" x="1768"/>
        <item m="1" x="2445"/>
        <item m="1" x="1943"/>
        <item m="1" x="67"/>
        <item m="1" x="1222"/>
        <item m="1" x="2070"/>
        <item m="1" x="180"/>
        <item sd="0" m="1" x="124"/>
        <item m="1" x="1968"/>
        <item m="1" x="396"/>
        <item m="1" x="1525"/>
        <item m="1" x="1295"/>
        <item sd="0" m="1" x="340"/>
        <item m="1" x="2447"/>
        <item m="1" x="422"/>
        <item m="1" x="2448"/>
        <item m="1" x="563"/>
        <item m="1" x="893"/>
        <item m="1" x="894"/>
        <item m="1" x="696"/>
        <item m="1" x="2450"/>
        <item m="1" x="1066"/>
        <item m="1" x="2066"/>
        <item m="1" x="2646"/>
        <item sd="0" m="1" x="2570"/>
        <item m="1" x="1443"/>
        <item m="1" x="226"/>
        <item m="1" x="157"/>
        <item m="1" x="1383"/>
        <item m="1" x="940"/>
        <item m="1" x="2014"/>
        <item m="1" x="697"/>
        <item m="1" x="698"/>
        <item m="1" x="587"/>
        <item m="1" x="2451"/>
        <item m="1" x="1580"/>
        <item m="1" x="2532"/>
        <item m="1" x="253"/>
        <item m="1" x="1814"/>
        <item m="1" x="1118"/>
        <item m="1" x="1180"/>
        <item m="1" x="827"/>
        <item m="1" x="2121"/>
        <item m="1" x="1619"/>
        <item m="1" x="1035"/>
        <item sd="0" m="1" x="2723"/>
        <item m="1" x="2639"/>
        <item m="1" x="2009"/>
        <item m="1" x="119"/>
        <item m="1" x="1534"/>
        <item m="1" x="2452"/>
        <item m="1" x="1291"/>
        <item m="1" x="398"/>
        <item m="1" x="1728"/>
        <item m="1" x="2316"/>
        <item m="1" x="1560"/>
        <item m="1" x="2619"/>
        <item m="1" x="469"/>
        <item m="1" x="1769"/>
        <item m="1" x="1889"/>
        <item sd="0" m="1" x="699"/>
        <item sd="0" m="1" x="2732"/>
        <item m="1" x="569"/>
        <item m="1" x="803"/>
        <item x="17"/>
        <item m="1" x="2453"/>
        <item m="1" x="1995"/>
        <item m="1" x="2454"/>
        <item m="1" x="1296"/>
        <item m="1" x="1866"/>
        <item m="1" x="1731"/>
        <item sd="0" m="1" x="1537"/>
        <item m="1" x="1609"/>
        <item m="1" x="2574"/>
        <item m="1" x="1538"/>
        <item m="1" x="483"/>
        <item m="1" x="1603"/>
        <item m="1" x="178"/>
        <item m="1" x="1791"/>
        <item m="1" x="1840"/>
        <item m="1" x="958"/>
        <item m="1" x="402"/>
        <item sd="0" m="1" x="258"/>
        <item sd="0" m="1" x="2725"/>
        <item m="1" x="1033"/>
        <item m="1" x="1798"/>
        <item m="1" x="1013"/>
        <item m="1" x="186"/>
        <item m="1" x="1916"/>
        <item m="1" x="968"/>
        <item m="1" x="2599"/>
        <item m="1" x="2140"/>
        <item m="1" x="796"/>
        <item m="1" x="1540"/>
        <item m="1" x="1541"/>
        <item m="1" x="701"/>
        <item m="1" x="1856"/>
        <item m="1" x="897"/>
        <item m="1" x="1857"/>
        <item m="1" x="2455"/>
        <item m="1" x="2660"/>
        <item m="1" x="1115"/>
        <item m="1" x="2471"/>
        <item m="1" x="1896"/>
        <item m="1" x="680"/>
        <item m="1" x="705"/>
        <item m="1" x="446"/>
        <item m="1" x="1350"/>
        <item sd="0" m="1" x="600"/>
        <item m="1" x="1001"/>
        <item m="1" x="702"/>
        <item m="1" x="1545"/>
        <item x="2"/>
        <item m="1" x="531"/>
        <item sd="0" m="1" x="634"/>
        <item m="1" x="814"/>
        <item sd="0" m="1" x="556"/>
        <item sd="0" x="21"/>
        <item m="1" x="2679"/>
        <item sd="0" m="1" x="1190"/>
        <item m="1" x="1823"/>
        <item m="1" x="790"/>
        <item m="1" x="2696"/>
        <item m="1" x="1127"/>
        <item m="1" x="845"/>
        <item m="1" x="347"/>
        <item m="1" x="1559"/>
        <item m="1" x="1116"/>
        <item m="1" x="1839"/>
        <item m="1" x="1721"/>
        <item m="1" x="1144"/>
        <item m="1" x="1107"/>
        <item m="1" x="888"/>
        <item sd="0" m="1" x="1332"/>
        <item m="1" x="1845"/>
        <item sd="0" m="1" x="522"/>
        <item sd="0" m="1" x="1714"/>
        <item m="1" x="1841"/>
        <item m="1" x="627"/>
        <item m="1" x="409"/>
        <item m="1" x="1040"/>
        <item m="1" x="1862"/>
        <item m="1" x="1969"/>
        <item m="1" x="379"/>
        <item m="1" x="1988"/>
        <item m="1" x="703"/>
        <item m="1" x="187"/>
        <item m="1" x="470"/>
        <item sd="0" m="1" x="2122"/>
        <item m="1" x="1838"/>
        <item m="1" x="1564"/>
        <item m="1" x="198"/>
        <item x="39"/>
        <item m="1" x="913"/>
        <item m="1" x="1867"/>
        <item m="1" x="2458"/>
        <item m="1" x="1529"/>
        <item m="1" x="2459"/>
        <item m="1" x="2460"/>
        <item m="1" x="2462"/>
        <item m="1" x="830"/>
        <item m="1" x="704"/>
        <item m="1" x="2609"/>
        <item m="1" x="305"/>
        <item m="1" x="953"/>
        <item m="1" x="977"/>
        <item m="1" x="2463"/>
        <item m="1" x="2591"/>
        <item sd="0" m="1" x="2299"/>
        <item m="1" x="189"/>
        <item m="1" x="2381"/>
        <item m="1" x="2662"/>
        <item m="1" x="228"/>
        <item sd="0" m="1" x="2457"/>
        <item m="1" x="2032"/>
        <item m="1" x="961"/>
        <item m="1" x="1610"/>
        <item m="1" x="229"/>
        <item m="1" x="1772"/>
        <item m="1" x="1567"/>
        <item m="1" x="362"/>
        <item m="1" x="1029"/>
        <item m="1" x="829"/>
        <item m="1" x="1582"/>
        <item m="1" x="447"/>
        <item m="1" x="1150"/>
        <item sd="0" m="1" x="2736"/>
        <item m="1" x="1178"/>
        <item m="1" x="1514"/>
        <item m="1" x="1583"/>
        <item m="1" x="1584"/>
        <item m="1" x="1134"/>
        <item m="1" x="707"/>
        <item m="1" x="1561"/>
        <item m="1" x="2472"/>
        <item m="1" x="2011"/>
        <item m="1" x="1585"/>
        <item m="1" x="1338"/>
        <item m="1" x="909"/>
        <item sd="0" m="1" x="700"/>
        <item m="1" x="77"/>
        <item sd="0" m="1" x="2562"/>
        <item m="1" x="1586"/>
        <item m="1" x="2473"/>
        <item m="1" x="1685"/>
        <item m="1" x="564"/>
        <item m="1" x="1110"/>
        <item x="30"/>
        <item m="1" x="2474"/>
        <item m="1" x="2576"/>
        <item m="1" x="2610"/>
        <item m="1" x="1696"/>
        <item m="1" x="1051"/>
        <item m="1" x="2475"/>
        <item m="1" x="2476"/>
        <item m="1" x="1629"/>
        <item m="1" x="2477"/>
        <item m="1" x="1922"/>
        <item m="1" x="2479"/>
        <item m="1" x="2478"/>
        <item m="1" x="1676"/>
        <item m="1" x="1965"/>
        <item m="1" x="2695"/>
        <item m="1" x="496"/>
        <item m="1" x="1990"/>
        <item m="1" x="2689"/>
        <item m="1" x="1590"/>
        <item m="1" x="1155"/>
        <item m="1" x="881"/>
        <item m="1" x="2480"/>
        <item x="11"/>
        <item m="1" x="1960"/>
        <item m="1" x="2481"/>
        <item m="1" x="520"/>
        <item m="1" x="1028"/>
        <item m="1" x="352"/>
        <item m="1" x="2482"/>
        <item m="1" x="504"/>
        <item m="1" x="1496"/>
        <item m="1" x="928"/>
        <item m="1" x="2468"/>
        <item m="1" x="1024"/>
        <item m="1" x="1854"/>
        <item m="1" x="2483"/>
        <item m="1" x="1593"/>
        <item m="1" x="2680"/>
        <item m="1" x="1061"/>
        <item m="1" x="243"/>
        <item m="1" x="191"/>
        <item m="1" x="1579"/>
        <item m="1" x="1595"/>
        <item sd="0" m="1" x="192"/>
        <item m="1" x="298"/>
        <item m="1" x="1601"/>
        <item m="1" x="962"/>
        <item m="1" x="2485"/>
        <item m="1" x="2124"/>
        <item m="1" x="1421"/>
        <item m="1" x="2005"/>
        <item m="1" x="1648"/>
        <item m="1" x="2125"/>
        <item m="1" x="1184"/>
        <item m="1" x="2676"/>
        <item m="1" x="1604"/>
        <item m="1" x="1558"/>
        <item m="1" x="194"/>
        <item m="1" x="2126"/>
        <item sd="0" m="1" x="307"/>
        <item m="1" x="588"/>
        <item m="1" x="1168"/>
        <item m="1" x="193"/>
        <item m="1" x="972"/>
        <item m="1" x="413"/>
        <item m="1" x="414"/>
        <item sd="0" m="1" x="415"/>
        <item m="1" x="169"/>
        <item m="1" x="416"/>
        <item m="1" x="1445"/>
        <item m="1" x="833"/>
        <item m="1" x="2486"/>
        <item m="1" x="1570"/>
        <item m="1" x="855"/>
        <item m="1" x="1533"/>
        <item m="1" x="2487"/>
        <item sd="0" m="1" x="1842"/>
        <item m="1" x="1773"/>
        <item m="1" x="2488"/>
        <item m="1" x="1563"/>
        <item m="1" x="902"/>
        <item m="1" x="435"/>
        <item m="1" x="860"/>
        <item m="1" x="1121"/>
        <item m="1" x="708"/>
        <item m="1" x="2490"/>
        <item m="1" x="542"/>
        <item m="1" x="1607"/>
        <item m="1" x="1608"/>
        <item m="1" x="1335"/>
        <item sd="0" m="1" x="2719"/>
        <item m="1" x="1864"/>
        <item m="1" x="742"/>
        <item m="1" x="2368"/>
        <item m="1" x="832"/>
        <item m="1" x="1117"/>
        <item m="1" x="239"/>
        <item m="1" x="1426"/>
        <item m="1" x="2492"/>
        <item m="1" x="2493"/>
        <item m="1" x="196"/>
        <item m="1" x="2494"/>
        <item m="1" x="278"/>
        <item sd="0" m="1" x="2740"/>
        <item m="1" x="2069"/>
        <item m="1" x="1797"/>
        <item m="1" x="143"/>
        <item m="1" x="1611"/>
        <item sd="0" x="42"/>
        <item m="1" x="608"/>
        <item m="1" x="1848"/>
        <item m="1" x="602"/>
        <item m="1" x="1858"/>
        <item m="1" x="1849"/>
        <item m="1" x="1976"/>
        <item m="1" x="1929"/>
        <item m="1" x="603"/>
        <item m="1" x="770"/>
        <item m="1" x="1850"/>
        <item sd="0" m="1" x="601"/>
        <item sd="0" m="1" x="606"/>
        <item m="1" x="610"/>
        <item m="1" x="1852"/>
        <item m="1" x="515"/>
        <item sd="0" x="29"/>
        <item m="1" x="1661"/>
        <item x="41"/>
        <item sd="0" m="1" x="596"/>
        <item sd="0" m="1" x="1662"/>
        <item m="1" x="514"/>
        <item m="1" x="595"/>
        <item m="1" x="1977"/>
        <item m="1" x="1358"/>
        <item m="1" x="1847"/>
        <item m="1" x="605"/>
        <item m="1" x="1846"/>
        <item sd="0" m="1" x="609"/>
        <item sd="0" m="1" x="604"/>
        <item sd="0" x="28"/>
        <item sd="0" m="1" x="2730"/>
        <item sd="0" m="1" x="2735"/>
        <item sd="0" x="26"/>
        <item m="1" x="857"/>
        <item m="1" x="1861"/>
        <item m="1" x="2027"/>
        <item sd="0" m="1" x="2035"/>
        <item m="1" x="1881"/>
        <item sd="0" m="1" x="92"/>
        <item m="1" x="1666"/>
        <item m="1" x="1974"/>
        <item m="1" x="1017"/>
        <item m="1" x="805"/>
        <item m="1" x="2699"/>
        <item m="1" x="2427"/>
        <item m="1" x="2446"/>
        <item m="1" x="151"/>
        <item m="1" x="709"/>
        <item m="1" x="1659"/>
        <item m="1" x="421"/>
        <item m="1" x="2067"/>
        <item m="1" x="2495"/>
        <item sd="0" m="1" x="921"/>
        <item sd="0" m="1" x="2238"/>
        <item sd="0" m="1" x="2738"/>
        <item m="1" x="1423"/>
        <item sd="0" m="1" x="582"/>
        <item m="1" x="2123"/>
        <item m="1" x="70"/>
        <item m="1" x="2497"/>
        <item m="1" x="325"/>
        <item m="1" x="2156"/>
        <item m="1" x="2498"/>
        <item sd="0" m="1" x="2461"/>
        <item m="1" x="1234"/>
        <item m="1" x="934"/>
        <item m="1" x="2672"/>
        <item m="1" x="1067"/>
        <item sd="0" m="1" x="2256"/>
        <item m="1" x="1308"/>
        <item m="1" x="1669"/>
        <item m="1" x="1446"/>
        <item m="1" x="1154"/>
        <item m="1" x="2127"/>
        <item m="1" x="423"/>
        <item m="1" x="1400"/>
        <item m="1" x="424"/>
        <item m="1" x="1958"/>
        <item m="1" x="197"/>
        <item m="1" x="2499"/>
        <item m="1" x="1673"/>
        <item m="1" x="517"/>
        <item m="1" x="1477"/>
        <item m="1" x="2500"/>
        <item m="1" x="1808"/>
        <item m="1" x="892"/>
        <item m="1" x="1138"/>
        <item m="1" x="275"/>
        <item m="1" x="834"/>
        <item m="1" x="79"/>
        <item m="1" x="910"/>
        <item m="1" x="136"/>
        <item m="1" x="203"/>
        <item m="1" x="2575"/>
        <item m="1" x="2585"/>
        <item m="1" x="939"/>
        <item m="1" x="1366"/>
        <item m="1" x="1136"/>
        <item m="1" x="1605"/>
        <item sd="0" m="1" x="1226"/>
        <item m="1" x="484"/>
        <item m="1" x="1677"/>
        <item sd="0" m="1" x="2714"/>
        <item m="1" x="993"/>
        <item m="1" x="1387"/>
        <item m="1" x="1678"/>
        <item m="1" x="1895"/>
        <item m="1" x="1365"/>
        <item m="1" x="1649"/>
        <item m="1" x="1620"/>
        <item m="1" x="1599"/>
        <item m="1" x="1122"/>
        <item m="1" x="489"/>
        <item m="1" x="1352"/>
        <item m="1" x="1616"/>
        <item m="1" x="835"/>
        <item m="1" x="2515"/>
        <item m="1" x="230"/>
        <item m="1" x="533"/>
        <item m="1" x="2501"/>
        <item m="1" x="261"/>
        <item sd="0" m="1" x="201"/>
        <item m="1" x="285"/>
        <item m="1" x="2502"/>
        <item m="1" x="1187"/>
        <item m="1" x="552"/>
        <item m="1" x="2503"/>
        <item sd="0" m="1" x="630"/>
        <item m="1" x="859"/>
        <item m="1" x="1975"/>
        <item m="1" x="2504"/>
        <item sd="0" m="1" x="2713"/>
        <item sd="0" m="1" x="2694"/>
        <item m="1" x="1076"/>
        <item m="1" x="905"/>
        <item m="1" x="2514"/>
        <item m="1" x="1828"/>
        <item m="1" x="1164"/>
        <item m="1" x="1415"/>
        <item m="1" x="2587"/>
        <item m="1" x="2698"/>
        <item m="1" x="1697"/>
        <item m="1" x="1401"/>
        <item m="1" x="1292"/>
        <item m="1" x="2505"/>
        <item m="1" x="2702"/>
        <item m="1" x="280"/>
        <item m="1" x="879"/>
        <item m="1" x="937"/>
        <item x="34"/>
        <item m="1" x="365"/>
        <item m="1" x="1566"/>
        <item m="1" x="710"/>
        <item m="1" x="490"/>
        <item sd="0" m="1" x="493"/>
        <item m="1" x="711"/>
        <item m="1" x="400"/>
        <item m="1" x="2507"/>
        <item m="1" x="2624"/>
        <item m="1" x="632"/>
        <item m="1" x="2189"/>
        <item m="1" x="1631"/>
        <item sd="0" m="1" x="2706"/>
        <item sd="0" m="1" x="729"/>
        <item m="1" x="2617"/>
        <item x="24"/>
        <item m="1" x="1331"/>
        <item m="1" x="838"/>
        <item m="1" x="2022"/>
        <item m="1" x="1689"/>
        <item m="1" x="1690"/>
        <item m="1" x="2308"/>
        <item m="1" x="1794"/>
        <item m="1" x="1173"/>
        <item m="1" x="651"/>
        <item m="1" x="2652"/>
        <item m="1" x="1101"/>
        <item m="1" x="2128"/>
        <item m="1" x="613"/>
        <item sd="0" m="1" x="137"/>
        <item m="1" x="813"/>
        <item m="1" x="2603"/>
        <item m="1" x="1343"/>
        <item m="1" x="2509"/>
        <item sd="0" m="1" x="839"/>
        <item m="1" x="1691"/>
        <item m="1" x="121"/>
        <item m="1" x="425"/>
        <item m="1" x="2431"/>
        <item m="1" x="1890"/>
        <item m="1" x="1776"/>
        <item m="1" x="1904"/>
        <item m="1" x="2144"/>
        <item m="1" x="62"/>
        <item m="1" x="1055"/>
        <item m="1" x="840"/>
        <item m="1" x="2383"/>
        <item m="1" x="1578"/>
        <item m="1" x="2510"/>
        <item m="1" x="1660"/>
        <item m="1" x="485"/>
        <item m="1" x="1207"/>
        <item m="1" x="1693"/>
        <item m="1" x="1663"/>
        <item m="1" x="1657"/>
        <item m="1" x="858"/>
        <item m="1" x="2511"/>
        <item m="1" x="2001"/>
        <item m="1" x="841"/>
        <item m="1" x="1411"/>
        <item m="1" x="837"/>
        <item m="1" x="2597"/>
        <item m="1" x="1694"/>
        <item m="1" x="1801"/>
        <item m="1" x="1695"/>
        <item m="1" x="1681"/>
        <item m="1" x="1587"/>
        <item m="1" x="1160"/>
        <item m="1" x="1569"/>
        <item m="1" x="998"/>
        <item m="1" x="856"/>
        <item m="1" x="1166"/>
        <item m="1" x="2512"/>
        <item m="1" x="150"/>
        <item m="1" x="2149"/>
        <item m="1" x="1223"/>
        <item m="1" x="212"/>
        <item m="1" x="918"/>
        <item m="1" x="1989"/>
        <item m="1" x="1979"/>
        <item m="1" x="2268"/>
        <item m="1" x="56"/>
        <item m="1" x="1562"/>
        <item m="1" x="1581"/>
        <item m="1" x="2390"/>
        <item m="1" x="969"/>
        <item sd="0" m="1" x="473"/>
        <item m="1" x="843"/>
        <item m="1" x="1625"/>
        <item m="1" x="935"/>
        <item m="1" x="2023"/>
        <item m="1" x="1462"/>
        <item m="1" x="2666"/>
        <item m="1" x="2024"/>
        <item x="9"/>
        <item m="1" x="1698"/>
        <item m="1" x="1375"/>
        <item m="1" x="1699"/>
        <item m="1" x="179"/>
        <item m="1" x="2148"/>
        <item m="1" x="589"/>
        <item m="1" x="558"/>
        <item m="1" x="1019"/>
        <item m="1" x="69"/>
        <item m="1" x="199"/>
        <item m="1" x="844"/>
        <item m="1" x="714"/>
        <item m="1" x="2449"/>
        <item m="1" x="715"/>
        <item m="1" x="1670"/>
        <item m="1" x="1407"/>
        <item m="1" x="2130"/>
        <item m="1" x="1702"/>
        <item m="1" x="427"/>
        <item sd="0" m="1" x="190"/>
        <item m="1" x="1479"/>
        <item m="1" x="679"/>
        <item m="1" x="716"/>
        <item sd="0" m="1" x="65"/>
        <item m="1" x="1703"/>
        <item m="1" x="1851"/>
        <item m="1" x="717"/>
        <item m="1" x="486"/>
        <item m="1" x="231"/>
        <item m="1" x="2079"/>
        <item m="1" x="2131"/>
        <item m="1" x="1626"/>
        <item m="1" x="2516"/>
        <item m="1" x="1374"/>
        <item m="1" x="1280"/>
        <item m="1" x="927"/>
        <item m="1" x="299"/>
        <item sd="0" m="1" x="2734"/>
        <item sd="0" m="1" x="1843"/>
        <item m="1" x="1991"/>
        <item m="1" x="200"/>
        <item m="1" x="1859"/>
        <item m="1" x="86"/>
        <item m="1" x="1268"/>
        <item m="1" x="1417"/>
        <item m="1" x="1706"/>
        <item m="1" x="1269"/>
        <item m="1" x="2132"/>
        <item m="1" x="989"/>
        <item m="1" x="1704"/>
        <item sd="0" m="1" x="637"/>
        <item sd="0" m="1" x="706"/>
        <item sd="0" m="1" x="640"/>
        <item m="1" x="842"/>
        <item m="1" x="105"/>
        <item m="1" x="173"/>
        <item m="1" x="1495"/>
        <item m="1" x="896"/>
        <item m="1" x="2517"/>
        <item m="1" x="2518"/>
        <item m="1" x="982"/>
        <item m="1" x="2519"/>
        <item m="1" x="718"/>
        <item m="1" x="1705"/>
        <item m="1" x="1519"/>
        <item m="1" x="2644"/>
        <item m="1" x="2640"/>
        <item m="1" x="2520"/>
        <item m="1" x="1025"/>
        <item m="1" x="1182"/>
        <item m="1" x="1946"/>
        <item m="1" x="1635"/>
        <item m="1" x="984"/>
        <item m="1" x="1274"/>
        <item m="1" x="2521"/>
        <item m="1" x="1633"/>
        <item m="1" x="2522"/>
        <item m="1" x="861"/>
        <item m="1" x="1707"/>
        <item m="1" x="1834"/>
        <item m="1" x="1634"/>
        <item m="1" x="2700"/>
        <item m="1" x="127"/>
        <item m="1" x="1032"/>
        <item m="1" x="2203"/>
        <item m="1" x="1404"/>
        <item m="1" x="1494"/>
        <item m="1" x="1770"/>
        <item m="1" x="1983"/>
        <item m="1" x="2523"/>
        <item m="1" x="1709"/>
        <item m="1" x="1777"/>
        <item m="1" x="2525"/>
        <item m="1" x="719"/>
        <item m="1" x="1927"/>
        <item m="1" x="1996"/>
        <item m="1" x="846"/>
        <item m="1" x="2526"/>
        <item m="1" x="2392"/>
        <item m="1" x="519"/>
        <item m="1" x="1086"/>
        <item m="1" x="2059"/>
        <item m="1" x="598"/>
        <item m="1" x="757"/>
        <item m="1" x="535"/>
        <item m="1" x="2133"/>
        <item m="1" x="2527"/>
        <item m="1" x="204"/>
        <item m="1" x="720"/>
        <item x="35"/>
        <item m="1" x="1713"/>
        <item m="1" x="1014"/>
        <item m="1" x="1424"/>
        <item m="1" x="941"/>
        <item sd="0" m="1" x="2712"/>
        <item m="1" x="420"/>
        <item m="1" x="2528"/>
        <item m="1" x="1391"/>
        <item m="1" x="2012"/>
        <item m="1" x="2573"/>
        <item m="1" x="938"/>
        <item m="1" x="2134"/>
        <item m="1" x="267"/>
        <item m="1" x="2529"/>
        <item m="1" x="1293"/>
        <item m="1" x="614"/>
        <item sd="0" m="1" x="2722"/>
        <item sd="0" m="1" x="2593"/>
        <item m="1" x="1416"/>
        <item m="1" x="324"/>
        <item m="1" x="428"/>
        <item m="1" x="2530"/>
        <item m="1" x="2029"/>
        <item m="1" x="723"/>
        <item m="1" x="2259"/>
        <item m="1" x="541"/>
        <item m="1" x="1618"/>
        <item m="1" x="1674"/>
        <item m="1" x="1778"/>
        <item m="1" x="911"/>
        <item m="1" x="2531"/>
        <item m="1" x="847"/>
        <item x="23"/>
        <item m="1" x="478"/>
        <item m="1" x="848"/>
        <item m="1" x="929"/>
        <item m="1" x="1844"/>
        <item m="1" x="1715"/>
        <item m="1" x="1710"/>
        <item m="1" x="1004"/>
        <item m="1" x="726"/>
        <item m="1" x="2135"/>
        <item m="1" x="1353"/>
        <item m="1" x="1717"/>
        <item m="1" x="1779"/>
        <item sd="0" m="1" x="465"/>
        <item m="1" x="1260"/>
        <item m="1" x="974"/>
        <item m="1" x="2533"/>
        <item m="1" x="188"/>
        <item m="1" x="2647"/>
        <item m="1" x="2686"/>
        <item m="1" x="866"/>
        <item m="1" x="1811"/>
        <item sd="0" m="1" x="812"/>
        <item x="43"/>
        <item m="1" x="1718"/>
        <item m="1" x="1719"/>
        <item m="1" x="1398"/>
        <item m="1" x="1720"/>
        <item sd="0" m="1" x="2728"/>
        <item sd="0" m="1" x="128"/>
        <item m="1" x="205"/>
        <item m="1" x="686"/>
        <item m="1" x="2622"/>
        <item m="1" x="1780"/>
        <item m="1" x="685"/>
        <item m="1" x="2416"/>
        <item m="1" x="2705"/>
        <item m="1" x="1333"/>
        <item m="1" x="1667"/>
        <item m="1" x="2136"/>
        <item m="1" x="1781"/>
        <item sd="0" m="1" x="329"/>
        <item m="1" x="1724"/>
        <item m="1" x="206"/>
        <item m="1" x="153"/>
        <item sd="0" m="1" x="2643"/>
        <item m="1" x="849"/>
        <item m="1" x="854"/>
        <item m="1" x="2631"/>
        <item sd="0" m="1" x="471"/>
        <item m="1" x="2535"/>
        <item m="1" x="1902"/>
        <item m="1" x="722"/>
        <item m="1" x="540"/>
        <item m="1" x="2255"/>
        <item m="1" x="850"/>
        <item m="1" x="183"/>
        <item m="1" x="693"/>
        <item m="1" x="644"/>
        <item m="1" x="1726"/>
        <item m="1" x="967"/>
        <item sd="0" m="1" x="2117"/>
        <item m="1" x="397"/>
        <item m="1" x="1504"/>
        <item sd="0" x="40"/>
        <item sd="0" m="1" x="2729"/>
        <item m="1" x="1273"/>
        <item m="1" x="2536"/>
        <item m="1" x="2470"/>
        <item m="1" x="429"/>
        <item m="1" x="2537"/>
        <item m="1" x="2538"/>
        <item m="1" x="2569"/>
        <item m="1" x="2539"/>
        <item m="1" x="1460"/>
        <item m="1" x="2058"/>
        <item m="1" x="2540"/>
        <item m="1" x="942"/>
        <item m="1" x="2031"/>
        <item m="1" x="1597"/>
        <item m="1" x="2541"/>
        <item m="1" x="1325"/>
        <item m="1" x="2071"/>
        <item m="1" x="828"/>
        <item m="1" x="430"/>
        <item m="1" x="1356"/>
        <item m="1" x="1031"/>
        <item x="16"/>
        <item m="1" x="1957"/>
        <item m="1" x="1434"/>
        <item m="1" x="874"/>
        <item sd="0" m="1" x="2542"/>
        <item m="1" x="2543"/>
        <item m="1" x="249"/>
        <item m="1" x="207"/>
        <item m="1" x="2544"/>
        <item m="1" x="2545"/>
        <item m="1" x="2137"/>
        <item m="1" x="2138"/>
        <item m="1" x="1002"/>
        <item m="1" x="134"/>
        <item m="1" x="1732"/>
        <item m="1" x="1326"/>
        <item sd="0" m="1" x="155"/>
        <item m="1" x="211"/>
        <item m="1" x="1161"/>
        <item x="36"/>
        <item sd="0" m="1" x="141"/>
        <item m="1" x="2548"/>
        <item m="1" x="508"/>
        <item m="1" x="930"/>
        <item m="1" x="571"/>
        <item m="1" x="2372"/>
        <item m="1" x="2357"/>
        <item sd="0" m="1" x="241"/>
        <item m="1" x="1733"/>
        <item m="1" x="1734"/>
        <item m="1" x="431"/>
        <item m="1" x="851"/>
        <item m="1" x="2546"/>
        <item m="1" x="532"/>
        <item m="1" x="1521"/>
        <item m="1" x="1554"/>
        <item m="1" x="2547"/>
        <item m="1" x="1782"/>
        <item m="1" x="1903"/>
        <item m="1" x="2549"/>
        <item m="1" x="1735"/>
        <item m="1" x="1650"/>
        <item m="1" x="1736"/>
        <item sd="0" m="1" x="2708"/>
        <item t="default" sd="0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4"/>
    <field x="0"/>
  </rowFields>
  <rowItems count="7">
    <i>
      <x v="31"/>
    </i>
    <i r="1">
      <x v="67"/>
    </i>
    <i>
      <x v="1290"/>
    </i>
    <i r="1">
      <x v="12"/>
    </i>
    <i>
      <x v="1485"/>
    </i>
    <i>
      <x v="1715"/>
    </i>
    <i t="grand">
      <x/>
    </i>
  </rowItems>
  <colItems count="1">
    <i/>
  </colItems>
  <pageFields count="1">
    <pageField fld="3" hier="-1"/>
  </pageFields>
  <dataFields count="1">
    <dataField name="Total" fld="9" baseField="0" baseItem="0" numFmtId="44"/>
  </dataFields>
  <formats count="9">
    <format dxfId="105">
      <pivotArea collapsedLevelsAreSubtotals="1" fieldPosition="0">
        <references count="1">
          <reference field="4" count="1">
            <x v="275"/>
          </reference>
        </references>
      </pivotArea>
    </format>
    <format dxfId="104">
      <pivotArea collapsedLevelsAreSubtotals="1" fieldPosition="0">
        <references count="1">
          <reference field="4" count="1">
            <x v="664"/>
          </reference>
        </references>
      </pivotArea>
    </format>
    <format dxfId="103">
      <pivotArea collapsedLevelsAreSubtotals="1" fieldPosition="0">
        <references count="1">
          <reference field="4" count="1">
            <x v="789"/>
          </reference>
        </references>
      </pivotArea>
    </format>
    <format dxfId="102">
      <pivotArea collapsedLevelsAreSubtotals="1" fieldPosition="0">
        <references count="1">
          <reference field="4" count="1">
            <x v="1446"/>
          </reference>
        </references>
      </pivotArea>
    </format>
    <format dxfId="101">
      <pivotArea collapsedLevelsAreSubtotals="1" fieldPosition="0">
        <references count="1">
          <reference field="4" count="1">
            <x v="1688"/>
          </reference>
        </references>
      </pivotArea>
    </format>
    <format dxfId="100">
      <pivotArea collapsedLevelsAreSubtotals="1" fieldPosition="0">
        <references count="1">
          <reference field="4" count="1">
            <x v="1989"/>
          </reference>
        </references>
      </pivotArea>
    </format>
    <format dxfId="99">
      <pivotArea dataOnly="0" labelOnly="1" fieldPosition="0">
        <references count="1">
          <reference field="4" count="6">
            <x v="275"/>
            <x v="664"/>
            <x v="789"/>
            <x v="1446"/>
            <x v="1688"/>
            <x v="1989"/>
          </reference>
        </references>
      </pivotArea>
    </format>
    <format dxfId="98">
      <pivotArea field="4" type="button" dataOnly="0" labelOnly="1" outline="0" axis="axisRow" fieldPosition="0"/>
    </format>
    <format dxfId="97">
      <pivotArea dataOnly="0" labelOnly="1" outline="0" axis="axisValues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DA5A05-9DC7-0340-83D5-F73E271CDF6C}" name="PivotTable6" cacheId="42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D4:E22" firstHeaderRow="1" firstDataRow="1" firstDataCol="1" rowPageCount="1" colPageCount="1"/>
  <pivotFields count="15">
    <pivotField showAll="0"/>
    <pivotField numFmtId="165" showAll="0"/>
    <pivotField axis="axisRow" showAll="0" measureFilter="1" sortType="ascending">
      <items count="537">
        <item m="1" x="433"/>
        <item x="0"/>
        <item x="1"/>
        <item x="2"/>
        <item m="1" x="209"/>
        <item x="3"/>
        <item m="1" x="352"/>
        <item m="1" x="358"/>
        <item m="1" x="215"/>
        <item m="1" x="182"/>
        <item m="1" x="297"/>
        <item m="1" x="373"/>
        <item m="1" x="192"/>
        <item m="1" x="381"/>
        <item m="1" x="202"/>
        <item m="1" x="303"/>
        <item x="4"/>
        <item x="5"/>
        <item x="6"/>
        <item m="1" x="533"/>
        <item m="1" x="295"/>
        <item m="1" x="184"/>
        <item m="1" x="488"/>
        <item x="7"/>
        <item m="1" x="510"/>
        <item x="8"/>
        <item x="9"/>
        <item x="10"/>
        <item m="1" x="426"/>
        <item x="11"/>
        <item x="12"/>
        <item x="13"/>
        <item x="14"/>
        <item m="1" x="413"/>
        <item m="1" x="518"/>
        <item m="1" x="385"/>
        <item m="1" x="392"/>
        <item x="15"/>
        <item x="16"/>
        <item m="1" x="504"/>
        <item x="17"/>
        <item m="1" x="447"/>
        <item m="1" x="481"/>
        <item x="18"/>
        <item x="19"/>
        <item m="1" x="347"/>
        <item m="1" x="354"/>
        <item m="1" x="411"/>
        <item m="1" x="418"/>
        <item m="1" x="186"/>
        <item x="20"/>
        <item m="1" x="277"/>
        <item m="1" x="214"/>
        <item x="21"/>
        <item m="1" x="479"/>
        <item m="1" x="436"/>
        <item x="22"/>
        <item m="1" x="367"/>
        <item m="1" x="267"/>
        <item x="23"/>
        <item m="1" x="219"/>
        <item x="24"/>
        <item m="1" x="265"/>
        <item m="1" x="357"/>
        <item x="25"/>
        <item x="26"/>
        <item x="27"/>
        <item m="1" x="228"/>
        <item m="1" x="485"/>
        <item x="28"/>
        <item m="1" x="469"/>
        <item m="1" x="394"/>
        <item x="29"/>
        <item m="1" x="435"/>
        <item x="30"/>
        <item m="1" x="248"/>
        <item x="31"/>
        <item x="32"/>
        <item x="33"/>
        <item x="34"/>
        <item x="35"/>
        <item m="1" x="482"/>
        <item x="36"/>
        <item m="1" x="226"/>
        <item m="1" x="235"/>
        <item x="37"/>
        <item m="1" x="283"/>
        <item x="38"/>
        <item m="1" x="213"/>
        <item m="1" x="274"/>
        <item m="1" x="425"/>
        <item m="1" x="205"/>
        <item m="1" x="345"/>
        <item m="1" x="532"/>
        <item m="1" x="346"/>
        <item m="1" x="443"/>
        <item m="1" x="331"/>
        <item m="1" x="396"/>
        <item m="1" x="253"/>
        <item x="39"/>
        <item m="1" x="501"/>
        <item m="1" x="387"/>
        <item x="40"/>
        <item m="1" x="355"/>
        <item x="41"/>
        <item x="42"/>
        <item x="43"/>
        <item x="44"/>
        <item x="45"/>
        <item m="1" x="289"/>
        <item m="1" x="475"/>
        <item m="1" x="521"/>
        <item m="1" x="200"/>
        <item m="1" x="376"/>
        <item m="1" x="221"/>
        <item m="1" x="270"/>
        <item x="46"/>
        <item m="1" x="431"/>
        <item m="1" x="292"/>
        <item m="1" x="414"/>
        <item m="1" x="375"/>
        <item m="1" x="471"/>
        <item x="47"/>
        <item m="1" x="393"/>
        <item x="48"/>
        <item m="1" x="494"/>
        <item x="49"/>
        <item x="50"/>
        <item m="1" x="183"/>
        <item x="51"/>
        <item m="1" x="416"/>
        <item x="52"/>
        <item m="1" x="290"/>
        <item m="1" x="341"/>
        <item m="1" x="439"/>
        <item m="1" x="257"/>
        <item m="1" x="340"/>
        <item m="1" x="256"/>
        <item x="53"/>
        <item m="1" x="203"/>
        <item x="54"/>
        <item x="55"/>
        <item x="56"/>
        <item m="1" x="529"/>
        <item x="57"/>
        <item m="1" x="461"/>
        <item m="1" x="415"/>
        <item x="58"/>
        <item m="1" x="238"/>
        <item x="59"/>
        <item x="60"/>
        <item m="1" x="452"/>
        <item m="1" x="457"/>
        <item x="61"/>
        <item m="1" x="508"/>
        <item m="1" x="208"/>
        <item m="1" x="321"/>
        <item m="1" x="390"/>
        <item x="62"/>
        <item m="1" x="293"/>
        <item m="1" x="232"/>
        <item m="1" x="366"/>
        <item m="1" x="310"/>
        <item x="63"/>
        <item m="1" x="400"/>
        <item m="1" x="446"/>
        <item m="1" x="251"/>
        <item x="64"/>
        <item x="65"/>
        <item m="1" x="349"/>
        <item x="66"/>
        <item x="67"/>
        <item m="1" x="259"/>
        <item m="1" x="519"/>
        <item x="68"/>
        <item m="1" x="490"/>
        <item x="69"/>
        <item m="1" x="344"/>
        <item m="1" x="255"/>
        <item x="70"/>
        <item x="71"/>
        <item m="1" x="406"/>
        <item x="72"/>
        <item m="1" x="458"/>
        <item x="73"/>
        <item m="1" x="196"/>
        <item m="1" x="314"/>
        <item m="1" x="419"/>
        <item x="74"/>
        <item x="75"/>
        <item x="76"/>
        <item m="1" x="404"/>
        <item m="1" x="302"/>
        <item m="1" x="372"/>
        <item m="1" x="316"/>
        <item x="77"/>
        <item m="1" x="279"/>
        <item m="1" x="276"/>
        <item m="1" x="361"/>
        <item m="1" x="468"/>
        <item m="1" x="371"/>
        <item m="1" x="258"/>
        <item m="1" x="260"/>
        <item m="1" x="430"/>
        <item m="1" x="187"/>
        <item x="78"/>
        <item x="79"/>
        <item x="80"/>
        <item m="1" x="227"/>
        <item m="1" x="427"/>
        <item x="81"/>
        <item m="1" x="395"/>
        <item m="1" x="407"/>
        <item m="1" x="473"/>
        <item m="1" x="445"/>
        <item m="1" x="405"/>
        <item m="1" x="252"/>
        <item m="1" x="464"/>
        <item x="82"/>
        <item m="1" x="230"/>
        <item x="83"/>
        <item m="1" x="514"/>
        <item m="1" x="456"/>
        <item m="1" x="517"/>
        <item m="1" x="325"/>
        <item m="1" x="422"/>
        <item m="1" x="505"/>
        <item m="1" x="241"/>
        <item x="84"/>
        <item m="1" x="195"/>
        <item m="1" x="233"/>
        <item x="85"/>
        <item m="1" x="286"/>
        <item m="1" x="250"/>
        <item x="86"/>
        <item m="1" x="189"/>
        <item m="1" x="470"/>
        <item x="87"/>
        <item x="88"/>
        <item x="89"/>
        <item m="1" x="465"/>
        <item x="90"/>
        <item x="91"/>
        <item m="1" x="489"/>
        <item m="1" x="268"/>
        <item m="1" x="300"/>
        <item m="1" x="360"/>
        <item x="92"/>
        <item m="1" x="315"/>
        <item m="1" x="263"/>
        <item m="1" x="278"/>
        <item m="1" x="199"/>
        <item m="1" x="486"/>
        <item m="1" x="454"/>
        <item m="1" x="211"/>
        <item m="1" x="317"/>
        <item x="93"/>
        <item m="1" x="298"/>
        <item m="1" x="288"/>
        <item x="94"/>
        <item m="1" x="448"/>
        <item x="95"/>
        <item m="1" x="307"/>
        <item m="1" x="294"/>
        <item m="1" x="450"/>
        <item m="1" x="190"/>
        <item m="1" x="512"/>
        <item x="96"/>
        <item x="97"/>
        <item x="98"/>
        <item m="1" x="516"/>
        <item m="1" x="365"/>
        <item m="1" x="242"/>
        <item m="1" x="377"/>
        <item m="1" x="491"/>
        <item x="99"/>
        <item m="1" x="472"/>
        <item x="100"/>
        <item m="1" x="384"/>
        <item x="101"/>
        <item x="102"/>
        <item m="1" x="309"/>
        <item m="1" x="311"/>
        <item x="103"/>
        <item x="104"/>
        <item m="1" x="291"/>
        <item m="1" x="338"/>
        <item m="1" x="285"/>
        <item m="1" x="306"/>
        <item x="105"/>
        <item m="1" x="386"/>
        <item m="1" x="197"/>
        <item m="1" x="528"/>
        <item m="1" x="223"/>
        <item m="1" x="275"/>
        <item m="1" x="194"/>
        <item x="106"/>
        <item m="1" x="403"/>
        <item m="1" x="525"/>
        <item m="1" x="324"/>
        <item m="1" x="201"/>
        <item m="1" x="243"/>
        <item x="107"/>
        <item m="1" x="434"/>
        <item m="1" x="362"/>
        <item x="108"/>
        <item m="1" x="363"/>
        <item m="1" x="437"/>
        <item m="1" x="339"/>
        <item m="1" x="329"/>
        <item m="1" x="284"/>
        <item m="1" x="441"/>
        <item x="109"/>
        <item m="1" x="244"/>
        <item x="110"/>
        <item m="1" x="225"/>
        <item m="1" x="442"/>
        <item m="1" x="402"/>
        <item m="1" x="333"/>
        <item m="1" x="224"/>
        <item x="111"/>
        <item m="1" x="217"/>
        <item m="1" x="188"/>
        <item x="112"/>
        <item m="1" x="383"/>
        <item x="113"/>
        <item m="1" x="212"/>
        <item m="1" x="313"/>
        <item x="114"/>
        <item m="1" x="507"/>
        <item x="115"/>
        <item x="116"/>
        <item m="1" x="493"/>
        <item x="117"/>
        <item m="1" x="330"/>
        <item m="1" x="389"/>
        <item m="1" x="234"/>
        <item m="1" x="408"/>
        <item x="118"/>
        <item x="119"/>
        <item m="1" x="220"/>
        <item m="1" x="506"/>
        <item m="1" x="391"/>
        <item x="120"/>
        <item m="1" x="266"/>
        <item m="1" x="509"/>
        <item m="1" x="374"/>
        <item x="121"/>
        <item m="1" x="359"/>
        <item m="1" x="305"/>
        <item m="1" x="282"/>
        <item x="122"/>
        <item m="1" x="280"/>
        <item x="123"/>
        <item x="124"/>
        <item m="1" x="356"/>
        <item m="1" x="327"/>
        <item m="1" x="398"/>
        <item m="1" x="246"/>
        <item m="1" x="498"/>
        <item x="125"/>
        <item x="126"/>
        <item m="1" x="451"/>
        <item x="127"/>
        <item m="1" x="530"/>
        <item m="1" x="388"/>
        <item x="128"/>
        <item m="1" x="206"/>
        <item m="1" x="191"/>
        <item m="1" x="322"/>
        <item x="129"/>
        <item m="1" x="417"/>
        <item m="1" x="308"/>
        <item m="1" x="534"/>
        <item m="1" x="440"/>
        <item m="1" x="254"/>
        <item x="130"/>
        <item m="1" x="455"/>
        <item m="1" x="523"/>
        <item x="131"/>
        <item m="1" x="296"/>
        <item x="132"/>
        <item x="133"/>
        <item m="1" x="474"/>
        <item m="1" x="334"/>
        <item m="1" x="531"/>
        <item m="1" x="229"/>
        <item x="134"/>
        <item x="135"/>
        <item m="1" x="535"/>
        <item m="1" x="476"/>
        <item x="136"/>
        <item x="137"/>
        <item m="1" x="239"/>
        <item m="1" x="478"/>
        <item x="138"/>
        <item x="139"/>
        <item x="140"/>
        <item m="1" x="423"/>
        <item m="1" x="401"/>
        <item m="1" x="193"/>
        <item x="141"/>
        <item m="1" x="397"/>
        <item m="1" x="526"/>
        <item x="142"/>
        <item m="1" x="271"/>
        <item x="143"/>
        <item m="1" x="428"/>
        <item x="144"/>
        <item x="145"/>
        <item x="146"/>
        <item x="147"/>
        <item x="148"/>
        <item m="1" x="247"/>
        <item x="149"/>
        <item m="1" x="502"/>
        <item m="1" x="207"/>
        <item m="1" x="222"/>
        <item m="1" x="462"/>
        <item m="1" x="520"/>
        <item m="1" x="410"/>
        <item m="1" x="336"/>
        <item m="1" x="511"/>
        <item m="1" x="328"/>
        <item m="1" x="424"/>
        <item m="1" x="421"/>
        <item m="1" x="499"/>
        <item m="1" x="515"/>
        <item m="1" x="527"/>
        <item m="1" x="379"/>
        <item x="150"/>
        <item m="1" x="369"/>
        <item x="151"/>
        <item m="1" x="237"/>
        <item m="1" x="323"/>
        <item x="152"/>
        <item x="153"/>
        <item x="154"/>
        <item m="1" x="348"/>
        <item m="1" x="236"/>
        <item x="155"/>
        <item x="156"/>
        <item m="1" x="483"/>
        <item m="1" x="420"/>
        <item m="1" x="503"/>
        <item m="1" x="332"/>
        <item m="1" x="204"/>
        <item m="1" x="460"/>
        <item x="157"/>
        <item x="158"/>
        <item m="1" x="326"/>
        <item m="1" x="513"/>
        <item x="159"/>
        <item m="1" x="351"/>
        <item m="1" x="216"/>
        <item m="1" x="262"/>
        <item m="1" x="320"/>
        <item m="1" x="453"/>
        <item m="1" x="272"/>
        <item m="1" x="500"/>
        <item x="160"/>
        <item m="1" x="484"/>
        <item m="1" x="231"/>
        <item m="1" x="399"/>
        <item x="161"/>
        <item m="1" x="304"/>
        <item m="1" x="382"/>
        <item m="1" x="318"/>
        <item m="1" x="319"/>
        <item m="1" x="429"/>
        <item m="1" x="378"/>
        <item m="1" x="269"/>
        <item m="1" x="496"/>
        <item m="1" x="281"/>
        <item m="1" x="495"/>
        <item m="1" x="301"/>
        <item x="162"/>
        <item x="163"/>
        <item m="1" x="353"/>
        <item m="1" x="210"/>
        <item m="1" x="343"/>
        <item m="1" x="312"/>
        <item m="1" x="497"/>
        <item m="1" x="185"/>
        <item m="1" x="350"/>
        <item m="1" x="249"/>
        <item m="1" x="368"/>
        <item m="1" x="438"/>
        <item m="1" x="264"/>
        <item m="1" x="342"/>
        <item m="1" x="198"/>
        <item m="1" x="240"/>
        <item m="1" x="467"/>
        <item x="164"/>
        <item m="1" x="337"/>
        <item m="1" x="524"/>
        <item m="1" x="299"/>
        <item x="165"/>
        <item m="1" x="459"/>
        <item m="1" x="218"/>
        <item m="1" x="466"/>
        <item m="1" x="492"/>
        <item x="166"/>
        <item m="1" x="477"/>
        <item m="1" x="449"/>
        <item m="1" x="409"/>
        <item m="1" x="480"/>
        <item x="167"/>
        <item m="1" x="522"/>
        <item x="168"/>
        <item m="1" x="261"/>
        <item m="1" x="245"/>
        <item m="1" x="412"/>
        <item m="1" x="432"/>
        <item x="169"/>
        <item m="1" x="444"/>
        <item m="1" x="370"/>
        <item x="170"/>
        <item x="171"/>
        <item x="172"/>
        <item m="1" x="287"/>
        <item m="1" x="273"/>
        <item x="173"/>
        <item m="1" x="487"/>
        <item x="174"/>
        <item m="1" x="463"/>
        <item x="175"/>
        <item m="1" x="335"/>
        <item x="176"/>
        <item m="1" x="380"/>
        <item m="1" x="364"/>
        <item x="177"/>
        <item x="178"/>
        <item x="179"/>
        <item x="180"/>
        <item m="1" x="181"/>
        <item t="default"/>
      </items>
    </pivotField>
    <pivotField axis="axisPage" multipleItemSelectionAllowed="1" showAll="0">
      <items count="41">
        <item h="1" x="2"/>
        <item h="1" x="7"/>
        <item h="1" x="3"/>
        <item h="1" m="1" x="35"/>
        <item h="1" x="20"/>
        <item h="1" m="1" x="32"/>
        <item h="1" x="5"/>
        <item h="1" x="6"/>
        <item h="1" x="11"/>
        <item h="1" x="15"/>
        <item h="1" m="1" x="30"/>
        <item h="1" x="1"/>
        <item h="1" x="16"/>
        <item h="1" x="21"/>
        <item h="1" x="19"/>
        <item h="1" x="8"/>
        <item x="0"/>
        <item h="1" x="9"/>
        <item h="1" x="13"/>
        <item h="1" x="4"/>
        <item h="1" x="10"/>
        <item h="1" m="1" x="38"/>
        <item h="1" m="1" x="33"/>
        <item h="1" m="1" x="26"/>
        <item h="1" x="12"/>
        <item h="1" m="1" x="28"/>
        <item h="1" m="1" x="36"/>
        <item h="1" m="1" x="37"/>
        <item h="1" m="1" x="29"/>
        <item h="1" m="1" x="39"/>
        <item h="1" m="1" x="23"/>
        <item h="1" m="1" x="31"/>
        <item h="1" m="1" x="25"/>
        <item h="1" x="17"/>
        <item h="1" m="1" x="34"/>
        <item h="1" x="14"/>
        <item h="1" m="1" x="24"/>
        <item h="1" m="1" x="27"/>
        <item h="1" x="18"/>
        <item h="1" x="22"/>
        <item t="default"/>
      </items>
    </pivotField>
    <pivotField showAll="0"/>
    <pivotField numFmtId="4" showAll="0"/>
    <pivotField numFmtId="4" showAll="0"/>
    <pivotField dataField="1" numFmtId="4" showAll="0"/>
    <pivotField numFmtId="4" showAll="0"/>
    <pivotField numFmtId="4" showAll="0"/>
    <pivotField numFmtId="166" showAll="0"/>
    <pivotField showAll="0"/>
    <pivotField showAll="0"/>
    <pivotField showAll="0"/>
    <pivotField showAll="0"/>
  </pivotFields>
  <rowFields count="1">
    <field x="2"/>
  </rowFields>
  <rowItems count="18">
    <i>
      <x v="1"/>
    </i>
    <i>
      <x v="2"/>
    </i>
    <i>
      <x v="5"/>
    </i>
    <i>
      <x v="17"/>
    </i>
    <i>
      <x v="77"/>
    </i>
    <i>
      <x v="129"/>
    </i>
    <i>
      <x v="176"/>
    </i>
    <i>
      <x v="261"/>
    </i>
    <i>
      <x v="275"/>
    </i>
    <i>
      <x v="305"/>
    </i>
    <i>
      <x v="333"/>
    </i>
    <i>
      <x v="338"/>
    </i>
    <i>
      <x v="360"/>
    </i>
    <i>
      <x v="382"/>
    </i>
    <i>
      <x v="401"/>
    </i>
    <i>
      <x v="404"/>
    </i>
    <i>
      <x v="533"/>
    </i>
    <i t="grand">
      <x/>
    </i>
  </rowItems>
  <colItems count="1">
    <i/>
  </colItems>
  <pageFields count="1">
    <pageField fld="3" hier="-1"/>
  </pageFields>
  <dataFields count="1">
    <dataField name="Total" fld="7" baseField="0" baseItem="0" numFmtId="44"/>
  </dataFields>
  <formats count="2">
    <format dxfId="107">
      <pivotArea field="2" type="button" dataOnly="0" labelOnly="1" outline="0" axis="axisRow" fieldPosition="0"/>
    </format>
    <format dxfId="106">
      <pivotArea dataOnly="0" labelOnly="1" outline="0" axis="axisValues" fieldPosition="0"/>
    </format>
  </formats>
  <pivotTableStyleInfo name="PivotStyleLight16" showRowHeaders="1" showColHeaders="1" showRowStripes="1" showColStripes="0" showLastColumn="1"/>
  <filters count="1">
    <filter fld="2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F79897-50D6-C54D-8E88-8719F9EAC403}" name="PivotTable5" cacheId="4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A4:B5" firstHeaderRow="1" firstDataRow="1" firstDataCol="1" rowPageCount="1" colPageCount="1"/>
  <pivotFields count="15">
    <pivotField axis="axisRow" showAll="0">
      <items count="71">
        <item x="56"/>
        <item x="64"/>
        <item x="57"/>
        <item x="65"/>
        <item x="25"/>
        <item x="34"/>
        <item x="36"/>
        <item x="30"/>
        <item x="21"/>
        <item x="52"/>
        <item x="13"/>
        <item x="44"/>
        <item x="14"/>
        <item x="22"/>
        <item x="16"/>
        <item x="29"/>
        <item x="2"/>
        <item x="8"/>
        <item x="51"/>
        <item x="20"/>
        <item x="26"/>
        <item x="35"/>
        <item x="19"/>
        <item x="6"/>
        <item x="61"/>
        <item x="4"/>
        <item x="43"/>
        <item x="11"/>
        <item x="54"/>
        <item x="33"/>
        <item x="38"/>
        <item x="39"/>
        <item x="63"/>
        <item x="17"/>
        <item x="55"/>
        <item x="0"/>
        <item x="1"/>
        <item m="1" x="67"/>
        <item x="46"/>
        <item x="45"/>
        <item x="24"/>
        <item x="18"/>
        <item x="50"/>
        <item x="58"/>
        <item x="59"/>
        <item x="7"/>
        <item x="47"/>
        <item x="31"/>
        <item x="53"/>
        <item x="48"/>
        <item x="23"/>
        <item x="27"/>
        <item x="32"/>
        <item x="37"/>
        <item x="49"/>
        <item m="1" x="68"/>
        <item m="1" x="69"/>
        <item x="3"/>
        <item x="9"/>
        <item x="60"/>
        <item x="28"/>
        <item x="10"/>
        <item x="66"/>
        <item x="62"/>
        <item x="40"/>
        <item x="41"/>
        <item x="42"/>
        <item x="12"/>
        <item x="15"/>
        <item x="5"/>
        <item t="default"/>
      </items>
    </pivotField>
    <pivotField showAll="0"/>
    <pivotField showAll="0"/>
    <pivotField axis="axisPage" multipleItemSelectionAllowed="1" showAll="0">
      <items count="49">
        <item h="1" x="10"/>
        <item h="1" x="15"/>
        <item h="1" x="17"/>
        <item h="1" x="5"/>
        <item h="1" x="7"/>
        <item h="1" m="1" x="18"/>
        <item h="1" x="6"/>
        <item h="1" x="12"/>
        <item h="1" x="14"/>
        <item h="1" m="1" x="36"/>
        <item h="1" x="3"/>
        <item h="1" x="8"/>
        <item h="1" x="9"/>
        <item h="1" m="1" x="41"/>
        <item h="1" m="1" x="42"/>
        <item h="1" x="13"/>
        <item h="1" x="0"/>
        <item h="1" m="1" x="23"/>
        <item h="1" m="1" x="45"/>
        <item h="1" m="1" x="47"/>
        <item h="1" x="1"/>
        <item h="1" m="1" x="39"/>
        <item h="1" x="4"/>
        <item h="1" m="1" x="44"/>
        <item h="1" m="1" x="46"/>
        <item h="1" x="2"/>
        <item m="1" x="40"/>
        <item h="1" x="11"/>
        <item h="1" m="1" x="34"/>
        <item h="1" m="1" x="21"/>
        <item h="1" m="1" x="31"/>
        <item h="1" m="1" x="33"/>
        <item h="1" m="1" x="22"/>
        <item h="1" m="1" x="20"/>
        <item h="1" m="1" x="26"/>
        <item h="1" m="1" x="27"/>
        <item h="1" m="1" x="19"/>
        <item h="1" x="16"/>
        <item h="1" m="1" x="43"/>
        <item h="1" m="1" x="24"/>
        <item h="1" m="1" x="25"/>
        <item h="1" m="1" x="28"/>
        <item h="1" m="1" x="29"/>
        <item h="1" m="1" x="30"/>
        <item h="1" m="1" x="32"/>
        <item h="1" m="1" x="35"/>
        <item h="1" m="1" x="37"/>
        <item h="1" m="1" x="38"/>
        <item t="default"/>
      </items>
    </pivotField>
    <pivotField axis="axisRow" showAll="0" sortType="ascending">
      <items count="2742">
        <item m="1" x="956"/>
        <item m="1" x="1464"/>
        <item m="1" x="2141"/>
        <item m="1" x="272"/>
        <item m="1" x="870"/>
        <item m="1" x="575"/>
        <item m="1" x="2057"/>
        <item m="1" x="1442"/>
        <item m="1" x="361"/>
        <item m="1" x="118"/>
        <item m="1" x="1346"/>
        <item m="1" x="725"/>
        <item m="1" x="1254"/>
        <item m="1" x="282"/>
        <item m="1" x="2036"/>
        <item m="1" x="2157"/>
        <item m="1" x="1796"/>
        <item m="1" x="951"/>
        <item m="1" x="1887"/>
        <item m="1" x="1870"/>
        <item m="1" x="2717"/>
        <item x="5"/>
        <item m="1" x="491"/>
        <item m="1" x="1549"/>
        <item m="1" x="1484"/>
        <item m="1" x="727"/>
        <item m="1" x="1288"/>
        <item m="1" x="1739"/>
        <item m="1" x="804"/>
        <item m="1" x="451"/>
        <item m="1" x="1888"/>
        <item x="12"/>
        <item m="1" x="2159"/>
        <item m="1" x="1623"/>
        <item m="1" x="2037"/>
        <item m="1" x="78"/>
        <item m="1" x="2611"/>
        <item m="1" x="1378"/>
        <item m="1" x="1556"/>
        <item m="1" x="959"/>
        <item m="1" x="177"/>
        <item m="1" x="2038"/>
        <item m="1" x="1737"/>
        <item m="1" x="2160"/>
        <item m="1" x="2161"/>
        <item m="1" x="357"/>
        <item m="1" x="1142"/>
        <item m="1" x="1003"/>
        <item m="1" x="2688"/>
        <item m="1" x="2162"/>
        <item m="1" x="1096"/>
        <item m="1" x="1016"/>
        <item m="1" x="2039"/>
        <item m="1" x="88"/>
        <item m="1" x="1738"/>
        <item m="1" x="2163"/>
        <item m="1" x="1459"/>
        <item m="1" x="2164"/>
        <item m="1" x="2153"/>
        <item m="1" x="89"/>
        <item m="1" x="2165"/>
        <item m="1" x="730"/>
        <item m="1" x="1630"/>
        <item m="1" x="1005"/>
        <item m="1" x="2166"/>
        <item m="1" x="1348"/>
        <item m="1" x="1006"/>
        <item m="1" x="731"/>
        <item m="1" x="1651"/>
        <item m="1" x="2167"/>
        <item m="1" x="1008"/>
        <item m="1" x="2168"/>
        <item m="1" x="1367"/>
        <item m="1" x="2146"/>
        <item m="1" x="90"/>
        <item m="1" x="2169"/>
        <item m="1" x="266"/>
        <item m="1" x="922"/>
        <item m="1" x="442"/>
        <item m="1" x="364"/>
        <item m="1" x="732"/>
        <item m="1" x="1555"/>
        <item m="1" x="2170"/>
        <item m="1" x="418"/>
        <item m="1" x="887"/>
        <item m="1" x="265"/>
        <item m="1" x="292"/>
        <item m="1" x="2171"/>
        <item m="1" x="68"/>
        <item m="1" x="521"/>
        <item m="1" x="616"/>
        <item m="1" x="2484"/>
        <item m="1" x="617"/>
        <item m="1" x="284"/>
        <item m="1" x="2172"/>
        <item m="1" x="2659"/>
        <item m="1" x="1617"/>
        <item m="1" x="1363"/>
        <item m="1" x="2173"/>
        <item m="1" x="232"/>
        <item m="1" x="2174"/>
        <item m="1" x="2175"/>
        <item m="1" x="2176"/>
        <item m="1" x="2040"/>
        <item m="1" x="562"/>
        <item m="1" x="1476"/>
        <item m="1" x="242"/>
        <item m="1" x="181"/>
        <item m="1" x="1465"/>
        <item m="1" x="2678"/>
        <item m="1" x="1482"/>
        <item m="1" x="815"/>
        <item m="1" x="1128"/>
        <item m="1" x="2489"/>
        <item m="1" x="2177"/>
        <item m="1" x="2385"/>
        <item m="1" x="1129"/>
        <item m="1" x="2178"/>
        <item m="1" x="2181"/>
        <item m="1" x="1012"/>
        <item m="1" x="890"/>
        <item m="1" x="2182"/>
        <item m="1" x="1874"/>
        <item m="1" x="2183"/>
        <item m="1" x="1727"/>
        <item m="1" x="2184"/>
        <item m="1" x="1408"/>
        <item m="1" x="238"/>
        <item m="1" x="2185"/>
        <item m="1" x="93"/>
        <item m="1" x="1041"/>
        <item m="1" x="734"/>
        <item m="1" x="1042"/>
        <item m="1" x="1309"/>
        <item m="1" x="1399"/>
        <item m="1" x="1547"/>
        <item m="1" x="2186"/>
        <item m="1" x="344"/>
        <item m="1" x="94"/>
        <item m="1" x="2187"/>
        <item m="1" x="2188"/>
        <item m="1" x="983"/>
        <item m="1" x="2041"/>
        <item m="1" x="547"/>
        <item m="1" x="1359"/>
        <item m="1" x="1303"/>
        <item m="1" x="1552"/>
        <item m="1" x="981"/>
        <item m="1" x="54"/>
        <item m="1" x="255"/>
        <item m="1" x="497"/>
        <item m="1" x="2190"/>
        <item m="1" x="2191"/>
        <item m="1" x="2192"/>
        <item m="1" x="2650"/>
        <item m="1" x="621"/>
        <item m="1" x="1045"/>
        <item m="1" x="880"/>
        <item m="1" x="1046"/>
        <item m="1" x="274"/>
        <item m="1" x="1047"/>
        <item m="1" x="2193"/>
        <item m="1" x="1049"/>
        <item m="1" x="1050"/>
        <item m="1" x="1962"/>
        <item m="1" x="735"/>
        <item m="1" x="2194"/>
        <item m="1" x="2083"/>
        <item m="1" x="2682"/>
        <item m="1" x="287"/>
        <item m="1" x="432"/>
        <item m="1" x="472"/>
        <item m="1" x="1868"/>
        <item m="1" x="419"/>
        <item m="1" x="2389"/>
        <item m="1" x="1052"/>
        <item m="1" x="1053"/>
        <item m="1" x="2618"/>
        <item m="1" x="2637"/>
        <item m="1" x="2641"/>
        <item m="1" x="366"/>
        <item m="1" x="296"/>
        <item m="1" x="1218"/>
        <item m="1" x="1151"/>
        <item m="1" x="620"/>
        <item m="1" x="1344"/>
        <item m="1" x="1203"/>
        <item m="1" x="2195"/>
        <item m="1" x="736"/>
        <item m="1" x="538"/>
        <item m="1" x="2196"/>
        <item m="1" x="1200"/>
        <item m="1" x="1873"/>
        <item m="1" x="1744"/>
        <item m="1" x="2197"/>
        <item m="1" x="1505"/>
        <item m="1" x="622"/>
        <item m="1" x="2261"/>
        <item m="1" x="2000"/>
        <item m="1" x="374"/>
        <item m="1" x="1741"/>
        <item m="1" x="1948"/>
        <item m="1" x="1056"/>
        <item m="1" x="304"/>
        <item m="1" x="498"/>
        <item m="1" x="737"/>
        <item m="1" x="2042"/>
        <item m="1" x="2198"/>
        <item m="1" x="1643"/>
        <item m="1" x="1475"/>
        <item m="1" x="738"/>
        <item m="1" x="1058"/>
        <item m="1" x="1863"/>
        <item m="1" x="2635"/>
        <item m="1" x="97"/>
        <item m="1" x="739"/>
        <item m="1" x="516"/>
        <item m="1" x="807"/>
        <item m="1" x="2651"/>
        <item m="1" x="2115"/>
        <item m="1" x="625"/>
        <item m="1" x="1978"/>
        <item m="1" x="2043"/>
        <item m="1" x="895"/>
        <item m="1" x="626"/>
        <item m="1" x="1063"/>
        <item m="1" x="1253"/>
        <item m="1" x="1393"/>
        <item m="1" x="1020"/>
        <item m="1" x="492"/>
        <item m="1" x="1804"/>
        <item m="1" x="2085"/>
        <item m="1" x="1900"/>
        <item m="1" x="1886"/>
        <item m="1" x="573"/>
        <item m="1" x="2638"/>
        <item m="1" x="628"/>
        <item m="1" x="2508"/>
        <item m="1" x="464"/>
        <item m="1" x="1224"/>
        <item m="1" x="2002"/>
        <item m="1" x="1500"/>
        <item m="1" x="2199"/>
        <item m="1" x="448"/>
        <item m="1" x="412"/>
        <item m="1" x="98"/>
        <item m="1" x="1575"/>
        <item m="1" x="2601"/>
        <item m="1" x="1508"/>
        <item m="1" x="741"/>
        <item m="1" x="2200"/>
        <item m="1" x="175"/>
        <item m="1" x="1349"/>
        <item m="1" x="1622"/>
        <item m="1" x="2080"/>
        <item m="1" x="806"/>
        <item m="1" x="1981"/>
        <item m="1" x="594"/>
        <item m="1" x="2201"/>
        <item m="1" x="1947"/>
        <item m="1" x="1069"/>
        <item sd="0" m="1" x="47"/>
        <item m="1" x="1382"/>
        <item m="1" x="1701"/>
        <item m="1" x="2681"/>
        <item m="1" x="1355"/>
        <item m="1" x="2202"/>
        <item m="1" x="1364"/>
        <item m="1" x="743"/>
        <item m="1" x="1072"/>
        <item m="1" x="1327"/>
        <item m="1" x="1240"/>
        <item m="1" x="250"/>
        <item m="1" x="2704"/>
        <item m="1" x="301"/>
        <item sd="0" m="1" x="2726"/>
        <item m="1" x="2572"/>
        <item m="1" x="744"/>
        <item m="1" x="2018"/>
        <item m="1" x="1073"/>
        <item m="1" x="745"/>
        <item m="1" x="746"/>
        <item m="1" x="2204"/>
        <item m="1" x="1137"/>
        <item m="1" x="2205"/>
        <item m="1" x="529"/>
        <item m="1" x="577"/>
        <item m="1" x="215"/>
        <item m="1" x="499"/>
        <item m="1" x="1418"/>
        <item m="1" x="1940"/>
        <item m="1" x="474"/>
        <item m="1" x="986"/>
        <item m="1" x="72"/>
        <item m="1" x="1388"/>
        <item m="1" x="2206"/>
        <item m="1" x="99"/>
        <item m="1" x="1330"/>
        <item m="1" x="1237"/>
        <item m="1" x="1282"/>
        <item m="1" x="1294"/>
        <item m="1" x="2207"/>
        <item m="1" x="2208"/>
        <item m="1" x="811"/>
        <item m="1" x="747"/>
        <item m="1" x="1310"/>
        <item m="1" x="2081"/>
        <item m="1" x="1771"/>
        <item m="1" x="449"/>
        <item m="1" x="1341"/>
        <item m="1" x="1878"/>
        <item m="1" x="159"/>
        <item m="1" x="576"/>
        <item m="1" x="551"/>
        <item m="1" x="2209"/>
        <item m="1" x="2003"/>
        <item m="1" x="1078"/>
        <item m="1" x="2210"/>
        <item m="1" x="1453"/>
        <item m="1" x="1935"/>
        <item m="1" x="251"/>
        <item m="1" x="1574"/>
        <item m="1" x="1306"/>
        <item m="1" x="1905"/>
        <item m="1" x="1652"/>
        <item m="1" x="313"/>
        <item m="1" x="631"/>
        <item m="1" x="1079"/>
        <item m="1" x="526"/>
        <item m="1" x="1757"/>
        <item m="1" x="2211"/>
        <item m="1" x="1037"/>
        <item m="1" x="561"/>
        <item m="1" x="926"/>
        <item m="1" x="2577"/>
        <item m="1" x="2212"/>
        <item m="1" x="1360"/>
        <item m="1" x="2086"/>
        <item m="1" x="1377"/>
        <item m="1" x="2213"/>
        <item m="1" x="100"/>
        <item m="1" x="476"/>
        <item m="1" x="1336"/>
        <item m="1" x="1907"/>
        <item m="1" x="1956"/>
        <item m="1" x="1909"/>
        <item m="1" x="452"/>
        <item m="1" x="109"/>
        <item m="1" x="399"/>
        <item m="1" x="1083"/>
        <item m="1" x="2214"/>
        <item m="1" x="1085"/>
        <item m="1" x="748"/>
        <item m="1" x="2215"/>
        <item m="1" x="2589"/>
        <item m="1" x="1087"/>
        <item m="1" x="254"/>
        <item m="1" x="2563"/>
        <item m="1" x="749"/>
        <item m="1" x="1088"/>
        <item m="1" x="2581"/>
        <item m="1" x="81"/>
        <item m="1" x="1095"/>
        <item m="1" x="158"/>
        <item m="1" x="950"/>
        <item m="1" x="979"/>
        <item m="1" x="1098"/>
        <item sd="0" m="1" x="2571"/>
        <item m="1" x="1084"/>
        <item x="38"/>
        <item m="1" x="2630"/>
        <item m="1" x="103"/>
        <item m="1" x="2716"/>
        <item m="1" x="633"/>
        <item m="1" x="1438"/>
        <item m="1" x="1147"/>
        <item m="1" x="1520"/>
        <item m="1" x="1149"/>
        <item m="1" x="102"/>
        <item m="1" x="1091"/>
        <item m="1" x="115"/>
        <item sd="0" m="1" x="116"/>
        <item m="1" x="1152"/>
        <item m="1" x="618"/>
        <item m="1" x="1380"/>
        <item m="1" x="117"/>
        <item m="1" x="649"/>
        <item m="1" x="648"/>
        <item m="1" x="1089"/>
        <item m="1" x="2670"/>
        <item m="1" x="2216"/>
        <item m="1" x="1090"/>
        <item m="1" x="2004"/>
        <item m="1" x="1021"/>
        <item m="1" x="523"/>
        <item m="1" x="578"/>
        <item m="1" x="1764"/>
        <item m="1" x="908"/>
        <item m="1" x="2560"/>
        <item m="1" x="1803"/>
        <item m="1" x="2242"/>
        <item m="1" x="49"/>
        <item m="1" x="2044"/>
        <item m="1" x="1397"/>
        <item m="1" x="2649"/>
        <item m="1" x="2217"/>
        <item m="1" x="1163"/>
        <item m="1" x="148"/>
        <item m="1" x="2596"/>
        <item m="1" x="167"/>
        <item m="1" x="970"/>
        <item m="1" x="1094"/>
        <item m="1" x="2218"/>
        <item m="1" x="1898"/>
        <item m="1" x="2219"/>
        <item m="1" x="883"/>
        <item m="1" x="873"/>
        <item m="1" x="2600"/>
        <item m="1" x="2380"/>
        <item m="1" x="1932"/>
        <item m="1" x="1062"/>
        <item m="1" x="2220"/>
        <item m="1" x="1952"/>
        <item m="1" x="1082"/>
        <item m="1" x="1289"/>
        <item sd="0" m="1" x="2721"/>
        <item m="1" x="106"/>
        <item m="1" x="360"/>
        <item m="1" x="1998"/>
        <item m="1" x="2339"/>
        <item m="1" x="2667"/>
        <item m="1" x="545"/>
        <item m="1" x="2087"/>
        <item m="1" x="751"/>
        <item m="1" x="107"/>
        <item m="1" x="509"/>
        <item m="1" x="259"/>
        <item m="1" x="1097"/>
        <item m="1" x="1080"/>
        <item x="10"/>
        <item m="1" x="2559"/>
        <item m="1" x="1621"/>
        <item m="1" x="753"/>
        <item m="1" x="331"/>
        <item m="1" x="932"/>
        <item x="22"/>
        <item x="1"/>
        <item m="1" x="2221"/>
        <item m="1" x="2222"/>
        <item m="1" x="369"/>
        <item m="1" x="453"/>
        <item m="1" x="58"/>
        <item m="1" x="437"/>
        <item m="1" x="1687"/>
        <item m="1" x="1099"/>
        <item m="1" x="2224"/>
        <item m="1" x="2045"/>
        <item m="1" x="2608"/>
        <item m="1" x="1783"/>
        <item m="1" x="1885"/>
        <item m="1" x="636"/>
        <item m="1" x="108"/>
        <item m="1" x="52"/>
        <item m="1" x="1103"/>
        <item x="18"/>
        <item m="1" x="1993"/>
        <item m="1" x="2016"/>
        <item m="1" x="1911"/>
        <item m="1" x="593"/>
        <item m="1" x="754"/>
        <item m="1" x="755"/>
        <item m="1" x="407"/>
        <item m="1" x="356"/>
        <item m="1" x="1104"/>
        <item m="1" x="2225"/>
        <item m="1" x="1105"/>
        <item m="1" x="756"/>
        <item m="1" x="2158"/>
        <item m="1" x="752"/>
        <item m="1" x="2046"/>
        <item m="1" x="2226"/>
        <item m="1" x="1913"/>
        <item m="1" x="2150"/>
        <item m="1" x="919"/>
        <item m="1" x="2020"/>
        <item m="1" x="208"/>
        <item m="1" x="1708"/>
        <item m="1" x="1111"/>
        <item m="1" x="454"/>
        <item m="1" x="1112"/>
        <item m="1" x="309"/>
        <item m="1" x="1869"/>
        <item m="1" x="302"/>
        <item m="1" x="852"/>
        <item m="1" x="1205"/>
        <item m="1" x="1113"/>
        <item m="1" x="713"/>
        <item m="1" x="638"/>
        <item m="1" x="1210"/>
        <item m="1" x="1070"/>
        <item m="1" x="1805"/>
        <item m="1" x="1806"/>
        <item m="1" x="216"/>
        <item m="1" x="1809"/>
        <item m="1" x="875"/>
        <item m="1" x="2669"/>
        <item m="1" x="1126"/>
        <item m="1" x="110"/>
        <item m="1" x="1054"/>
        <item m="1" x="1830"/>
        <item m="1" x="1832"/>
        <item m="1" x="1818"/>
        <item m="1" x="1106"/>
        <item x="19"/>
        <item m="1" x="1043"/>
        <item m="1" x="1712"/>
        <item x="33"/>
        <item m="1" x="1615"/>
        <item m="1" x="1810"/>
        <item m="1" x="1114"/>
        <item m="1" x="1143"/>
        <item m="1" x="1535"/>
        <item m="1" x="1812"/>
        <item m="1" x="2088"/>
        <item m="1" x="1813"/>
        <item m="1" x="111"/>
        <item m="1" x="2228"/>
        <item m="1" x="1000"/>
        <item m="1" x="2229"/>
        <item m="1" x="2578"/>
        <item m="1" x="2230"/>
        <item m="1" x="1030"/>
        <item m="1" x="2564"/>
        <item m="1" x="946"/>
        <item m="1" x="2231"/>
        <item m="1" x="50"/>
        <item m="1" x="378"/>
        <item m="1" x="2232"/>
        <item m="1" x="2456"/>
        <item m="1" x="276"/>
        <item m="1" x="758"/>
        <item m="1" x="1010"/>
        <item m="1" x="1120"/>
        <item m="1" x="900"/>
        <item m="1" x="2663"/>
        <item m="1" x="2233"/>
        <item m="1" x="1015"/>
        <item m="1" x="1026"/>
        <item m="1" x="641"/>
        <item m="1" x="642"/>
        <item m="1" x="597"/>
        <item m="1" x="2606"/>
        <item m="1" x="643"/>
        <item m="1" x="1918"/>
        <item m="1" x="635"/>
        <item m="1" x="1123"/>
        <item m="1" x="2234"/>
        <item m="1" x="112"/>
        <item m="1" x="1742"/>
        <item m="1" x="878"/>
        <item m="1" x="2235"/>
        <item m="1" x="1984"/>
        <item m="1" x="2007"/>
        <item m="1" x="2236"/>
        <item m="1" x="759"/>
        <item m="1" x="933"/>
        <item m="1" x="436"/>
        <item m="1" x="2664"/>
        <item m="1" x="2078"/>
        <item m="1" x="1775"/>
        <item m="1" x="2586"/>
        <item m="1" x="475"/>
        <item m="1" x="1109"/>
        <item m="1" x="2674"/>
        <item m="1" x="2657"/>
        <item m="1" x="1700"/>
        <item m="1" x="539"/>
        <item m="1" x="455"/>
        <item m="1" x="952"/>
        <item m="1" x="315"/>
        <item m="1" x="408"/>
        <item m="1" x="867"/>
        <item m="1" x="2506"/>
        <item m="1" x="114"/>
        <item m="1" x="2237"/>
        <item m="1" x="1402"/>
        <item m="1" x="164"/>
        <item m="1" x="645"/>
        <item m="1" x="1638"/>
        <item m="1" x="1139"/>
        <item m="1" x="1146"/>
        <item m="1" x="554"/>
        <item m="1" x="2634"/>
        <item m="1" x="994"/>
        <item m="1" x="2465"/>
        <item m="1" x="1406"/>
        <item m="1" x="1236"/>
        <item m="1" x="1959"/>
        <item m="1" x="1247"/>
        <item m="1" x="1481"/>
        <item m="1" x="1876"/>
        <item m="1" x="1141"/>
        <item m="1" x="1065"/>
        <item m="1" x="646"/>
        <item sd="0" m="1" x="2731"/>
        <item m="1" x="1573"/>
        <item m="1" x="647"/>
        <item m="1" x="2239"/>
        <item m="1" x="126"/>
        <item m="1" x="96"/>
        <item m="1" x="1329"/>
        <item m="1" x="760"/>
        <item m="1" x="1270"/>
        <item m="1" x="2558"/>
        <item m="1" x="869"/>
        <item m="1" x="1145"/>
        <item m="1" x="1510"/>
        <item x="20"/>
        <item m="1" x="1175"/>
        <item m="1" x="1795"/>
        <item m="1" x="1124"/>
        <item m="1" x="1802"/>
        <item sd="0" x="7"/>
        <item x="37"/>
        <item m="1" x="1298"/>
        <item m="1" x="1339"/>
        <item m="1" x="1816"/>
        <item m="1" x="1762"/>
        <item m="1" x="1532"/>
        <item m="1" x="2240"/>
        <item m="1" x="871"/>
        <item m="1" x="2718"/>
        <item m="1" x="91"/>
        <item m="1" x="2241"/>
        <item m="1" x="2030"/>
        <item m="1" x="1672"/>
        <item m="1" x="761"/>
        <item m="1" x="2089"/>
        <item m="1" x="2227"/>
        <item m="1" x="762"/>
        <item m="1" x="1148"/>
        <item m="1" x="316"/>
        <item m="1" x="2633"/>
        <item m="1" x="1242"/>
        <item m="1" x="260"/>
        <item m="1" x="1412"/>
        <item m="1" x="1384"/>
        <item m="1" x="763"/>
        <item m="1" x="1682"/>
        <item m="1" x="385"/>
        <item m="1" x="591"/>
        <item m="1" x="1565"/>
        <item m="1" x="2243"/>
        <item m="1" x="1153"/>
        <item m="1" x="500"/>
        <item m="1" x="2552"/>
        <item m="1" x="217"/>
        <item m="1" x="1229"/>
        <item m="1" x="373"/>
        <item m="1" x="433"/>
        <item m="1" x="2632"/>
        <item m="1" x="1092"/>
        <item m="1" x="1241"/>
        <item m="1" x="1743"/>
        <item sd="0" m="1" x="244"/>
        <item m="1" x="444"/>
        <item m="1" x="2047"/>
        <item m="1" x="1403"/>
        <item m="1" x="1644"/>
        <item m="1" x="1158"/>
        <item m="1" x="1612"/>
        <item m="1" x="372"/>
        <item m="1" x="2588"/>
        <item m="1" x="1872"/>
        <item m="1" x="1478"/>
        <item m="1" x="2244"/>
        <item m="1" x="1865"/>
        <item m="1" x="319"/>
        <item m="1" x="303"/>
        <item m="1" x="1879"/>
        <item m="1" x="2351"/>
        <item m="1" x="1875"/>
        <item sd="0" m="1" x="2090"/>
        <item m="1" x="2245"/>
        <item m="1" x="2072"/>
        <item m="1" x="2374"/>
        <item m="1" x="2091"/>
        <item m="1" x="311"/>
        <item m="1" x="2246"/>
        <item m="1" x="2247"/>
        <item m="1" x="333"/>
        <item m="1" x="765"/>
        <item m="1" x="1318"/>
        <item m="1" x="2248"/>
        <item m="1" x="1276"/>
        <item m="1" x="650"/>
        <item m="1" x="2557"/>
        <item m="1" x="997"/>
        <item m="1" x="1130"/>
        <item m="1" x="2249"/>
        <item m="1" x="1362"/>
        <item m="1" x="1836"/>
        <item m="1" x="131"/>
        <item m="1" x="202"/>
        <item m="1" x="2250"/>
        <item m="1" x="321"/>
        <item m="1" x="146"/>
        <item m="1" x="2697"/>
        <item m="1" x="652"/>
        <item m="1" x="740"/>
        <item m="1" x="920"/>
        <item m="1" x="291"/>
        <item m="1" x="1170"/>
        <item m="1" x="513"/>
        <item m="1" x="2251"/>
        <item m="1" x="1899"/>
        <item m="1" x="766"/>
        <item sd="0" m="1" x="456"/>
        <item m="1" x="1171"/>
        <item m="1" x="2687"/>
        <item m="1" x="1172"/>
        <item m="1" x="1439"/>
        <item m="1" x="2252"/>
        <item m="1" x="1544"/>
        <item m="1" x="2143"/>
        <item m="1" x="653"/>
        <item m="1" x="615"/>
        <item m="1" x="2615"/>
        <item m="1" x="550"/>
        <item m="1" x="1174"/>
        <item m="1" x="2253"/>
        <item m="1" x="2254"/>
        <item sd="0" m="1" x="445"/>
        <item m="1" x="290"/>
        <item m="1" x="1305"/>
        <item m="1" x="1930"/>
        <item m="1" x="767"/>
        <item m="1" x="992"/>
        <item m="1" x="2565"/>
        <item m="1" x="2658"/>
        <item m="1" x="1915"/>
        <item m="1" x="1221"/>
        <item m="1" x="411"/>
        <item m="1" x="2257"/>
        <item m="1" x="1211"/>
        <item m="1" x="2258"/>
        <item m="1" x="1931"/>
        <item m="1" x="84"/>
        <item m="1" x="1745"/>
        <item m="1" x="1135"/>
        <item m="1" x="2092"/>
        <item m="1" x="654"/>
        <item m="1" x="1413"/>
        <item m="1" x="1131"/>
        <item m="1" x="1215"/>
        <item m="1" x="947"/>
        <item m="1" x="1668"/>
        <item m="1" x="1179"/>
        <item m="1" x="85"/>
        <item m="1" x="553"/>
        <item m="1" x="768"/>
        <item m="1" x="1194"/>
        <item sd="0" x="31"/>
        <item m="1" x="1140"/>
        <item m="1" x="655"/>
        <item m="1" x="233"/>
        <item m="1" x="769"/>
        <item x="27"/>
        <item m="1" x="1627"/>
        <item m="1" x="945"/>
        <item m="1" x="1746"/>
        <item m="1" x="322"/>
        <item m="1" x="1747"/>
        <item m="1" x="1664"/>
        <item m="1" x="1515"/>
        <item m="1" x="1600"/>
        <item m="1" x="1181"/>
        <item m="1" x="1877"/>
        <item m="1" x="2073"/>
        <item m="1" x="891"/>
        <item m="1" x="574"/>
        <item m="1" x="2262"/>
        <item m="1" x="1748"/>
        <item m="1" x="570"/>
        <item m="1" x="2093"/>
        <item m="1" x="2263"/>
        <item m="1" x="1183"/>
        <item m="1" x="2642"/>
        <item m="1" x="171"/>
        <item sd="0" m="1" x="256"/>
        <item m="1" x="1405"/>
        <item m="1" x="1531"/>
        <item m="1" x="488"/>
        <item m="1" x="443"/>
        <item m="1" x="122"/>
        <item m="1" x="1186"/>
        <item m="1" x="2264"/>
        <item m="1" x="326"/>
        <item m="1" x="2265"/>
        <item m="1" x="327"/>
        <item m="1" x="978"/>
        <item m="1" x="2266"/>
        <item m="1" x="248"/>
        <item m="1" x="534"/>
        <item m="1" x="1506"/>
        <item m="1" x="2077"/>
        <item m="1" x="1498"/>
        <item m="1" x="1287"/>
        <item m="1" x="156"/>
        <item m="1" x="394"/>
        <item m="1" x="1361"/>
        <item m="1" x="1592"/>
        <item m="1" x="1492"/>
        <item m="1" x="1468"/>
        <item m="1" x="2580"/>
        <item m="1" x="1568"/>
        <item m="1" x="2026"/>
        <item m="1" x="664"/>
        <item m="1" x="1955"/>
        <item m="1" x="2267"/>
        <item m="1" x="295"/>
        <item m="1" x="1191"/>
        <item m="1" x="1729"/>
        <item m="1" x="771"/>
        <item m="1" x="1195"/>
        <item m="1" x="1571"/>
        <item m="1" x="2094"/>
        <item m="1" x="2015"/>
        <item m="1" x="2524"/>
        <item m="1" x="2271"/>
        <item m="1" x="1789"/>
        <item m="1" x="306"/>
        <item m="1" x="1954"/>
        <item m="1" x="865"/>
        <item m="1" x="1835"/>
        <item m="1" x="801"/>
        <item m="1" x="1790"/>
        <item m="1" x="2272"/>
        <item m="1" x="1774"/>
        <item m="1" x="1653"/>
        <item m="1" x="1441"/>
        <item m="1" x="2095"/>
        <item m="1" x="2274"/>
        <item m="1" x="1793"/>
        <item m="1" x="990"/>
        <item m="1" x="2273"/>
        <item m="1" x="1819"/>
        <item m="1" x="2275"/>
        <item m="1" x="2076"/>
        <item m="1" x="2276"/>
        <item m="1" x="1204"/>
        <item m="1" x="1526"/>
        <item m="1" x="2145"/>
        <item m="1" x="1503"/>
        <item m="1" x="560"/>
        <item m="1" x="1550"/>
        <item m="1" x="872"/>
        <item m="1" x="2277"/>
        <item m="1" x="1425"/>
        <item m="1" x="1340"/>
        <item m="1" x="1167"/>
        <item m="1" x="2278"/>
        <item m="1" x="2279"/>
        <item m="1" x="772"/>
        <item m="1" x="728"/>
        <item m="1" x="658"/>
        <item m="1" x="1176"/>
        <item m="1" x="1315"/>
        <item m="1" x="2096"/>
        <item m="1" x="123"/>
        <item m="1" x="1337"/>
        <item m="1" x="270"/>
        <item m="1" x="2280"/>
        <item m="1" x="125"/>
        <item m="1" x="2074"/>
        <item m="1" x="2281"/>
        <item m="1" x="2282"/>
        <item m="1" x="659"/>
        <item m="1" x="1450"/>
        <item m="1" x="2283"/>
        <item m="1" x="925"/>
        <item m="1" x="1470"/>
        <item m="1" x="1209"/>
        <item m="1" x="660"/>
        <item m="1" x="2550"/>
        <item m="1" x="2648"/>
        <item m="1" x="2345"/>
        <item m="1" x="2097"/>
        <item m="1" x="2048"/>
        <item x="0"/>
        <item m="1" x="1497"/>
        <item m="1" x="2627"/>
        <item m="1" x="1763"/>
        <item m="1" x="1212"/>
        <item m="1" x="410"/>
        <item m="1" x="1961"/>
        <item m="1" x="917"/>
        <item m="1" x="988"/>
        <item m="1" x="1197"/>
        <item m="1" x="2284"/>
        <item m="1" x="1213"/>
        <item m="1" x="773"/>
        <item m="1" x="1214"/>
        <item m="1" x="1686"/>
        <item m="1" x="218"/>
        <item m="1" x="1509"/>
        <item m="1" x="724"/>
        <item m="1" x="1557"/>
        <item m="1" x="330"/>
        <item m="1" x="1216"/>
        <item m="1" x="457"/>
        <item m="1" x="1162"/>
        <item m="1" x="2285"/>
        <item m="1" x="2155"/>
        <item m="1" x="2286"/>
        <item m="1" x="2579"/>
        <item m="1" x="1219"/>
        <item m="1" x="2287"/>
        <item m="1" x="2098"/>
        <item m="1" x="2288"/>
        <item m="1" x="1466"/>
        <item m="1" x="2612"/>
        <item m="1" x="2049"/>
        <item m="1" x="176"/>
        <item m="1" x="1749"/>
        <item m="1" x="1455"/>
        <item m="1" x="458"/>
        <item m="1" x="1933"/>
        <item m="1" x="1658"/>
        <item m="1" x="775"/>
        <item m="1" x="459"/>
        <item m="1" x="129"/>
        <item m="1" x="219"/>
        <item m="1" x="2180"/>
        <item m="1" x="750"/>
        <item m="1" x="1044"/>
        <item m="1" x="661"/>
        <item m="1" x="663"/>
        <item m="1" x="809"/>
        <item m="1" x="130"/>
        <item m="1" x="585"/>
        <item m="1" x="1624"/>
        <item m="1" x="943"/>
        <item m="1" x="80"/>
        <item m="1" x="1817"/>
        <item m="1" x="2289"/>
        <item m="1" x="1997"/>
        <item m="1" x="960"/>
        <item m="1" x="665"/>
        <item m="1" x="505"/>
        <item m="1" x="2100"/>
        <item m="1" x="332"/>
        <item m="1" x="776"/>
        <item m="1" x="2290"/>
        <item m="1" x="2291"/>
        <item m="1" x="1169"/>
        <item m="1" x="1022"/>
        <item m="1" x="2101"/>
        <item sd="0" m="1" x="2710"/>
        <item m="1" x="2292"/>
        <item m="1" x="182"/>
        <item m="1" x="48"/>
        <item m="1" x="2269"/>
        <item m="1" x="607"/>
        <item m="1" x="2388"/>
        <item m="1" x="252"/>
        <item m="1" x="2692"/>
        <item m="1" x="320"/>
        <item m="1" x="863"/>
        <item m="1" x="2293"/>
        <item m="1" x="1436"/>
        <item m="1" x="2102"/>
        <item m="1" x="376"/>
        <item m="1" x="2513"/>
        <item m="1" x="359"/>
        <item m="1" x="2147"/>
        <item m="1" x="2154"/>
        <item m="1" x="662"/>
        <item m="1" x="334"/>
        <item m="1" x="235"/>
        <item m="1" x="2103"/>
        <item m="1" x="76"/>
        <item m="1" x="1919"/>
        <item m="1" x="405"/>
        <item m="1" x="2534"/>
        <item m="1" x="2104"/>
        <item m="1" x="2294"/>
        <item m="1" x="1972"/>
        <item m="1" x="1228"/>
        <item m="1" x="1788"/>
        <item x="46"/>
        <item m="1" x="1189"/>
        <item m="1" x="462"/>
        <item m="1" x="1901"/>
        <item m="1" x="777"/>
        <item m="1" x="2592"/>
        <item m="1" x="335"/>
        <item m="1" x="2295"/>
        <item m="1" x="2296"/>
        <item m="1" x="612"/>
        <item m="1" x="1027"/>
        <item m="1" x="363"/>
        <item m="1" x="1750"/>
        <item m="1" x="1230"/>
        <item m="1" x="1799"/>
        <item m="1" x="1231"/>
        <item m="1" x="2297"/>
        <item m="1" x="1936"/>
        <item m="1" x="579"/>
        <item m="1" x="220"/>
        <item m="1" x="666"/>
        <item m="1" x="391"/>
        <item m="1" x="2724"/>
        <item m="1" x="2701"/>
        <item m="1" x="2656"/>
        <item m="1" x="778"/>
        <item m="1" x="1675"/>
        <item m="1" x="2298"/>
        <item m="1" x="53"/>
        <item m="1" x="1820"/>
        <item m="1" x="1232"/>
        <item m="1" x="1853"/>
        <item m="1" x="1469"/>
        <item m="1" x="61"/>
        <item m="1" x="1884"/>
        <item m="1" x="1941"/>
        <item m="1" x="623"/>
        <item m="1" x="2386"/>
        <item m="1" x="1263"/>
        <item m="1" x="1971"/>
        <item m="1" x="1039"/>
        <item m="1" x="1233"/>
        <item m="1" x="530"/>
        <item m="1" x="1892"/>
        <item m="1" x="2300"/>
        <item m="1" x="1165"/>
        <item m="1" x="1507"/>
        <item m="1" x="779"/>
        <item m="1" x="2645"/>
        <item m="1" x="2106"/>
        <item m="1" x="358"/>
        <item m="1" x="2301"/>
        <item m="1" x="1386"/>
        <item m="1" x="1822"/>
        <item m="1" x="1235"/>
        <item m="1" x="318"/>
        <item m="1" x="2302"/>
        <item m="1" x="1009"/>
        <item m="1" x="1108"/>
        <item m="1" x="2303"/>
        <item m="1" x="2304"/>
        <item m="1" x="1437"/>
        <item m="1" x="581"/>
        <item m="1" x="1100"/>
        <item m="1" x="1071"/>
        <item m="1" x="2305"/>
        <item m="1" x="370"/>
        <item m="1" x="1259"/>
        <item m="1" x="59"/>
        <item m="1" x="1683"/>
        <item m="1" x="336"/>
        <item m="1" x="60"/>
        <item m="1" x="337"/>
        <item m="1" x="2306"/>
        <item m="1" x="1245"/>
        <item m="1" x="2307"/>
        <item m="1" x="268"/>
        <item m="1" x="512"/>
        <item m="1" x="1177"/>
        <item m="1" x="868"/>
        <item m="1" x="667"/>
        <item m="1" x="1516"/>
        <item m="1" x="494"/>
        <item m="1" x="1238"/>
        <item m="1" x="388"/>
        <item m="1" x="283"/>
        <item m="1" x="104"/>
        <item m="1" x="1513"/>
        <item m="1" x="2107"/>
        <item m="1" x="1539"/>
        <item m="1" x="537"/>
        <item m="1" x="1752"/>
        <item m="1" x="101"/>
        <item m="1" x="195"/>
        <item m="1" x="338"/>
        <item m="1" x="668"/>
        <item m="1" x="1193"/>
        <item m="1" x="438"/>
        <item m="1" x="221"/>
        <item x="32"/>
        <item m="1" x="2309"/>
        <item m="1" x="2310"/>
        <item m="1" x="1679"/>
        <item m="1" x="2311"/>
        <item m="1" x="948"/>
        <item m="1" x="1928"/>
        <item m="1" x="1551"/>
        <item m="1" x="288"/>
        <item m="1" x="273"/>
        <item m="1" x="1711"/>
        <item m="1" x="185"/>
        <item m="1" x="1461"/>
        <item m="1" x="1239"/>
        <item m="1" x="1937"/>
        <item m="1" x="903"/>
        <item m="1" x="692"/>
        <item m="1" x="506"/>
        <item m="1" x="2312"/>
        <item m="1" x="2313"/>
        <item m="1" x="669"/>
        <item m="1" x="876"/>
        <item m="1" x="2314"/>
        <item m="1" x="1244"/>
        <item m="1" x="2108"/>
        <item m="1" x="1420"/>
        <item m="1" x="2315"/>
        <item m="1" x="1992"/>
        <item m="1" x="826"/>
        <item m="1" x="2567"/>
        <item m="1" x="774"/>
        <item m="1" x="75"/>
        <item m="1" x="1246"/>
        <item m="1" x="2317"/>
        <item m="1" x="2318"/>
        <item m="1" x="672"/>
        <item m="1" x="2319"/>
        <item m="1" x="1645"/>
        <item m="1" x="2017"/>
        <item m="1" x="1248"/>
        <item m="1" x="1249"/>
        <item m="1" x="781"/>
        <item m="1" x="1250"/>
        <item m="1" x="1060"/>
        <item m="1" x="671"/>
        <item m="1" x="1252"/>
        <item m="1" x="1880"/>
        <item m="1" x="1286"/>
        <item x="6"/>
        <item m="1" x="348"/>
        <item m="1" x="2320"/>
        <item m="1" x="1243"/>
        <item m="1" x="354"/>
        <item m="1" x="2179"/>
        <item m="1" x="2321"/>
        <item m="1" x="1440"/>
        <item m="1" x="884"/>
        <item m="1" x="629"/>
        <item m="1" x="2152"/>
        <item m="1" x="764"/>
        <item m="1" x="782"/>
        <item m="1" x="2322"/>
        <item m="1" x="783"/>
        <item m="1" x="1371"/>
        <item m="1" x="2323"/>
        <item m="1" x="971"/>
        <item m="1" x="1304"/>
        <item m="1" x="2324"/>
        <item m="1" x="1921"/>
        <item m="1" x="368"/>
        <item m="1" x="279"/>
        <item m="1" x="57"/>
        <item m="1" x="2325"/>
        <item m="1" x="240"/>
        <item m="1" x="286"/>
        <item m="1" x="1589"/>
        <item m="1" x="1271"/>
        <item m="1" x="294"/>
        <item m="1" x="549"/>
        <item m="1" x="784"/>
        <item m="1" x="1602"/>
        <item m="1" x="2326"/>
        <item m="1" x="1546"/>
        <item m="1" x="1487"/>
        <item m="1" x="1419"/>
        <item m="1" x="281"/>
        <item m="1" x="566"/>
        <item m="1" x="341"/>
        <item m="1" x="2554"/>
        <item m="1" x="1740"/>
        <item m="1" x="460"/>
        <item m="1" x="1897"/>
        <item m="1" x="1255"/>
        <item m="1" x="785"/>
        <item m="1" x="786"/>
        <item m="1" x="2598"/>
        <item m="1" x="477"/>
        <item m="1" x="1753"/>
        <item m="1" x="2056"/>
        <item m="1" x="417"/>
        <item x="4"/>
        <item m="1" x="2075"/>
        <item m="1" x="1093"/>
        <item sd="0" m="1" x="2737"/>
        <item m="1" x="590"/>
        <item m="1" x="2707"/>
        <item m="1" x="1057"/>
        <item m="1" x="599"/>
        <item m="1" x="1654"/>
        <item m="1" x="1257"/>
        <item m="1" x="788"/>
        <item m="1" x="1754"/>
        <item m="1" x="536"/>
        <item m="1" x="1258"/>
        <item m="1" x="2327"/>
        <item m="1" x="789"/>
        <item m="1" x="567"/>
        <item m="1" x="2328"/>
        <item m="1" x="2329"/>
        <item m="1" x="439"/>
        <item m="1" x="406"/>
        <item m="1" x="269"/>
        <item m="1" x="1208"/>
        <item m="1" x="1261"/>
        <item m="1" x="1262"/>
        <item m="1" x="592"/>
        <item m="1" x="1522"/>
        <item m="1" x="791"/>
        <item m="1" x="1614"/>
        <item m="1" x="1871"/>
        <item m="1" x="2109"/>
        <item m="1" x="1825"/>
        <item m="1" x="559"/>
        <item m="1" x="1591"/>
        <item m="1" x="580"/>
        <item m="1" x="1369"/>
        <item m="1" x="548"/>
        <item m="1" x="1192"/>
        <item sd="0" m="1" x="2105"/>
        <item m="1" x="1256"/>
        <item m="1" x="673"/>
        <item m="1" x="899"/>
        <item m="1" x="1264"/>
        <item m="1" x="1265"/>
        <item m="1" x="1824"/>
        <item m="1" x="2110"/>
        <item x="8"/>
        <item m="1" x="511"/>
        <item m="1" x="546"/>
        <item m="1" x="64"/>
        <item m="1" x="1201"/>
        <item m="1" x="1266"/>
        <item m="1" x="792"/>
        <item m="1" x="1982"/>
        <item x="44"/>
        <item m="1" x="1577"/>
        <item m="1" x="1613"/>
        <item m="1" x="2330"/>
        <item m="1" x="793"/>
        <item m="1" x="2464"/>
        <item m="1" x="2084"/>
        <item m="1" x="794"/>
        <item m="1" x="583"/>
        <item m="1" x="1433"/>
        <item m="1" x="1640"/>
        <item m="1" x="2614"/>
        <item m="1" x="503"/>
        <item m="1" x="1267"/>
        <item m="1" x="1036"/>
        <item m="1" x="1302"/>
        <item m="1" x="1225"/>
        <item m="1" x="404"/>
        <item m="1" x="1251"/>
        <item m="1" x="2013"/>
        <item m="1" x="510"/>
        <item m="1" x="555"/>
        <item m="1" x="1671"/>
        <item m="1" x="1906"/>
        <item m="1" x="2111"/>
        <item m="1" x="1125"/>
        <item m="1" x="461"/>
        <item m="1" x="1351"/>
        <item m="1" x="518"/>
        <item m="1" x="2331"/>
        <item m="1" x="1368"/>
        <item m="1" x="222"/>
        <item m="1" x="2332"/>
        <item m="1" x="795"/>
        <item m="1" x="674"/>
        <item m="1" x="1132"/>
        <item m="1" x="584"/>
        <item m="1" x="1826"/>
        <item m="1" x="2605"/>
        <item m="1" x="1317"/>
        <item m="1" x="1980"/>
        <item m="1" x="1939"/>
        <item m="1" x="1272"/>
        <item m="1" x="675"/>
        <item m="1" x="676"/>
        <item m="1" x="1951"/>
        <item m="1" x="2625"/>
        <item x="13"/>
        <item m="1" x="1474"/>
        <item m="1" x="2333"/>
        <item m="1" x="1277"/>
        <item m="1" x="1572"/>
        <item m="1" x="1278"/>
        <item m="1" x="2334"/>
        <item m="1" x="2335"/>
        <item m="1" x="1784"/>
        <item m="1" x="300"/>
        <item m="1" x="1723"/>
        <item m="1" x="1279"/>
        <item m="1" x="1410"/>
        <item m="1" x="152"/>
        <item m="1" x="1594"/>
        <item m="1" x="277"/>
        <item m="1" x="1074"/>
        <item m="1" x="132"/>
        <item m="1" x="1934"/>
        <item m="1" x="236"/>
        <item m="1" x="1283"/>
        <item m="1" x="2337"/>
        <item m="1" x="426"/>
        <item m="1" x="1606"/>
        <item m="1" x="1966"/>
        <item m="1" x="2391"/>
        <item m="1" x="2338"/>
        <item m="1" x="1354"/>
        <item m="1" x="1463"/>
        <item m="1" x="2340"/>
        <item m="1" x="657"/>
        <item m="1" x="2668"/>
        <item m="1" x="906"/>
        <item m="1" x="2341"/>
        <item sd="0" m="1" x="2739"/>
        <item x="45"/>
        <item m="1" x="463"/>
        <item m="1" x="924"/>
        <item m="1" x="1925"/>
        <item m="1" x="2342"/>
        <item m="1" x="2343"/>
        <item m="1" x="2344"/>
        <item m="1" x="963"/>
        <item m="1" x="2033"/>
        <item m="1" x="2346"/>
        <item sd="0" m="1" x="2223"/>
        <item m="1" x="2715"/>
        <item m="1" x="2613"/>
        <item m="1" x="677"/>
        <item m="1" x="1598"/>
        <item m="1" x="2021"/>
        <item m="1" x="2347"/>
        <item m="1" x="2348"/>
        <item m="1" x="1297"/>
        <item m="1" x="343"/>
        <item m="1" x="2551"/>
        <item m="1" x="353"/>
        <item m="1" x="1964"/>
        <item m="1" x="441"/>
        <item m="1" x="2050"/>
        <item m="1" x="901"/>
        <item m="1" x="1499"/>
        <item m="1" x="450"/>
        <item m="1" x="2654"/>
        <item m="1" x="1646"/>
        <item m="1" x="2466"/>
        <item m="1" x="1860"/>
        <item m="1" x="1299"/>
        <item m="1" x="2028"/>
        <item m="1" x="904"/>
        <item m="1" x="2350"/>
        <item m="1" x="135"/>
        <item m="1" x="2336"/>
        <item m="1" x="2349"/>
        <item m="1" x="2582"/>
        <item m="1" x="234"/>
        <item m="1" x="1524"/>
        <item m="1" x="1414"/>
        <item m="1" x="1301"/>
        <item m="1" x="133"/>
        <item m="1" x="507"/>
        <item m="1" x="527"/>
        <item m="1" x="2112"/>
        <item m="1" x="214"/>
        <item m="1" x="213"/>
        <item m="1" x="1999"/>
        <item m="1" x="2352"/>
        <item m="1" x="1185"/>
        <item m="1" x="74"/>
        <item m="1" x="1311"/>
        <item m="1" x="2607"/>
        <item m="1" x="2151"/>
        <item m="1" x="1755"/>
        <item m="1" x="184"/>
        <item m="1" x="525"/>
        <item m="1" x="1312"/>
        <item m="1" x="1313"/>
        <item m="1" x="543"/>
        <item m="1" x="495"/>
        <item m="1" x="2008"/>
        <item m="1" x="1855"/>
        <item m="1" x="944"/>
        <item m="1" x="1081"/>
        <item m="1" x="223"/>
        <item m="1" x="2353"/>
        <item m="1" x="138"/>
        <item m="1" x="139"/>
        <item m="1" x="73"/>
        <item m="1" x="1007"/>
        <item m="1" x="2354"/>
        <item m="1" x="898"/>
        <item m="1" x="1756"/>
        <item m="1" x="2355"/>
        <item m="1" x="2356"/>
        <item m="1" x="1970"/>
        <item m="1" x="1985"/>
        <item m="1" x="1381"/>
        <item m="1" x="345"/>
        <item m="1" x="797"/>
        <item m="1" x="678"/>
        <item m="1" x="2358"/>
        <item m="1" x="2496"/>
        <item m="1" x="346"/>
        <item m="1" x="2661"/>
        <item m="1" x="237"/>
        <item m="1" x="1628"/>
        <item m="1" x="2359"/>
        <item m="1" x="140"/>
        <item m="1" x="1647"/>
        <item m="1" x="1316"/>
        <item m="1" x="1655"/>
        <item m="1" x="1632"/>
        <item m="1" x="1553"/>
        <item m="1" x="1942"/>
        <item m="1" x="1917"/>
        <item m="1" x="2683"/>
        <item m="1" x="836"/>
        <item m="1" x="2360"/>
        <item m="1" x="1949"/>
        <item m="1" x="712"/>
        <item m="1" x="2113"/>
        <item m="1" x="1285"/>
        <item m="1" x="271"/>
        <item m="1" x="1319"/>
        <item m="1" x="1011"/>
        <item m="1" x="2361"/>
        <item m="1" x="1357"/>
        <item m="1" x="349"/>
        <item m="1" x="2051"/>
        <item x="3"/>
        <item m="1" x="1963"/>
        <item m="1" x="619"/>
        <item m="1" x="2362"/>
        <item m="1" x="877"/>
        <item m="1" x="1893"/>
        <item m="1" x="1827"/>
        <item sd="0" m="1" x="245"/>
        <item m="1" x="996"/>
        <item m="1" x="384"/>
        <item m="1" x="2363"/>
        <item m="1" x="980"/>
        <item m="1" x="1548"/>
        <item m="1" x="2720"/>
        <item m="1" x="949"/>
        <item m="1" x="1102"/>
        <item m="1" x="689"/>
        <item m="1" x="639"/>
        <item m="1" x="1639"/>
        <item m="1" x="1321"/>
        <item m="1" x="1322"/>
        <item m="1" x="2366"/>
        <item m="1" x="528"/>
        <item m="1" x="1973"/>
        <item m="1" x="2553"/>
        <item m="1" x="2590"/>
        <item m="1" x="2583"/>
        <item m="1" x="342"/>
        <item m="1" x="1323"/>
        <item m="1" x="2052"/>
        <item m="1" x="1523"/>
        <item m="1" x="1786"/>
        <item m="1" x="1641"/>
        <item m="1" x="1829"/>
        <item m="1" x="681"/>
        <item m="1" x="350"/>
        <item m="1" x="2711"/>
        <item m="1" x="1324"/>
        <item m="1" x="390"/>
        <item m="1" x="1725"/>
        <item m="1" x="780"/>
        <item m="1" x="2621"/>
        <item m="1" x="955"/>
        <item m="1" x="1924"/>
        <item m="1" x="1950"/>
        <item m="1" x="787"/>
        <item sd="0" x="15"/>
        <item m="1" x="798"/>
        <item m="1" x="323"/>
        <item m="1" x="2364"/>
        <item m="1" x="973"/>
        <item m="1" x="142"/>
        <item m="1" x="2365"/>
        <item m="1" x="82"/>
        <item m="1" x="1372"/>
        <item m="1" x="1987"/>
        <item m="1" x="1831"/>
        <item m="1" x="1198"/>
        <item m="1" x="916"/>
        <item m="1" x="2685"/>
        <item m="1" x="1953"/>
        <item m="1" x="2703"/>
        <item m="1" x="682"/>
        <item m="1" x="264"/>
        <item m="1" x="2367"/>
        <item m="1" x="524"/>
        <item m="1" x="1328"/>
        <item m="1" x="1389"/>
        <item m="1" x="2369"/>
        <item m="1" x="1758"/>
        <item m="1" x="1821"/>
        <item m="1" x="965"/>
        <item m="1" x="1334"/>
        <item m="1" x="544"/>
        <item m="1" x="2053"/>
        <item m="1" x="2655"/>
        <item m="1" x="1807"/>
        <item m="1" x="2114"/>
        <item m="1" x="1345"/>
        <item m="1" x="2467"/>
        <item m="1" x="2370"/>
        <item m="1" x="964"/>
        <item m="1" x="209"/>
        <item m="1" x="2628"/>
        <item m="1" x="1588"/>
        <item m="1" x="1908"/>
        <item m="1" x="1385"/>
        <item m="1" x="1759"/>
        <item m="1" x="51"/>
        <item m="1" x="2371"/>
        <item m="1" x="1275"/>
        <item sd="0" m="1" x="2677"/>
        <item m="1" x="987"/>
        <item m="1" x="2010"/>
        <item m="1" x="683"/>
        <item m="1" x="1760"/>
        <item m="1" x="2373"/>
        <item m="1" x="864"/>
        <item m="1" x="2054"/>
        <item m="1" x="1945"/>
        <item m="1" x="684"/>
        <item m="1" x="572"/>
        <item m="1" x="145"/>
        <item m="1" x="479"/>
        <item m="1" x="1188"/>
        <item m="1" x="799"/>
        <item m="1" x="1833"/>
        <item m="1" x="2375"/>
        <item m="1" x="1761"/>
        <item m="1" x="1883"/>
        <item m="1" x="1048"/>
        <item m="1" x="2568"/>
        <item m="1" x="1891"/>
        <item m="1" x="2376"/>
        <item m="1" x="1716"/>
        <item m="1" x="1642"/>
        <item m="1" x="2377"/>
        <item m="1" x="2432"/>
        <item m="1" x="1542"/>
        <item m="1" x="2691"/>
        <item m="1" x="1370"/>
        <item m="1" x="1133"/>
        <item m="1" x="1636"/>
        <item m="1" x="1815"/>
        <item m="1" x="2665"/>
        <item m="1" x="1320"/>
        <item m="1" x="1447"/>
        <item m="1" x="466"/>
        <item m="1" x="1431"/>
        <item m="1" x="481"/>
        <item m="1" x="1307"/>
        <item m="1" x="1527"/>
        <item m="1" x="1077"/>
        <item m="1" x="297"/>
        <item m="1" x="2006"/>
        <item m="1" x="147"/>
        <item m="1" x="2378"/>
        <item m="1" x="1199"/>
        <item m="1" x="1452"/>
        <item m="1" x="999"/>
        <item m="1" x="2379"/>
        <item m="1" x="113"/>
        <item m="1" x="355"/>
        <item m="1" x="1196"/>
        <item m="1" x="1075"/>
        <item m="1" x="831"/>
        <item m="1" x="802"/>
        <item m="1" x="1202"/>
        <item m="1" x="2055"/>
        <item m="1" x="1536"/>
        <item m="1" x="568"/>
        <item m="1" x="1038"/>
        <item m="1" x="2025"/>
        <item m="1" x="317"/>
        <item m="1" x="1157"/>
        <item m="1" x="154"/>
        <item m="1" x="1300"/>
        <item m="1" x="1485"/>
        <item m="1" x="975"/>
        <item m="1" x="2555"/>
        <item m="1" x="2393"/>
        <item m="1" x="687"/>
        <item m="1" x="293"/>
        <item m="1" x="262"/>
        <item m="1" x="2673"/>
        <item m="1" x="1068"/>
        <item m="1" x="2394"/>
        <item m="1" x="2604"/>
        <item m="1" x="1059"/>
        <item m="1" x="2626"/>
        <item m="1" x="976"/>
        <item m="1" x="2620"/>
        <item m="1" x="1926"/>
        <item m="1" x="2395"/>
        <item m="1" x="2396"/>
        <item m="1" x="224"/>
        <item m="1" x="263"/>
        <item m="1" x="1530"/>
        <item m="1" x="1692"/>
        <item m="1" x="1227"/>
        <item m="1" x="83"/>
        <item m="1" x="2629"/>
        <item m="1" x="2397"/>
        <item m="1" x="2595"/>
        <item m="1" x="1427"/>
        <item m="1" x="1920"/>
        <item m="1" x="808"/>
        <item m="1" x="1428"/>
        <item m="1" x="810"/>
        <item m="1" x="2116"/>
        <item m="1" x="225"/>
        <item m="1" x="2398"/>
        <item m="1" x="1429"/>
        <item m="1" x="2399"/>
        <item m="1" x="688"/>
        <item m="1" x="377"/>
        <item m="1" x="2400"/>
        <item m="1" x="1430"/>
        <item m="1" x="1637"/>
        <item m="1" x="1488"/>
        <item m="1" x="1432"/>
        <item m="1" x="2401"/>
        <item m="1" x="2402"/>
        <item m="1" x="247"/>
        <item m="1" x="480"/>
        <item m="1" x="2623"/>
        <item m="1" x="1765"/>
        <item m="1" x="1518"/>
        <item m="1" x="957"/>
        <item m="1" x="2403"/>
        <item m="1" x="885"/>
        <item m="1" x="2405"/>
        <item m="1" x="2082"/>
        <item m="1" x="2060"/>
        <item m="1" x="467"/>
        <item m="1" x="1373"/>
        <item m="1" x="2406"/>
        <item m="1" x="1837"/>
        <item m="1" x="912"/>
        <item m="1" x="1576"/>
        <item m="1" x="1394"/>
        <item m="1" x="1448"/>
        <item m="1" x="1422"/>
        <item m="1" x="889"/>
        <item m="1" x="1449"/>
        <item m="1" x="1159"/>
        <item m="1" x="66"/>
        <item m="1" x="1894"/>
        <item m="1" x="314"/>
        <item m="1" x="163"/>
        <item m="1" x="1451"/>
        <item m="1" x="2491"/>
        <item m="1" x="381"/>
        <item m="1" x="2407"/>
        <item m="1" x="2408"/>
        <item m="1" x="2410"/>
        <item m="1" x="2675"/>
        <item m="1" x="1751"/>
        <item m="1" x="2409"/>
        <item m="1" x="382"/>
        <item m="1" x="1483"/>
        <item m="1" x="246"/>
        <item m="1" x="1454"/>
        <item m="1" x="1766"/>
        <item m="1" x="55"/>
        <item m="1" x="468"/>
        <item m="1" x="1220"/>
        <item m="1" x="395"/>
        <item m="1" x="1206"/>
        <item sd="0" m="1" x="2727"/>
        <item m="1" x="308"/>
        <item m="1" x="1910"/>
        <item m="1" x="1457"/>
        <item m="1" x="1456"/>
        <item m="1" x="1458"/>
        <item m="1" x="624"/>
        <item m="1" x="1444"/>
        <item m="1" x="1787"/>
        <item m="1" x="2566"/>
        <item m="1" x="2411"/>
        <item m="1" x="367"/>
        <item m="1" x="2412"/>
        <item m="1" x="289"/>
        <item m="1" x="2413"/>
        <item m="1" x="1543"/>
        <item m="1" x="2414"/>
        <item m="1" x="1722"/>
        <item m="1" x="170"/>
        <item m="1" x="2404"/>
        <item m="1" x="160"/>
        <item m="1" x="1392"/>
        <item m="1" x="2693"/>
        <item m="1" x="2556"/>
        <item m="1" x="2415"/>
        <item m="1" x="733"/>
        <item m="1" x="1656"/>
        <item x="14"/>
        <item m="1" x="1912"/>
        <item m="1" x="1528"/>
        <item m="1" x="1284"/>
        <item m="1" x="165"/>
        <item m="1" x="2270"/>
        <item m="1" x="1914"/>
        <item m="1" x="2653"/>
        <item m="1" x="2118"/>
        <item m="1" x="1390"/>
        <item m="1" x="2034"/>
        <item m="1" x="816"/>
        <item m="1" x="166"/>
        <item m="1" x="1281"/>
        <item m="1" x="1395"/>
        <item m="1" x="1471"/>
        <item m="1" x="144"/>
        <item m="1" x="2019"/>
        <item m="1" x="586"/>
        <item m="1" x="2602"/>
        <item m="1" x="2417"/>
        <item m="1" x="2418"/>
        <item m="1" x="817"/>
        <item m="1" x="2636"/>
        <item m="1" x="1409"/>
        <item m="1" x="1472"/>
        <item m="1" x="690"/>
        <item m="1" x="1473"/>
        <item m="1" x="2419"/>
        <item m="1" x="2420"/>
        <item m="1" x="915"/>
        <item m="1" x="2421"/>
        <item m="1" x="2709"/>
        <item m="1" x="2422"/>
        <item m="1" x="2423"/>
        <item m="1" x="2260"/>
        <item m="1" x="862"/>
        <item m="1" x="2684"/>
        <item m="1" x="882"/>
        <item m="1" x="2424"/>
        <item m="1" x="1882"/>
        <item m="1" x="1347"/>
        <item m="1" x="691"/>
        <item m="1" x="2690"/>
        <item m="1" x="351"/>
        <item m="1" x="2139"/>
        <item m="1" x="2469"/>
        <item m="1" x="1034"/>
        <item m="1" x="501"/>
        <item m="1" x="818"/>
        <item m="1" x="819"/>
        <item m="1" x="914"/>
        <item m="1" x="63"/>
        <item m="1" x="2119"/>
        <item m="1" x="656"/>
        <item m="1" x="2425"/>
        <item m="1" x="149"/>
        <item m="1" x="387"/>
        <item m="1" x="557"/>
        <item m="1" x="1785"/>
        <item m="1" x="2061"/>
        <item m="1" x="440"/>
        <item m="1" x="2099"/>
        <item m="1" x="2426"/>
        <item m="1" x="995"/>
        <item m="1" x="1767"/>
        <item m="1" x="991"/>
        <item m="1" x="386"/>
        <item m="1" x="434"/>
        <item m="1" x="2428"/>
        <item m="1" x="2120"/>
        <item m="1" x="820"/>
        <item m="1" x="1994"/>
        <item m="1" x="487"/>
        <item m="1" x="95"/>
        <item m="1" x="482"/>
        <item m="1" x="87"/>
        <item m="1" x="1938"/>
        <item m="1" x="2062"/>
        <item m="1" x="371"/>
        <item m="1" x="210"/>
        <item m="1" x="2671"/>
        <item m="1" x="312"/>
        <item m="1" x="1923"/>
        <item m="1" x="120"/>
        <item m="1" x="2429"/>
        <item m="1" x="966"/>
        <item m="1" x="821"/>
        <item m="1" x="2068"/>
        <item m="1" x="1489"/>
        <item m="1" x="1490"/>
        <item m="1" x="1491"/>
        <item m="1" x="2430"/>
        <item m="1" x="1684"/>
        <item m="1" x="1379"/>
        <item m="1" x="1730"/>
        <item m="1" x="1800"/>
        <item m="1" x="162"/>
        <item m="1" x="1314"/>
        <item m="1" x="694"/>
        <item m="1" x="1493"/>
        <item m="1" x="1435"/>
        <item m="1" x="611"/>
        <item m="1" x="1018"/>
        <item m="1" x="2384"/>
        <item m="1" x="2616"/>
        <item m="1" x="2561"/>
        <item m="1" x="1290"/>
        <item m="1" x="1156"/>
        <item m="1" x="401"/>
        <item m="1" x="2142"/>
        <item m="1" x="383"/>
        <item m="1" x="2433"/>
        <item m="1" x="380"/>
        <item m="1" x="2434"/>
        <item m="1" x="1986"/>
        <item m="1" x="695"/>
        <item m="1" x="1688"/>
        <item m="1" x="907"/>
        <item m="1" x="2387"/>
        <item m="1" x="310"/>
        <item m="1" x="168"/>
        <item m="1" x="954"/>
        <item m="1" x="1342"/>
        <item m="1" x="328"/>
        <item m="1" x="822"/>
        <item m="1" x="403"/>
        <item m="1" x="1486"/>
        <item m="1" x="339"/>
        <item m="1" x="823"/>
        <item m="1" x="2435"/>
        <item m="1" x="502"/>
        <item m="1" x="565"/>
        <item m="1" x="1501"/>
        <item m="1" x="1023"/>
        <item m="1" x="2436"/>
        <item sd="0" m="1" x="2733"/>
        <item m="1" x="1217"/>
        <item m="1" x="800"/>
        <item m="1" x="1467"/>
        <item m="1" x="389"/>
        <item m="1" x="2063"/>
        <item m="1" x="2437"/>
        <item m="1" x="1064"/>
        <item m="1" x="853"/>
        <item m="1" x="936"/>
        <item m="1" x="1596"/>
        <item m="1" x="1502"/>
        <item m="1" x="2438"/>
        <item m="1" x="2129"/>
        <item m="1" x="174"/>
        <item m="1" x="2064"/>
        <item m="1" x="161"/>
        <item m="1" x="931"/>
        <item m="1" x="2584"/>
        <item m="1" x="923"/>
        <item m="1" x="2439"/>
        <item m="1" x="227"/>
        <item m="1" x="1517"/>
        <item m="1" x="2440"/>
        <item x="25"/>
        <item m="1" x="392"/>
        <item m="1" x="824"/>
        <item m="1" x="886"/>
        <item m="1" x="1396"/>
        <item m="1" x="1480"/>
        <item m="1" x="2065"/>
        <item m="1" x="1680"/>
        <item m="1" x="1511"/>
        <item m="1" x="393"/>
        <item m="1" x="2441"/>
        <item m="1" x="1792"/>
        <item m="1" x="172"/>
        <item m="1" x="1967"/>
        <item m="1" x="1512"/>
        <item m="1" x="825"/>
        <item m="1" x="71"/>
        <item m="1" x="1944"/>
        <item m="1" x="2594"/>
        <item m="1" x="2382"/>
        <item m="1" x="1665"/>
        <item m="1" x="2442"/>
        <item m="1" x="375"/>
        <item m="1" x="985"/>
        <item m="1" x="257"/>
        <item m="1" x="1119"/>
        <item m="1" x="2443"/>
        <item m="1" x="721"/>
        <item m="1" x="2444"/>
        <item m="1" x="1376"/>
        <item m="1" x="670"/>
        <item m="1" x="1768"/>
        <item m="1" x="2445"/>
        <item m="1" x="1943"/>
        <item m="1" x="67"/>
        <item m="1" x="1222"/>
        <item m="1" x="2070"/>
        <item m="1" x="180"/>
        <item m="1" x="124"/>
        <item m="1" x="1968"/>
        <item m="1" x="396"/>
        <item m="1" x="1525"/>
        <item m="1" x="1295"/>
        <item m="1" x="340"/>
        <item m="1" x="2447"/>
        <item m="1" x="422"/>
        <item m="1" x="2448"/>
        <item m="1" x="563"/>
        <item m="1" x="893"/>
        <item m="1" x="894"/>
        <item m="1" x="696"/>
        <item m="1" x="2450"/>
        <item m="1" x="1066"/>
        <item m="1" x="2066"/>
        <item m="1" x="2646"/>
        <item m="1" x="2570"/>
        <item m="1" x="1443"/>
        <item m="1" x="226"/>
        <item m="1" x="157"/>
        <item m="1" x="1383"/>
        <item m="1" x="940"/>
        <item m="1" x="2014"/>
        <item m="1" x="697"/>
        <item m="1" x="698"/>
        <item m="1" x="587"/>
        <item m="1" x="2451"/>
        <item m="1" x="1580"/>
        <item m="1" x="2532"/>
        <item m="1" x="253"/>
        <item m="1" x="1814"/>
        <item m="1" x="1118"/>
        <item m="1" x="1180"/>
        <item m="1" x="827"/>
        <item m="1" x="2121"/>
        <item m="1" x="1619"/>
        <item m="1" x="1035"/>
        <item m="1" x="2723"/>
        <item m="1" x="2639"/>
        <item m="1" x="2009"/>
        <item m="1" x="119"/>
        <item m="1" x="1534"/>
        <item m="1" x="2452"/>
        <item m="1" x="1291"/>
        <item m="1" x="398"/>
        <item m="1" x="1728"/>
        <item m="1" x="2316"/>
        <item m="1" x="1560"/>
        <item m="1" x="2619"/>
        <item m="1" x="469"/>
        <item m="1" x="1769"/>
        <item m="1" x="1889"/>
        <item m="1" x="699"/>
        <item sd="0" m="1" x="2732"/>
        <item m="1" x="569"/>
        <item m="1" x="803"/>
        <item x="17"/>
        <item m="1" x="2453"/>
        <item m="1" x="1995"/>
        <item m="1" x="2454"/>
        <item m="1" x="1296"/>
        <item m="1" x="1866"/>
        <item m="1" x="1731"/>
        <item m="1" x="1537"/>
        <item m="1" x="1609"/>
        <item m="1" x="2574"/>
        <item m="1" x="1538"/>
        <item m="1" x="483"/>
        <item m="1" x="1603"/>
        <item m="1" x="178"/>
        <item m="1" x="1791"/>
        <item m="1" x="1840"/>
        <item m="1" x="958"/>
        <item m="1" x="402"/>
        <item m="1" x="258"/>
        <item sd="0" m="1" x="2725"/>
        <item m="1" x="1033"/>
        <item m="1" x="1798"/>
        <item m="1" x="1013"/>
        <item m="1" x="186"/>
        <item m="1" x="1916"/>
        <item m="1" x="968"/>
        <item m="1" x="2599"/>
        <item m="1" x="2140"/>
        <item m="1" x="796"/>
        <item m="1" x="1540"/>
        <item m="1" x="1541"/>
        <item m="1" x="701"/>
        <item m="1" x="1856"/>
        <item m="1" x="897"/>
        <item m="1" x="1857"/>
        <item m="1" x="2455"/>
        <item m="1" x="2660"/>
        <item m="1" x="1115"/>
        <item m="1" x="2471"/>
        <item m="1" x="1896"/>
        <item m="1" x="680"/>
        <item m="1" x="705"/>
        <item m="1" x="446"/>
        <item m="1" x="1350"/>
        <item m="1" x="600"/>
        <item m="1" x="1001"/>
        <item m="1" x="702"/>
        <item m="1" x="1545"/>
        <item x="2"/>
        <item m="1" x="531"/>
        <item m="1" x="634"/>
        <item m="1" x="814"/>
        <item m="1" x="556"/>
        <item x="21"/>
        <item m="1" x="2679"/>
        <item sd="0" m="1" x="1190"/>
        <item m="1" x="1823"/>
        <item m="1" x="790"/>
        <item m="1" x="2696"/>
        <item m="1" x="1127"/>
        <item m="1" x="845"/>
        <item m="1" x="347"/>
        <item m="1" x="1559"/>
        <item m="1" x="1116"/>
        <item m="1" x="1839"/>
        <item m="1" x="1721"/>
        <item m="1" x="1144"/>
        <item m="1" x="1107"/>
        <item m="1" x="888"/>
        <item m="1" x="1332"/>
        <item m="1" x="1845"/>
        <item sd="0" m="1" x="522"/>
        <item m="1" x="1714"/>
        <item m="1" x="1841"/>
        <item m="1" x="627"/>
        <item m="1" x="409"/>
        <item m="1" x="1040"/>
        <item m="1" x="1862"/>
        <item m="1" x="1969"/>
        <item m="1" x="379"/>
        <item m="1" x="1988"/>
        <item m="1" x="703"/>
        <item m="1" x="187"/>
        <item m="1" x="470"/>
        <item m="1" x="2122"/>
        <item m="1" x="1838"/>
        <item m="1" x="1564"/>
        <item m="1" x="198"/>
        <item x="39"/>
        <item m="1" x="913"/>
        <item m="1" x="1867"/>
        <item m="1" x="2458"/>
        <item m="1" x="1529"/>
        <item m="1" x="2459"/>
        <item m="1" x="2460"/>
        <item m="1" x="2462"/>
        <item m="1" x="830"/>
        <item m="1" x="704"/>
        <item m="1" x="2609"/>
        <item m="1" x="305"/>
        <item m="1" x="953"/>
        <item m="1" x="977"/>
        <item m="1" x="2463"/>
        <item m="1" x="2591"/>
        <item m="1" x="2299"/>
        <item m="1" x="189"/>
        <item m="1" x="2381"/>
        <item m="1" x="2662"/>
        <item m="1" x="228"/>
        <item m="1" x="2457"/>
        <item m="1" x="2032"/>
        <item m="1" x="961"/>
        <item m="1" x="1610"/>
        <item m="1" x="229"/>
        <item m="1" x="1772"/>
        <item m="1" x="1567"/>
        <item m="1" x="362"/>
        <item m="1" x="1029"/>
        <item m="1" x="829"/>
        <item m="1" x="1582"/>
        <item m="1" x="447"/>
        <item m="1" x="1150"/>
        <item sd="0" m="1" x="2736"/>
        <item m="1" x="1178"/>
        <item m="1" x="1514"/>
        <item m="1" x="1583"/>
        <item m="1" x="1584"/>
        <item m="1" x="1134"/>
        <item m="1" x="707"/>
        <item m="1" x="1561"/>
        <item m="1" x="2472"/>
        <item m="1" x="2011"/>
        <item m="1" x="1585"/>
        <item m="1" x="1338"/>
        <item m="1" x="909"/>
        <item m="1" x="700"/>
        <item m="1" x="77"/>
        <item m="1" x="2562"/>
        <item m="1" x="1586"/>
        <item m="1" x="2473"/>
        <item m="1" x="1685"/>
        <item m="1" x="564"/>
        <item m="1" x="1110"/>
        <item x="30"/>
        <item m="1" x="2474"/>
        <item m="1" x="2576"/>
        <item m="1" x="2610"/>
        <item m="1" x="1696"/>
        <item m="1" x="1051"/>
        <item m="1" x="2475"/>
        <item m="1" x="2476"/>
        <item m="1" x="1629"/>
        <item m="1" x="2477"/>
        <item m="1" x="1922"/>
        <item m="1" x="2479"/>
        <item m="1" x="2478"/>
        <item m="1" x="1676"/>
        <item m="1" x="1965"/>
        <item m="1" x="2695"/>
        <item m="1" x="496"/>
        <item m="1" x="1990"/>
        <item m="1" x="2689"/>
        <item m="1" x="1590"/>
        <item m="1" x="1155"/>
        <item m="1" x="881"/>
        <item m="1" x="2480"/>
        <item x="11"/>
        <item m="1" x="1960"/>
        <item m="1" x="2481"/>
        <item m="1" x="520"/>
        <item m="1" x="1028"/>
        <item m="1" x="352"/>
        <item m="1" x="2482"/>
        <item m="1" x="504"/>
        <item m="1" x="1496"/>
        <item m="1" x="928"/>
        <item m="1" x="2468"/>
        <item m="1" x="1024"/>
        <item m="1" x="1854"/>
        <item m="1" x="2483"/>
        <item m="1" x="1593"/>
        <item m="1" x="2680"/>
        <item m="1" x="1061"/>
        <item m="1" x="243"/>
        <item m="1" x="191"/>
        <item m="1" x="1579"/>
        <item m="1" x="1595"/>
        <item m="1" x="192"/>
        <item m="1" x="298"/>
        <item m="1" x="1601"/>
        <item m="1" x="962"/>
        <item m="1" x="2485"/>
        <item m="1" x="2124"/>
        <item m="1" x="1421"/>
        <item m="1" x="2005"/>
        <item m="1" x="1648"/>
        <item m="1" x="2125"/>
        <item m="1" x="1184"/>
        <item m="1" x="2676"/>
        <item m="1" x="1604"/>
        <item m="1" x="1558"/>
        <item m="1" x="194"/>
        <item m="1" x="2126"/>
        <item m="1" x="307"/>
        <item m="1" x="588"/>
        <item m="1" x="1168"/>
        <item m="1" x="193"/>
        <item m="1" x="972"/>
        <item m="1" x="413"/>
        <item m="1" x="414"/>
        <item m="1" x="415"/>
        <item m="1" x="169"/>
        <item m="1" x="416"/>
        <item m="1" x="1445"/>
        <item m="1" x="833"/>
        <item m="1" x="2486"/>
        <item m="1" x="1570"/>
        <item m="1" x="855"/>
        <item m="1" x="1533"/>
        <item m="1" x="2487"/>
        <item m="1" x="1842"/>
        <item m="1" x="1773"/>
        <item m="1" x="2488"/>
        <item m="1" x="1563"/>
        <item m="1" x="902"/>
        <item m="1" x="435"/>
        <item m="1" x="860"/>
        <item m="1" x="1121"/>
        <item m="1" x="708"/>
        <item m="1" x="2490"/>
        <item m="1" x="542"/>
        <item m="1" x="1607"/>
        <item m="1" x="1608"/>
        <item m="1" x="1335"/>
        <item sd="0" m="1" x="2719"/>
        <item m="1" x="1864"/>
        <item m="1" x="742"/>
        <item m="1" x="2368"/>
        <item m="1" x="832"/>
        <item m="1" x="1117"/>
        <item m="1" x="239"/>
        <item m="1" x="1426"/>
        <item m="1" x="2492"/>
        <item m="1" x="2493"/>
        <item m="1" x="196"/>
        <item m="1" x="2494"/>
        <item m="1" x="278"/>
        <item sd="0" m="1" x="2740"/>
        <item m="1" x="2069"/>
        <item m="1" x="1797"/>
        <item m="1" x="143"/>
        <item m="1" x="1611"/>
        <item x="42"/>
        <item m="1" x="608"/>
        <item m="1" x="1848"/>
        <item m="1" x="602"/>
        <item m="1" x="1858"/>
        <item m="1" x="1849"/>
        <item m="1" x="1976"/>
        <item m="1" x="1929"/>
        <item m="1" x="603"/>
        <item m="1" x="770"/>
        <item m="1" x="1850"/>
        <item m="1" x="601"/>
        <item m="1" x="606"/>
        <item m="1" x="610"/>
        <item m="1" x="1852"/>
        <item m="1" x="515"/>
        <item sd="0" x="29"/>
        <item m="1" x="1661"/>
        <item x="41"/>
        <item m="1" x="596"/>
        <item m="1" x="1662"/>
        <item m="1" x="514"/>
        <item m="1" x="595"/>
        <item m="1" x="1977"/>
        <item m="1" x="1358"/>
        <item m="1" x="1847"/>
        <item m="1" x="605"/>
        <item m="1" x="1846"/>
        <item m="1" x="609"/>
        <item sd="0" m="1" x="604"/>
        <item x="28"/>
        <item sd="0" m="1" x="2730"/>
        <item sd="0" m="1" x="2735"/>
        <item sd="0" x="26"/>
        <item m="1" x="857"/>
        <item m="1" x="1861"/>
        <item m="1" x="2027"/>
        <item m="1" x="2035"/>
        <item m="1" x="1881"/>
        <item m="1" x="92"/>
        <item m="1" x="1666"/>
        <item m="1" x="1974"/>
        <item m="1" x="1017"/>
        <item m="1" x="805"/>
        <item m="1" x="2699"/>
        <item m="1" x="2427"/>
        <item m="1" x="2446"/>
        <item m="1" x="151"/>
        <item m="1" x="709"/>
        <item m="1" x="1659"/>
        <item m="1" x="421"/>
        <item m="1" x="2067"/>
        <item m="1" x="2495"/>
        <item m="1" x="921"/>
        <item m="1" x="2238"/>
        <item sd="0" m="1" x="2738"/>
        <item m="1" x="1423"/>
        <item m="1" x="582"/>
        <item m="1" x="2123"/>
        <item m="1" x="70"/>
        <item m="1" x="2497"/>
        <item m="1" x="325"/>
        <item m="1" x="2156"/>
        <item m="1" x="2498"/>
        <item m="1" x="2461"/>
        <item m="1" x="1234"/>
        <item m="1" x="934"/>
        <item m="1" x="2672"/>
        <item m="1" x="1067"/>
        <item m="1" x="2256"/>
        <item m="1" x="1308"/>
        <item m="1" x="1669"/>
        <item m="1" x="1446"/>
        <item m="1" x="1154"/>
        <item m="1" x="2127"/>
        <item m="1" x="423"/>
        <item m="1" x="1400"/>
        <item m="1" x="424"/>
        <item m="1" x="1958"/>
        <item m="1" x="197"/>
        <item m="1" x="2499"/>
        <item m="1" x="1673"/>
        <item m="1" x="517"/>
        <item m="1" x="1477"/>
        <item m="1" x="2500"/>
        <item m="1" x="1808"/>
        <item m="1" x="892"/>
        <item m="1" x="1138"/>
        <item m="1" x="275"/>
        <item m="1" x="834"/>
        <item m="1" x="79"/>
        <item m="1" x="910"/>
        <item m="1" x="136"/>
        <item m="1" x="203"/>
        <item m="1" x="2575"/>
        <item m="1" x="2585"/>
        <item m="1" x="939"/>
        <item m="1" x="1366"/>
        <item m="1" x="1136"/>
        <item m="1" x="1605"/>
        <item m="1" x="1226"/>
        <item m="1" x="484"/>
        <item m="1" x="1677"/>
        <item m="1" x="2714"/>
        <item m="1" x="993"/>
        <item m="1" x="1387"/>
        <item m="1" x="1678"/>
        <item m="1" x="1895"/>
        <item m="1" x="1365"/>
        <item m="1" x="1649"/>
        <item m="1" x="1620"/>
        <item m="1" x="1599"/>
        <item m="1" x="1122"/>
        <item m="1" x="489"/>
        <item m="1" x="1352"/>
        <item m="1" x="1616"/>
        <item m="1" x="835"/>
        <item m="1" x="2515"/>
        <item m="1" x="230"/>
        <item m="1" x="533"/>
        <item m="1" x="2501"/>
        <item m="1" x="261"/>
        <item m="1" x="201"/>
        <item m="1" x="285"/>
        <item m="1" x="2502"/>
        <item m="1" x="1187"/>
        <item m="1" x="552"/>
        <item m="1" x="2503"/>
        <item m="1" x="630"/>
        <item m="1" x="859"/>
        <item m="1" x="1975"/>
        <item m="1" x="2504"/>
        <item m="1" x="2713"/>
        <item m="1" x="2694"/>
        <item m="1" x="1076"/>
        <item m="1" x="905"/>
        <item m="1" x="2514"/>
        <item m="1" x="1828"/>
        <item m="1" x="1164"/>
        <item m="1" x="1415"/>
        <item m="1" x="2587"/>
        <item m="1" x="2698"/>
        <item m="1" x="1697"/>
        <item m="1" x="1401"/>
        <item m="1" x="1292"/>
        <item m="1" x="2505"/>
        <item m="1" x="2702"/>
        <item m="1" x="280"/>
        <item m="1" x="879"/>
        <item m="1" x="937"/>
        <item x="34"/>
        <item m="1" x="365"/>
        <item m="1" x="1566"/>
        <item m="1" x="710"/>
        <item m="1" x="490"/>
        <item sd="0" m="1" x="493"/>
        <item m="1" x="711"/>
        <item m="1" x="400"/>
        <item m="1" x="2507"/>
        <item m="1" x="2624"/>
        <item m="1" x="632"/>
        <item m="1" x="2189"/>
        <item m="1" x="1631"/>
        <item m="1" x="2706"/>
        <item m="1" x="729"/>
        <item m="1" x="2617"/>
        <item x="24"/>
        <item m="1" x="1331"/>
        <item m="1" x="838"/>
        <item m="1" x="2022"/>
        <item m="1" x="1689"/>
        <item m="1" x="1690"/>
        <item m="1" x="2308"/>
        <item m="1" x="1794"/>
        <item m="1" x="1173"/>
        <item m="1" x="651"/>
        <item m="1" x="2652"/>
        <item m="1" x="1101"/>
        <item m="1" x="2128"/>
        <item m="1" x="613"/>
        <item m="1" x="137"/>
        <item m="1" x="813"/>
        <item m="1" x="2603"/>
        <item m="1" x="1343"/>
        <item m="1" x="2509"/>
        <item m="1" x="839"/>
        <item m="1" x="1691"/>
        <item m="1" x="121"/>
        <item m="1" x="425"/>
        <item m="1" x="2431"/>
        <item m="1" x="1890"/>
        <item m="1" x="1776"/>
        <item m="1" x="1904"/>
        <item m="1" x="2144"/>
        <item m="1" x="62"/>
        <item m="1" x="1055"/>
        <item m="1" x="840"/>
        <item m="1" x="2383"/>
        <item m="1" x="1578"/>
        <item m="1" x="2510"/>
        <item m="1" x="1660"/>
        <item m="1" x="485"/>
        <item m="1" x="1207"/>
        <item m="1" x="1693"/>
        <item m="1" x="1663"/>
        <item m="1" x="1657"/>
        <item m="1" x="858"/>
        <item m="1" x="2511"/>
        <item m="1" x="2001"/>
        <item m="1" x="841"/>
        <item m="1" x="1411"/>
        <item m="1" x="837"/>
        <item m="1" x="2597"/>
        <item m="1" x="1694"/>
        <item m="1" x="1801"/>
        <item m="1" x="1695"/>
        <item m="1" x="1681"/>
        <item m="1" x="1587"/>
        <item m="1" x="1160"/>
        <item m="1" x="1569"/>
        <item m="1" x="998"/>
        <item m="1" x="856"/>
        <item m="1" x="1166"/>
        <item m="1" x="2512"/>
        <item m="1" x="150"/>
        <item m="1" x="2149"/>
        <item m="1" x="1223"/>
        <item m="1" x="212"/>
        <item m="1" x="918"/>
        <item m="1" x="1989"/>
        <item m="1" x="1979"/>
        <item m="1" x="2268"/>
        <item m="1" x="56"/>
        <item m="1" x="1562"/>
        <item m="1" x="1581"/>
        <item m="1" x="2390"/>
        <item m="1" x="969"/>
        <item m="1" x="473"/>
        <item m="1" x="843"/>
        <item m="1" x="1625"/>
        <item m="1" x="935"/>
        <item m="1" x="2023"/>
        <item m="1" x="1462"/>
        <item m="1" x="2666"/>
        <item m="1" x="2024"/>
        <item x="9"/>
        <item m="1" x="1698"/>
        <item m="1" x="1375"/>
        <item m="1" x="1699"/>
        <item m="1" x="179"/>
        <item m="1" x="2148"/>
        <item m="1" x="589"/>
        <item m="1" x="558"/>
        <item m="1" x="1019"/>
        <item m="1" x="69"/>
        <item m="1" x="199"/>
        <item m="1" x="844"/>
        <item m="1" x="714"/>
        <item m="1" x="2449"/>
        <item m="1" x="715"/>
        <item m="1" x="1670"/>
        <item m="1" x="1407"/>
        <item m="1" x="2130"/>
        <item m="1" x="1702"/>
        <item m="1" x="427"/>
        <item m="1" x="190"/>
        <item m="1" x="1479"/>
        <item m="1" x="679"/>
        <item m="1" x="716"/>
        <item m="1" x="65"/>
        <item m="1" x="1703"/>
        <item m="1" x="1851"/>
        <item m="1" x="717"/>
        <item m="1" x="486"/>
        <item m="1" x="231"/>
        <item m="1" x="2079"/>
        <item m="1" x="2131"/>
        <item m="1" x="1626"/>
        <item m="1" x="2516"/>
        <item m="1" x="1374"/>
        <item m="1" x="1280"/>
        <item m="1" x="927"/>
        <item m="1" x="299"/>
        <item sd="0" m="1" x="2734"/>
        <item m="1" x="1843"/>
        <item m="1" x="1991"/>
        <item m="1" x="200"/>
        <item m="1" x="1859"/>
        <item m="1" x="86"/>
        <item m="1" x="1268"/>
        <item m="1" x="1417"/>
        <item m="1" x="1706"/>
        <item m="1" x="1269"/>
        <item m="1" x="2132"/>
        <item m="1" x="989"/>
        <item m="1" x="1704"/>
        <item m="1" x="637"/>
        <item m="1" x="706"/>
        <item sd="0" m="1" x="640"/>
        <item m="1" x="842"/>
        <item m="1" x="105"/>
        <item m="1" x="173"/>
        <item m="1" x="1495"/>
        <item m="1" x="896"/>
        <item m="1" x="2517"/>
        <item m="1" x="2518"/>
        <item m="1" x="982"/>
        <item m="1" x="2519"/>
        <item m="1" x="718"/>
        <item m="1" x="1705"/>
        <item m="1" x="1519"/>
        <item m="1" x="2644"/>
        <item m="1" x="2640"/>
        <item m="1" x="2520"/>
        <item m="1" x="1025"/>
        <item m="1" x="1182"/>
        <item m="1" x="1946"/>
        <item m="1" x="1635"/>
        <item m="1" x="984"/>
        <item m="1" x="1274"/>
        <item m="1" x="2521"/>
        <item m="1" x="1633"/>
        <item m="1" x="2522"/>
        <item m="1" x="861"/>
        <item m="1" x="1707"/>
        <item m="1" x="1834"/>
        <item m="1" x="1634"/>
        <item m="1" x="2700"/>
        <item m="1" x="127"/>
        <item m="1" x="1032"/>
        <item m="1" x="2203"/>
        <item m="1" x="1404"/>
        <item m="1" x="1494"/>
        <item m="1" x="1770"/>
        <item m="1" x="1983"/>
        <item m="1" x="2523"/>
        <item m="1" x="1709"/>
        <item m="1" x="1777"/>
        <item m="1" x="2525"/>
        <item m="1" x="719"/>
        <item m="1" x="1927"/>
        <item m="1" x="1996"/>
        <item m="1" x="846"/>
        <item m="1" x="2526"/>
        <item m="1" x="2392"/>
        <item m="1" x="519"/>
        <item m="1" x="1086"/>
        <item m="1" x="2059"/>
        <item m="1" x="598"/>
        <item m="1" x="757"/>
        <item m="1" x="535"/>
        <item m="1" x="2133"/>
        <item m="1" x="2527"/>
        <item m="1" x="204"/>
        <item m="1" x="720"/>
        <item x="35"/>
        <item m="1" x="1713"/>
        <item m="1" x="1014"/>
        <item m="1" x="1424"/>
        <item m="1" x="941"/>
        <item m="1" x="2712"/>
        <item m="1" x="420"/>
        <item m="1" x="2528"/>
        <item m="1" x="1391"/>
        <item m="1" x="2012"/>
        <item m="1" x="2573"/>
        <item m="1" x="938"/>
        <item m="1" x="2134"/>
        <item m="1" x="267"/>
        <item m="1" x="2529"/>
        <item m="1" x="1293"/>
        <item m="1" x="614"/>
        <item sd="0" m="1" x="2722"/>
        <item m="1" x="2593"/>
        <item m="1" x="1416"/>
        <item m="1" x="324"/>
        <item m="1" x="428"/>
        <item m="1" x="2530"/>
        <item m="1" x="2029"/>
        <item m="1" x="723"/>
        <item m="1" x="2259"/>
        <item m="1" x="541"/>
        <item m="1" x="1618"/>
        <item m="1" x="1674"/>
        <item m="1" x="1778"/>
        <item m="1" x="911"/>
        <item m="1" x="2531"/>
        <item m="1" x="847"/>
        <item x="23"/>
        <item m="1" x="478"/>
        <item m="1" x="848"/>
        <item m="1" x="929"/>
        <item m="1" x="1844"/>
        <item m="1" x="1715"/>
        <item m="1" x="1710"/>
        <item m="1" x="1004"/>
        <item m="1" x="726"/>
        <item m="1" x="2135"/>
        <item m="1" x="1353"/>
        <item m="1" x="1717"/>
        <item m="1" x="1779"/>
        <item sd="0" m="1" x="465"/>
        <item m="1" x="1260"/>
        <item m="1" x="974"/>
        <item m="1" x="2533"/>
        <item m="1" x="188"/>
        <item m="1" x="2647"/>
        <item m="1" x="2686"/>
        <item m="1" x="866"/>
        <item m="1" x="1811"/>
        <item m="1" x="812"/>
        <item x="43"/>
        <item m="1" x="1718"/>
        <item m="1" x="1719"/>
        <item m="1" x="1398"/>
        <item m="1" x="1720"/>
        <item sd="0" m="1" x="2728"/>
        <item m="1" x="128"/>
        <item m="1" x="205"/>
        <item m="1" x="686"/>
        <item m="1" x="2622"/>
        <item m="1" x="1780"/>
        <item m="1" x="685"/>
        <item m="1" x="2416"/>
        <item m="1" x="2705"/>
        <item m="1" x="1333"/>
        <item m="1" x="1667"/>
        <item m="1" x="2136"/>
        <item m="1" x="1781"/>
        <item m="1" x="329"/>
        <item m="1" x="1724"/>
        <item m="1" x="206"/>
        <item m="1" x="153"/>
        <item m="1" x="2643"/>
        <item m="1" x="849"/>
        <item m="1" x="854"/>
        <item m="1" x="2631"/>
        <item m="1" x="471"/>
        <item m="1" x="2535"/>
        <item m="1" x="1902"/>
        <item m="1" x="722"/>
        <item m="1" x="540"/>
        <item m="1" x="2255"/>
        <item m="1" x="850"/>
        <item m="1" x="183"/>
        <item m="1" x="693"/>
        <item m="1" x="644"/>
        <item m="1" x="1726"/>
        <item m="1" x="967"/>
        <item sd="0" m="1" x="2117"/>
        <item m="1" x="397"/>
        <item m="1" x="1504"/>
        <item x="40"/>
        <item sd="0" m="1" x="2729"/>
        <item m="1" x="1273"/>
        <item m="1" x="2536"/>
        <item m="1" x="2470"/>
        <item m="1" x="429"/>
        <item m="1" x="2537"/>
        <item m="1" x="2538"/>
        <item m="1" x="2569"/>
        <item m="1" x="2539"/>
        <item m="1" x="1460"/>
        <item m="1" x="2058"/>
        <item m="1" x="2540"/>
        <item m="1" x="942"/>
        <item m="1" x="2031"/>
        <item m="1" x="1597"/>
        <item m="1" x="2541"/>
        <item m="1" x="1325"/>
        <item m="1" x="2071"/>
        <item m="1" x="828"/>
        <item m="1" x="430"/>
        <item m="1" x="1356"/>
        <item m="1" x="1031"/>
        <item x="16"/>
        <item m="1" x="1957"/>
        <item m="1" x="1434"/>
        <item m="1" x="874"/>
        <item m="1" x="2542"/>
        <item m="1" x="2543"/>
        <item m="1" x="249"/>
        <item m="1" x="207"/>
        <item m="1" x="2544"/>
        <item m="1" x="2545"/>
        <item m="1" x="2137"/>
        <item m="1" x="2138"/>
        <item m="1" x="1002"/>
        <item m="1" x="134"/>
        <item m="1" x="1732"/>
        <item m="1" x="1326"/>
        <item m="1" x="155"/>
        <item m="1" x="211"/>
        <item m="1" x="1161"/>
        <item x="36"/>
        <item m="1" x="141"/>
        <item m="1" x="2548"/>
        <item m="1" x="508"/>
        <item m="1" x="930"/>
        <item m="1" x="571"/>
        <item m="1" x="2372"/>
        <item m="1" x="2357"/>
        <item m="1" x="241"/>
        <item m="1" x="1733"/>
        <item m="1" x="1734"/>
        <item m="1" x="431"/>
        <item m="1" x="851"/>
        <item m="1" x="2546"/>
        <item m="1" x="532"/>
        <item m="1" x="1521"/>
        <item m="1" x="1554"/>
        <item m="1" x="2547"/>
        <item m="1" x="1782"/>
        <item m="1" x="1903"/>
        <item m="1" x="2549"/>
        <item m="1" x="1735"/>
        <item m="1" x="1650"/>
        <item m="1" x="1736"/>
        <item m="1" x="2708"/>
        <item t="default" sd="0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4"/>
    <field x="0"/>
  </rowFields>
  <rowItems count="1">
    <i t="grand">
      <x/>
    </i>
  </rowItems>
  <colItems count="1">
    <i/>
  </colItems>
  <pageFields count="1">
    <pageField fld="3" hier="-1"/>
  </pageFields>
  <dataFields count="1">
    <dataField name="Total" fld="9" baseField="0" baseItem="0" numFmtId="44"/>
  </dataFields>
  <formats count="9">
    <format dxfId="94">
      <pivotArea collapsedLevelsAreSubtotals="1" fieldPosition="0">
        <references count="1">
          <reference field="4" count="1">
            <x v="275"/>
          </reference>
        </references>
      </pivotArea>
    </format>
    <format dxfId="93">
      <pivotArea collapsedLevelsAreSubtotals="1" fieldPosition="0">
        <references count="1">
          <reference field="4" count="1">
            <x v="664"/>
          </reference>
        </references>
      </pivotArea>
    </format>
    <format dxfId="92">
      <pivotArea collapsedLevelsAreSubtotals="1" fieldPosition="0">
        <references count="1">
          <reference field="4" count="1">
            <x v="789"/>
          </reference>
        </references>
      </pivotArea>
    </format>
    <format dxfId="91">
      <pivotArea collapsedLevelsAreSubtotals="1" fieldPosition="0">
        <references count="1">
          <reference field="4" count="1">
            <x v="1446"/>
          </reference>
        </references>
      </pivotArea>
    </format>
    <format dxfId="90">
      <pivotArea collapsedLevelsAreSubtotals="1" fieldPosition="0">
        <references count="1">
          <reference field="4" count="1">
            <x v="1688"/>
          </reference>
        </references>
      </pivotArea>
    </format>
    <format dxfId="89">
      <pivotArea collapsedLevelsAreSubtotals="1" fieldPosition="0">
        <references count="1">
          <reference field="4" count="1">
            <x v="1989"/>
          </reference>
        </references>
      </pivotArea>
    </format>
    <format dxfId="88">
      <pivotArea dataOnly="0" labelOnly="1" fieldPosition="0">
        <references count="1">
          <reference field="4" count="6">
            <x v="275"/>
            <x v="664"/>
            <x v="789"/>
            <x v="1446"/>
            <x v="1688"/>
            <x v="1989"/>
          </reference>
        </references>
      </pivotArea>
    </format>
    <format dxfId="87">
      <pivotArea field="4" type="button" dataOnly="0" labelOnly="1" outline="0" axis="axisRow" fieldPosition="0"/>
    </format>
    <format dxfId="86">
      <pivotArea dataOnly="0" labelOnly="1" outline="0" axis="axisValues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45D81-4A74-454E-BCF9-F20AC86A0487}" name="PivotTable6" cacheId="42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D4:E7" firstHeaderRow="1" firstDataRow="1" firstDataCol="1" rowPageCount="1" colPageCount="1"/>
  <pivotFields count="15">
    <pivotField showAll="0"/>
    <pivotField numFmtId="165" showAll="0"/>
    <pivotField axis="axisRow" showAll="0" measureFilter="1" sortType="ascending">
      <items count="537">
        <item m="1" x="433"/>
        <item x="0"/>
        <item x="1"/>
        <item x="2"/>
        <item m="1" x="209"/>
        <item x="3"/>
        <item m="1" x="352"/>
        <item m="1" x="358"/>
        <item m="1" x="215"/>
        <item m="1" x="182"/>
        <item m="1" x="297"/>
        <item m="1" x="373"/>
        <item m="1" x="192"/>
        <item m="1" x="381"/>
        <item m="1" x="202"/>
        <item m="1" x="303"/>
        <item x="4"/>
        <item x="5"/>
        <item x="6"/>
        <item m="1" x="533"/>
        <item m="1" x="295"/>
        <item m="1" x="184"/>
        <item m="1" x="488"/>
        <item x="7"/>
        <item m="1" x="510"/>
        <item x="8"/>
        <item x="9"/>
        <item x="10"/>
        <item m="1" x="426"/>
        <item x="11"/>
        <item x="12"/>
        <item x="13"/>
        <item x="14"/>
        <item m="1" x="413"/>
        <item m="1" x="518"/>
        <item m="1" x="385"/>
        <item m="1" x="392"/>
        <item x="15"/>
        <item x="16"/>
        <item m="1" x="504"/>
        <item x="17"/>
        <item m="1" x="447"/>
        <item m="1" x="481"/>
        <item x="18"/>
        <item x="19"/>
        <item m="1" x="347"/>
        <item m="1" x="354"/>
        <item m="1" x="411"/>
        <item m="1" x="418"/>
        <item m="1" x="186"/>
        <item x="20"/>
        <item m="1" x="277"/>
        <item m="1" x="214"/>
        <item x="21"/>
        <item m="1" x="479"/>
        <item m="1" x="436"/>
        <item x="22"/>
        <item m="1" x="367"/>
        <item m="1" x="267"/>
        <item x="23"/>
        <item m="1" x="219"/>
        <item x="24"/>
        <item m="1" x="265"/>
        <item m="1" x="357"/>
        <item x="25"/>
        <item x="26"/>
        <item x="27"/>
        <item m="1" x="228"/>
        <item m="1" x="485"/>
        <item x="28"/>
        <item m="1" x="469"/>
        <item m="1" x="394"/>
        <item x="29"/>
        <item m="1" x="435"/>
        <item x="30"/>
        <item m="1" x="248"/>
        <item x="31"/>
        <item x="32"/>
        <item x="33"/>
        <item x="34"/>
        <item x="35"/>
        <item m="1" x="482"/>
        <item x="36"/>
        <item m="1" x="226"/>
        <item m="1" x="235"/>
        <item x="37"/>
        <item m="1" x="283"/>
        <item x="38"/>
        <item m="1" x="213"/>
        <item m="1" x="274"/>
        <item m="1" x="425"/>
        <item m="1" x="205"/>
        <item m="1" x="345"/>
        <item m="1" x="532"/>
        <item m="1" x="346"/>
        <item m="1" x="443"/>
        <item m="1" x="331"/>
        <item m="1" x="396"/>
        <item m="1" x="253"/>
        <item x="39"/>
        <item m="1" x="501"/>
        <item m="1" x="387"/>
        <item x="40"/>
        <item m="1" x="355"/>
        <item x="41"/>
        <item x="42"/>
        <item x="43"/>
        <item x="44"/>
        <item x="45"/>
        <item m="1" x="289"/>
        <item m="1" x="475"/>
        <item m="1" x="521"/>
        <item m="1" x="200"/>
        <item m="1" x="376"/>
        <item m="1" x="221"/>
        <item m="1" x="270"/>
        <item x="46"/>
        <item m="1" x="431"/>
        <item m="1" x="292"/>
        <item m="1" x="414"/>
        <item m="1" x="375"/>
        <item m="1" x="471"/>
        <item x="47"/>
        <item m="1" x="393"/>
        <item x="48"/>
        <item m="1" x="494"/>
        <item x="49"/>
        <item x="50"/>
        <item m="1" x="183"/>
        <item x="51"/>
        <item m="1" x="416"/>
        <item x="52"/>
        <item m="1" x="290"/>
        <item m="1" x="341"/>
        <item m="1" x="439"/>
        <item m="1" x="257"/>
        <item m="1" x="340"/>
        <item m="1" x="256"/>
        <item x="53"/>
        <item m="1" x="203"/>
        <item x="54"/>
        <item x="55"/>
        <item x="56"/>
        <item m="1" x="529"/>
        <item x="57"/>
        <item m="1" x="461"/>
        <item m="1" x="415"/>
        <item x="58"/>
        <item m="1" x="238"/>
        <item x="59"/>
        <item x="60"/>
        <item m="1" x="452"/>
        <item m="1" x="457"/>
        <item x="61"/>
        <item m="1" x="508"/>
        <item m="1" x="208"/>
        <item m="1" x="321"/>
        <item m="1" x="390"/>
        <item x="62"/>
        <item m="1" x="293"/>
        <item m="1" x="232"/>
        <item m="1" x="366"/>
        <item m="1" x="310"/>
        <item x="63"/>
        <item m="1" x="400"/>
        <item m="1" x="446"/>
        <item m="1" x="251"/>
        <item x="64"/>
        <item x="65"/>
        <item m="1" x="349"/>
        <item x="66"/>
        <item x="67"/>
        <item m="1" x="259"/>
        <item m="1" x="519"/>
        <item x="68"/>
        <item m="1" x="490"/>
        <item x="69"/>
        <item m="1" x="344"/>
        <item m="1" x="255"/>
        <item x="70"/>
        <item x="71"/>
        <item m="1" x="406"/>
        <item x="72"/>
        <item m="1" x="458"/>
        <item x="73"/>
        <item m="1" x="196"/>
        <item m="1" x="314"/>
        <item m="1" x="419"/>
        <item x="74"/>
        <item x="75"/>
        <item x="76"/>
        <item m="1" x="404"/>
        <item m="1" x="302"/>
        <item m="1" x="372"/>
        <item m="1" x="316"/>
        <item x="77"/>
        <item m="1" x="279"/>
        <item m="1" x="276"/>
        <item m="1" x="361"/>
        <item m="1" x="468"/>
        <item m="1" x="371"/>
        <item m="1" x="258"/>
        <item m="1" x="260"/>
        <item m="1" x="430"/>
        <item m="1" x="187"/>
        <item x="78"/>
        <item x="79"/>
        <item x="80"/>
        <item m="1" x="227"/>
        <item m="1" x="427"/>
        <item x="81"/>
        <item m="1" x="395"/>
        <item m="1" x="407"/>
        <item m="1" x="473"/>
        <item m="1" x="445"/>
        <item m="1" x="405"/>
        <item m="1" x="252"/>
        <item m="1" x="464"/>
        <item x="82"/>
        <item m="1" x="230"/>
        <item x="83"/>
        <item m="1" x="514"/>
        <item m="1" x="456"/>
        <item m="1" x="517"/>
        <item m="1" x="325"/>
        <item m="1" x="422"/>
        <item m="1" x="505"/>
        <item m="1" x="241"/>
        <item x="84"/>
        <item m="1" x="195"/>
        <item m="1" x="233"/>
        <item x="85"/>
        <item m="1" x="286"/>
        <item m="1" x="250"/>
        <item x="86"/>
        <item m="1" x="189"/>
        <item m="1" x="470"/>
        <item x="87"/>
        <item x="88"/>
        <item x="89"/>
        <item m="1" x="465"/>
        <item x="90"/>
        <item x="91"/>
        <item m="1" x="489"/>
        <item m="1" x="268"/>
        <item m="1" x="300"/>
        <item m="1" x="360"/>
        <item x="92"/>
        <item m="1" x="315"/>
        <item m="1" x="263"/>
        <item m="1" x="278"/>
        <item m="1" x="199"/>
        <item m="1" x="486"/>
        <item m="1" x="454"/>
        <item m="1" x="211"/>
        <item m="1" x="317"/>
        <item x="93"/>
        <item m="1" x="298"/>
        <item m="1" x="288"/>
        <item x="94"/>
        <item m="1" x="448"/>
        <item x="95"/>
        <item m="1" x="307"/>
        <item m="1" x="294"/>
        <item m="1" x="450"/>
        <item m="1" x="190"/>
        <item m="1" x="512"/>
        <item x="96"/>
        <item x="97"/>
        <item x="98"/>
        <item m="1" x="516"/>
        <item m="1" x="365"/>
        <item m="1" x="242"/>
        <item m="1" x="377"/>
        <item m="1" x="491"/>
        <item x="99"/>
        <item m="1" x="472"/>
        <item x="100"/>
        <item m="1" x="384"/>
        <item x="101"/>
        <item x="102"/>
        <item m="1" x="309"/>
        <item m="1" x="311"/>
        <item x="103"/>
        <item x="104"/>
        <item m="1" x="291"/>
        <item m="1" x="338"/>
        <item m="1" x="285"/>
        <item m="1" x="306"/>
        <item x="105"/>
        <item m="1" x="386"/>
        <item m="1" x="197"/>
        <item m="1" x="528"/>
        <item m="1" x="223"/>
        <item m="1" x="275"/>
        <item m="1" x="194"/>
        <item x="106"/>
        <item m="1" x="403"/>
        <item m="1" x="525"/>
        <item m="1" x="324"/>
        <item m="1" x="201"/>
        <item m="1" x="243"/>
        <item x="107"/>
        <item m="1" x="434"/>
        <item m="1" x="362"/>
        <item x="108"/>
        <item m="1" x="363"/>
        <item m="1" x="437"/>
        <item m="1" x="339"/>
        <item m="1" x="329"/>
        <item m="1" x="284"/>
        <item m="1" x="441"/>
        <item x="109"/>
        <item m="1" x="244"/>
        <item x="110"/>
        <item m="1" x="225"/>
        <item m="1" x="442"/>
        <item m="1" x="402"/>
        <item m="1" x="333"/>
        <item m="1" x="224"/>
        <item x="111"/>
        <item m="1" x="217"/>
        <item m="1" x="188"/>
        <item x="112"/>
        <item m="1" x="383"/>
        <item x="113"/>
        <item m="1" x="212"/>
        <item m="1" x="313"/>
        <item x="114"/>
        <item m="1" x="507"/>
        <item x="115"/>
        <item x="116"/>
        <item m="1" x="493"/>
        <item x="117"/>
        <item m="1" x="330"/>
        <item m="1" x="389"/>
        <item m="1" x="234"/>
        <item m="1" x="408"/>
        <item x="118"/>
        <item x="119"/>
        <item m="1" x="220"/>
        <item m="1" x="506"/>
        <item m="1" x="391"/>
        <item x="120"/>
        <item m="1" x="266"/>
        <item m="1" x="509"/>
        <item m="1" x="374"/>
        <item x="121"/>
        <item m="1" x="359"/>
        <item m="1" x="305"/>
        <item m="1" x="282"/>
        <item x="122"/>
        <item m="1" x="280"/>
        <item x="123"/>
        <item x="124"/>
        <item m="1" x="356"/>
        <item m="1" x="327"/>
        <item m="1" x="398"/>
        <item m="1" x="246"/>
        <item m="1" x="498"/>
        <item x="125"/>
        <item x="126"/>
        <item m="1" x="451"/>
        <item x="127"/>
        <item m="1" x="530"/>
        <item m="1" x="388"/>
        <item x="128"/>
        <item m="1" x="206"/>
        <item m="1" x="191"/>
        <item m="1" x="322"/>
        <item x="129"/>
        <item m="1" x="417"/>
        <item m="1" x="308"/>
        <item m="1" x="534"/>
        <item m="1" x="440"/>
        <item m="1" x="254"/>
        <item x="130"/>
        <item m="1" x="455"/>
        <item m="1" x="523"/>
        <item x="131"/>
        <item m="1" x="296"/>
        <item x="132"/>
        <item x="133"/>
        <item m="1" x="474"/>
        <item m="1" x="334"/>
        <item m="1" x="531"/>
        <item m="1" x="229"/>
        <item x="134"/>
        <item x="135"/>
        <item m="1" x="535"/>
        <item m="1" x="476"/>
        <item x="136"/>
        <item x="137"/>
        <item m="1" x="239"/>
        <item m="1" x="478"/>
        <item x="138"/>
        <item x="139"/>
        <item x="140"/>
        <item m="1" x="423"/>
        <item m="1" x="401"/>
        <item m="1" x="193"/>
        <item x="141"/>
        <item m="1" x="397"/>
        <item m="1" x="526"/>
        <item x="142"/>
        <item m="1" x="271"/>
        <item x="143"/>
        <item m="1" x="428"/>
        <item x="144"/>
        <item x="145"/>
        <item x="146"/>
        <item x="147"/>
        <item x="148"/>
        <item m="1" x="247"/>
        <item x="149"/>
        <item m="1" x="502"/>
        <item m="1" x="207"/>
        <item m="1" x="222"/>
        <item m="1" x="462"/>
        <item m="1" x="520"/>
        <item m="1" x="410"/>
        <item m="1" x="336"/>
        <item m="1" x="511"/>
        <item m="1" x="328"/>
        <item m="1" x="424"/>
        <item m="1" x="421"/>
        <item m="1" x="499"/>
        <item m="1" x="515"/>
        <item m="1" x="527"/>
        <item m="1" x="379"/>
        <item x="150"/>
        <item m="1" x="369"/>
        <item x="151"/>
        <item m="1" x="237"/>
        <item m="1" x="323"/>
        <item x="152"/>
        <item x="153"/>
        <item x="154"/>
        <item m="1" x="348"/>
        <item m="1" x="236"/>
        <item x="155"/>
        <item x="156"/>
        <item m="1" x="483"/>
        <item m="1" x="420"/>
        <item m="1" x="503"/>
        <item m="1" x="332"/>
        <item m="1" x="204"/>
        <item m="1" x="460"/>
        <item x="157"/>
        <item x="158"/>
        <item m="1" x="326"/>
        <item m="1" x="513"/>
        <item x="159"/>
        <item m="1" x="351"/>
        <item m="1" x="216"/>
        <item m="1" x="262"/>
        <item m="1" x="320"/>
        <item m="1" x="453"/>
        <item m="1" x="272"/>
        <item m="1" x="500"/>
        <item x="160"/>
        <item m="1" x="484"/>
        <item m="1" x="231"/>
        <item m="1" x="399"/>
        <item x="161"/>
        <item m="1" x="304"/>
        <item m="1" x="382"/>
        <item m="1" x="318"/>
        <item m="1" x="319"/>
        <item m="1" x="429"/>
        <item m="1" x="378"/>
        <item m="1" x="269"/>
        <item m="1" x="496"/>
        <item m="1" x="281"/>
        <item m="1" x="495"/>
        <item m="1" x="301"/>
        <item x="162"/>
        <item x="163"/>
        <item m="1" x="353"/>
        <item m="1" x="210"/>
        <item m="1" x="343"/>
        <item m="1" x="312"/>
        <item m="1" x="497"/>
        <item m="1" x="185"/>
        <item m="1" x="350"/>
        <item m="1" x="249"/>
        <item m="1" x="368"/>
        <item m="1" x="438"/>
        <item m="1" x="264"/>
        <item m="1" x="342"/>
        <item m="1" x="198"/>
        <item m="1" x="240"/>
        <item m="1" x="467"/>
        <item x="164"/>
        <item m="1" x="337"/>
        <item m="1" x="524"/>
        <item m="1" x="299"/>
        <item x="165"/>
        <item m="1" x="459"/>
        <item m="1" x="218"/>
        <item m="1" x="466"/>
        <item m="1" x="492"/>
        <item x="166"/>
        <item m="1" x="477"/>
        <item m="1" x="449"/>
        <item m="1" x="409"/>
        <item m="1" x="480"/>
        <item x="167"/>
        <item m="1" x="522"/>
        <item x="168"/>
        <item m="1" x="261"/>
        <item m="1" x="245"/>
        <item m="1" x="412"/>
        <item m="1" x="432"/>
        <item x="169"/>
        <item m="1" x="444"/>
        <item m="1" x="370"/>
        <item x="170"/>
        <item x="171"/>
        <item x="172"/>
        <item m="1" x="287"/>
        <item m="1" x="273"/>
        <item x="173"/>
        <item m="1" x="487"/>
        <item x="174"/>
        <item m="1" x="463"/>
        <item x="175"/>
        <item m="1" x="335"/>
        <item x="176"/>
        <item m="1" x="380"/>
        <item m="1" x="364"/>
        <item x="177"/>
        <item x="178"/>
        <item x="179"/>
        <item x="180"/>
        <item m="1" x="181"/>
        <item t="default"/>
      </items>
    </pivotField>
    <pivotField axis="axisPage" multipleItemSelectionAllowed="1" showAll="0">
      <items count="41">
        <item h="1" x="2"/>
        <item h="1" x="7"/>
        <item h="1" x="3"/>
        <item h="1" m="1" x="35"/>
        <item h="1" x="20"/>
        <item h="1" m="1" x="32"/>
        <item h="1" x="5"/>
        <item h="1" x="6"/>
        <item h="1" x="11"/>
        <item h="1" x="15"/>
        <item h="1" m="1" x="30"/>
        <item h="1" x="1"/>
        <item h="1" x="16"/>
        <item h="1" x="21"/>
        <item h="1" x="19"/>
        <item h="1" x="8"/>
        <item h="1" x="0"/>
        <item x="9"/>
        <item h="1" x="13"/>
        <item h="1" x="4"/>
        <item h="1" x="10"/>
        <item h="1" m="1" x="38"/>
        <item h="1" m="1" x="33"/>
        <item h="1" m="1" x="26"/>
        <item h="1" x="12"/>
        <item h="1" m="1" x="28"/>
        <item h="1" m="1" x="36"/>
        <item h="1" m="1" x="37"/>
        <item h="1" m="1" x="29"/>
        <item h="1" m="1" x="39"/>
        <item h="1" m="1" x="23"/>
        <item h="1" m="1" x="31"/>
        <item h="1" m="1" x="25"/>
        <item h="1" x="17"/>
        <item h="1" m="1" x="34"/>
        <item h="1" x="14"/>
        <item h="1" m="1" x="24"/>
        <item h="1" m="1" x="27"/>
        <item h="1" x="18"/>
        <item h="1" x="22"/>
        <item t="default"/>
      </items>
    </pivotField>
    <pivotField showAll="0"/>
    <pivotField numFmtId="4" showAll="0"/>
    <pivotField numFmtId="4" showAll="0"/>
    <pivotField dataField="1" numFmtId="4" showAll="0"/>
    <pivotField numFmtId="4" showAll="0"/>
    <pivotField numFmtId="4" showAll="0"/>
    <pivotField numFmtId="166" showAll="0"/>
    <pivotField showAll="0"/>
    <pivotField showAll="0"/>
    <pivotField showAll="0"/>
    <pivotField showAll="0"/>
  </pivotFields>
  <rowFields count="1">
    <field x="2"/>
  </rowFields>
  <rowItems count="3">
    <i>
      <x v="37"/>
    </i>
    <i>
      <x v="38"/>
    </i>
    <i t="grand">
      <x/>
    </i>
  </rowItems>
  <colItems count="1">
    <i/>
  </colItems>
  <pageFields count="1">
    <pageField fld="3" hier="-1"/>
  </pageFields>
  <dataFields count="1">
    <dataField name="Total" fld="7" baseField="0" baseItem="0" numFmtId="44"/>
  </dataFields>
  <formats count="2">
    <format dxfId="96">
      <pivotArea field="2" type="button" dataOnly="0" labelOnly="1" outline="0" axis="axisRow" fieldPosition="0"/>
    </format>
    <format dxfId="95">
      <pivotArea dataOnly="0" labelOnly="1" outline="0" axis="axisValues" fieldPosition="0"/>
    </format>
  </formats>
  <pivotTableStyleInfo name="PivotStyleLight16" showRowHeaders="1" showColHeaders="1" showRowStripes="1" showColStripes="0" showLastColumn="1"/>
  <filters count="1">
    <filter fld="2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FA6E37-3CD5-5747-88B9-1292F9922CD4}" name="PivotTable6" cacheId="42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D4:E9" firstHeaderRow="1" firstDataRow="1" firstDataCol="1" rowPageCount="1" colPageCount="1"/>
  <pivotFields count="15">
    <pivotField showAll="0"/>
    <pivotField numFmtId="165" showAll="0"/>
    <pivotField axis="axisRow" showAll="0" measureFilter="1" sortType="ascending">
      <items count="537">
        <item m="1" x="433"/>
        <item x="0"/>
        <item x="1"/>
        <item x="2"/>
        <item m="1" x="209"/>
        <item x="3"/>
        <item m="1" x="352"/>
        <item m="1" x="358"/>
        <item m="1" x="215"/>
        <item m="1" x="182"/>
        <item m="1" x="297"/>
        <item m="1" x="373"/>
        <item m="1" x="192"/>
        <item m="1" x="381"/>
        <item m="1" x="202"/>
        <item m="1" x="303"/>
        <item x="4"/>
        <item x="5"/>
        <item x="6"/>
        <item m="1" x="533"/>
        <item m="1" x="295"/>
        <item m="1" x="184"/>
        <item m="1" x="488"/>
        <item x="7"/>
        <item m="1" x="510"/>
        <item x="8"/>
        <item x="9"/>
        <item x="10"/>
        <item m="1" x="426"/>
        <item x="11"/>
        <item x="12"/>
        <item x="13"/>
        <item x="14"/>
        <item m="1" x="413"/>
        <item m="1" x="518"/>
        <item m="1" x="385"/>
        <item m="1" x="392"/>
        <item x="15"/>
        <item x="16"/>
        <item m="1" x="504"/>
        <item x="17"/>
        <item m="1" x="447"/>
        <item m="1" x="481"/>
        <item x="18"/>
        <item x="19"/>
        <item m="1" x="347"/>
        <item m="1" x="354"/>
        <item m="1" x="411"/>
        <item m="1" x="418"/>
        <item m="1" x="186"/>
        <item x="20"/>
        <item m="1" x="277"/>
        <item m="1" x="214"/>
        <item x="21"/>
        <item m="1" x="479"/>
        <item m="1" x="436"/>
        <item x="22"/>
        <item m="1" x="367"/>
        <item m="1" x="267"/>
        <item x="23"/>
        <item m="1" x="219"/>
        <item x="24"/>
        <item m="1" x="265"/>
        <item m="1" x="357"/>
        <item x="25"/>
        <item x="26"/>
        <item x="27"/>
        <item m="1" x="228"/>
        <item m="1" x="485"/>
        <item x="28"/>
        <item m="1" x="469"/>
        <item m="1" x="394"/>
        <item x="29"/>
        <item m="1" x="435"/>
        <item x="30"/>
        <item m="1" x="248"/>
        <item x="31"/>
        <item x="32"/>
        <item x="33"/>
        <item x="34"/>
        <item x="35"/>
        <item m="1" x="482"/>
        <item x="36"/>
        <item m="1" x="226"/>
        <item m="1" x="235"/>
        <item x="37"/>
        <item m="1" x="283"/>
        <item x="38"/>
        <item m="1" x="213"/>
        <item m="1" x="274"/>
        <item m="1" x="425"/>
        <item m="1" x="205"/>
        <item m="1" x="345"/>
        <item m="1" x="532"/>
        <item m="1" x="346"/>
        <item m="1" x="443"/>
        <item m="1" x="331"/>
        <item m="1" x="396"/>
        <item m="1" x="253"/>
        <item x="39"/>
        <item m="1" x="501"/>
        <item m="1" x="387"/>
        <item x="40"/>
        <item m="1" x="355"/>
        <item x="41"/>
        <item x="42"/>
        <item x="43"/>
        <item x="44"/>
        <item x="45"/>
        <item m="1" x="289"/>
        <item m="1" x="475"/>
        <item m="1" x="521"/>
        <item m="1" x="200"/>
        <item m="1" x="376"/>
        <item m="1" x="221"/>
        <item m="1" x="270"/>
        <item x="46"/>
        <item m="1" x="431"/>
        <item m="1" x="292"/>
        <item m="1" x="414"/>
        <item m="1" x="375"/>
        <item m="1" x="471"/>
        <item x="47"/>
        <item m="1" x="393"/>
        <item x="48"/>
        <item m="1" x="494"/>
        <item x="49"/>
        <item x="50"/>
        <item m="1" x="183"/>
        <item x="51"/>
        <item m="1" x="416"/>
        <item x="52"/>
        <item m="1" x="290"/>
        <item m="1" x="341"/>
        <item m="1" x="439"/>
        <item m="1" x="257"/>
        <item m="1" x="340"/>
        <item m="1" x="256"/>
        <item x="53"/>
        <item m="1" x="203"/>
        <item x="54"/>
        <item x="55"/>
        <item x="56"/>
        <item m="1" x="529"/>
        <item x="57"/>
        <item m="1" x="461"/>
        <item m="1" x="415"/>
        <item x="58"/>
        <item m="1" x="238"/>
        <item x="59"/>
        <item x="60"/>
        <item m="1" x="452"/>
        <item m="1" x="457"/>
        <item x="61"/>
        <item m="1" x="508"/>
        <item m="1" x="208"/>
        <item m="1" x="321"/>
        <item m="1" x="390"/>
        <item x="62"/>
        <item m="1" x="293"/>
        <item m="1" x="232"/>
        <item m="1" x="366"/>
        <item m="1" x="310"/>
        <item x="63"/>
        <item m="1" x="400"/>
        <item m="1" x="446"/>
        <item m="1" x="251"/>
        <item x="64"/>
        <item x="65"/>
        <item m="1" x="349"/>
        <item x="66"/>
        <item x="67"/>
        <item m="1" x="259"/>
        <item m="1" x="519"/>
        <item x="68"/>
        <item m="1" x="490"/>
        <item x="69"/>
        <item m="1" x="344"/>
        <item m="1" x="255"/>
        <item x="70"/>
        <item x="71"/>
        <item m="1" x="406"/>
        <item x="72"/>
        <item m="1" x="458"/>
        <item x="73"/>
        <item m="1" x="196"/>
        <item m="1" x="314"/>
        <item m="1" x="419"/>
        <item x="74"/>
        <item x="75"/>
        <item x="76"/>
        <item m="1" x="404"/>
        <item m="1" x="302"/>
        <item m="1" x="372"/>
        <item m="1" x="316"/>
        <item x="77"/>
        <item m="1" x="279"/>
        <item m="1" x="276"/>
        <item m="1" x="361"/>
        <item m="1" x="468"/>
        <item m="1" x="371"/>
        <item m="1" x="258"/>
        <item m="1" x="260"/>
        <item m="1" x="430"/>
        <item m="1" x="187"/>
        <item x="78"/>
        <item x="79"/>
        <item x="80"/>
        <item m="1" x="227"/>
        <item m="1" x="427"/>
        <item x="81"/>
        <item m="1" x="395"/>
        <item m="1" x="407"/>
        <item m="1" x="473"/>
        <item m="1" x="445"/>
        <item m="1" x="405"/>
        <item m="1" x="252"/>
        <item m="1" x="464"/>
        <item x="82"/>
        <item m="1" x="230"/>
        <item x="83"/>
        <item m="1" x="514"/>
        <item m="1" x="456"/>
        <item m="1" x="517"/>
        <item m="1" x="325"/>
        <item m="1" x="422"/>
        <item m="1" x="505"/>
        <item m="1" x="241"/>
        <item x="84"/>
        <item m="1" x="195"/>
        <item m="1" x="233"/>
        <item x="85"/>
        <item m="1" x="286"/>
        <item m="1" x="250"/>
        <item x="86"/>
        <item m="1" x="189"/>
        <item m="1" x="470"/>
        <item x="87"/>
        <item x="88"/>
        <item x="89"/>
        <item m="1" x="465"/>
        <item x="90"/>
        <item x="91"/>
        <item m="1" x="489"/>
        <item m="1" x="268"/>
        <item m="1" x="300"/>
        <item m="1" x="360"/>
        <item x="92"/>
        <item m="1" x="315"/>
        <item m="1" x="263"/>
        <item m="1" x="278"/>
        <item m="1" x="199"/>
        <item m="1" x="486"/>
        <item m="1" x="454"/>
        <item m="1" x="211"/>
        <item m="1" x="317"/>
        <item x="93"/>
        <item m="1" x="298"/>
        <item m="1" x="288"/>
        <item x="94"/>
        <item m="1" x="448"/>
        <item x="95"/>
        <item m="1" x="307"/>
        <item m="1" x="294"/>
        <item m="1" x="450"/>
        <item m="1" x="190"/>
        <item m="1" x="512"/>
        <item x="96"/>
        <item x="97"/>
        <item x="98"/>
        <item m="1" x="516"/>
        <item m="1" x="365"/>
        <item m="1" x="242"/>
        <item m="1" x="377"/>
        <item m="1" x="491"/>
        <item x="99"/>
        <item m="1" x="472"/>
        <item x="100"/>
        <item m="1" x="384"/>
        <item x="101"/>
        <item x="102"/>
        <item m="1" x="309"/>
        <item m="1" x="311"/>
        <item x="103"/>
        <item x="104"/>
        <item m="1" x="291"/>
        <item m="1" x="338"/>
        <item m="1" x="285"/>
        <item m="1" x="306"/>
        <item x="105"/>
        <item m="1" x="386"/>
        <item m="1" x="197"/>
        <item m="1" x="528"/>
        <item m="1" x="223"/>
        <item m="1" x="275"/>
        <item m="1" x="194"/>
        <item x="106"/>
        <item m="1" x="403"/>
        <item m="1" x="525"/>
        <item m="1" x="324"/>
        <item m="1" x="201"/>
        <item m="1" x="243"/>
        <item x="107"/>
        <item m="1" x="434"/>
        <item m="1" x="362"/>
        <item x="108"/>
        <item m="1" x="363"/>
        <item m="1" x="437"/>
        <item m="1" x="339"/>
        <item m="1" x="329"/>
        <item m="1" x="284"/>
        <item m="1" x="441"/>
        <item x="109"/>
        <item m="1" x="244"/>
        <item x="110"/>
        <item m="1" x="225"/>
        <item m="1" x="442"/>
        <item m="1" x="402"/>
        <item m="1" x="333"/>
        <item m="1" x="224"/>
        <item x="111"/>
        <item m="1" x="217"/>
        <item m="1" x="188"/>
        <item x="112"/>
        <item m="1" x="383"/>
        <item x="113"/>
        <item m="1" x="212"/>
        <item m="1" x="313"/>
        <item x="114"/>
        <item m="1" x="507"/>
        <item x="115"/>
        <item x="116"/>
        <item m="1" x="493"/>
        <item x="117"/>
        <item m="1" x="330"/>
        <item m="1" x="389"/>
        <item m="1" x="234"/>
        <item m="1" x="408"/>
        <item x="118"/>
        <item x="119"/>
        <item m="1" x="220"/>
        <item m="1" x="506"/>
        <item m="1" x="391"/>
        <item x="120"/>
        <item m="1" x="266"/>
        <item m="1" x="509"/>
        <item m="1" x="374"/>
        <item x="121"/>
        <item m="1" x="359"/>
        <item m="1" x="305"/>
        <item m="1" x="282"/>
        <item x="122"/>
        <item m="1" x="280"/>
        <item x="123"/>
        <item x="124"/>
        <item m="1" x="356"/>
        <item m="1" x="327"/>
        <item m="1" x="398"/>
        <item m="1" x="246"/>
        <item m="1" x="498"/>
        <item x="125"/>
        <item x="126"/>
        <item m="1" x="451"/>
        <item x="127"/>
        <item m="1" x="530"/>
        <item m="1" x="388"/>
        <item x="128"/>
        <item m="1" x="206"/>
        <item m="1" x="191"/>
        <item m="1" x="322"/>
        <item x="129"/>
        <item m="1" x="417"/>
        <item m="1" x="308"/>
        <item m="1" x="534"/>
        <item m="1" x="440"/>
        <item m="1" x="254"/>
        <item x="130"/>
        <item m="1" x="455"/>
        <item m="1" x="523"/>
        <item x="131"/>
        <item m="1" x="296"/>
        <item x="132"/>
        <item x="133"/>
        <item m="1" x="474"/>
        <item m="1" x="334"/>
        <item m="1" x="531"/>
        <item m="1" x="229"/>
        <item x="134"/>
        <item x="135"/>
        <item m="1" x="535"/>
        <item m="1" x="476"/>
        <item x="136"/>
        <item x="137"/>
        <item m="1" x="239"/>
        <item m="1" x="478"/>
        <item x="138"/>
        <item x="139"/>
        <item x="140"/>
        <item m="1" x="423"/>
        <item m="1" x="401"/>
        <item m="1" x="193"/>
        <item x="141"/>
        <item m="1" x="397"/>
        <item m="1" x="526"/>
        <item x="142"/>
        <item m="1" x="271"/>
        <item x="143"/>
        <item m="1" x="428"/>
        <item x="144"/>
        <item x="145"/>
        <item x="146"/>
        <item x="147"/>
        <item x="148"/>
        <item m="1" x="247"/>
        <item x="149"/>
        <item m="1" x="502"/>
        <item m="1" x="207"/>
        <item m="1" x="222"/>
        <item m="1" x="462"/>
        <item m="1" x="520"/>
        <item m="1" x="410"/>
        <item m="1" x="336"/>
        <item m="1" x="511"/>
        <item m="1" x="328"/>
        <item m="1" x="424"/>
        <item m="1" x="421"/>
        <item m="1" x="499"/>
        <item m="1" x="515"/>
        <item m="1" x="527"/>
        <item m="1" x="379"/>
        <item x="150"/>
        <item m="1" x="369"/>
        <item x="151"/>
        <item m="1" x="237"/>
        <item m="1" x="323"/>
        <item x="152"/>
        <item x="153"/>
        <item x="154"/>
        <item m="1" x="348"/>
        <item m="1" x="236"/>
        <item x="155"/>
        <item x="156"/>
        <item m="1" x="483"/>
        <item m="1" x="420"/>
        <item m="1" x="503"/>
        <item m="1" x="332"/>
        <item m="1" x="204"/>
        <item m="1" x="460"/>
        <item x="157"/>
        <item x="158"/>
        <item m="1" x="326"/>
        <item m="1" x="513"/>
        <item x="159"/>
        <item m="1" x="351"/>
        <item m="1" x="216"/>
        <item m="1" x="262"/>
        <item m="1" x="320"/>
        <item m="1" x="453"/>
        <item m="1" x="272"/>
        <item m="1" x="500"/>
        <item x="160"/>
        <item m="1" x="484"/>
        <item m="1" x="231"/>
        <item m="1" x="399"/>
        <item x="161"/>
        <item m="1" x="304"/>
        <item m="1" x="382"/>
        <item m="1" x="318"/>
        <item m="1" x="319"/>
        <item m="1" x="429"/>
        <item m="1" x="378"/>
        <item m="1" x="269"/>
        <item m="1" x="496"/>
        <item m="1" x="281"/>
        <item m="1" x="495"/>
        <item m="1" x="301"/>
        <item x="162"/>
        <item x="163"/>
        <item m="1" x="353"/>
        <item m="1" x="210"/>
        <item m="1" x="343"/>
        <item m="1" x="312"/>
        <item m="1" x="497"/>
        <item m="1" x="185"/>
        <item m="1" x="350"/>
        <item m="1" x="249"/>
        <item m="1" x="368"/>
        <item m="1" x="438"/>
        <item m="1" x="264"/>
        <item m="1" x="342"/>
        <item m="1" x="198"/>
        <item m="1" x="240"/>
        <item m="1" x="467"/>
        <item x="164"/>
        <item m="1" x="337"/>
        <item m="1" x="524"/>
        <item m="1" x="299"/>
        <item x="165"/>
        <item m="1" x="459"/>
        <item m="1" x="218"/>
        <item m="1" x="466"/>
        <item m="1" x="492"/>
        <item x="166"/>
        <item m="1" x="477"/>
        <item m="1" x="449"/>
        <item m="1" x="409"/>
        <item m="1" x="480"/>
        <item x="167"/>
        <item m="1" x="522"/>
        <item x="168"/>
        <item m="1" x="261"/>
        <item m="1" x="245"/>
        <item m="1" x="412"/>
        <item m="1" x="432"/>
        <item x="169"/>
        <item m="1" x="444"/>
        <item m="1" x="370"/>
        <item x="170"/>
        <item x="171"/>
        <item x="172"/>
        <item m="1" x="287"/>
        <item m="1" x="273"/>
        <item x="173"/>
        <item m="1" x="487"/>
        <item x="174"/>
        <item m="1" x="463"/>
        <item x="175"/>
        <item m="1" x="335"/>
        <item x="176"/>
        <item m="1" x="380"/>
        <item m="1" x="364"/>
        <item x="177"/>
        <item x="178"/>
        <item x="179"/>
        <item x="180"/>
        <item m="1" x="181"/>
        <item t="default"/>
      </items>
    </pivotField>
    <pivotField axis="axisPage" multipleItemSelectionAllowed="1" showAll="0">
      <items count="41">
        <item h="1" x="2"/>
        <item h="1" x="7"/>
        <item h="1" x="3"/>
        <item h="1" m="1" x="35"/>
        <item h="1" x="20"/>
        <item h="1" m="1" x="32"/>
        <item h="1" x="5"/>
        <item h="1" x="6"/>
        <item h="1" x="11"/>
        <item h="1" x="15"/>
        <item h="1" m="1" x="30"/>
        <item h="1" x="1"/>
        <item h="1" x="16"/>
        <item h="1" x="21"/>
        <item h="1" x="19"/>
        <item h="1" x="8"/>
        <item h="1" x="0"/>
        <item h="1" x="9"/>
        <item x="13"/>
        <item h="1" x="4"/>
        <item h="1" x="10"/>
        <item h="1" m="1" x="38"/>
        <item h="1" m="1" x="33"/>
        <item h="1" m="1" x="26"/>
        <item h="1" x="12"/>
        <item h="1" m="1" x="28"/>
        <item h="1" m="1" x="36"/>
        <item h="1" m="1" x="37"/>
        <item h="1" m="1" x="29"/>
        <item h="1" m="1" x="39"/>
        <item h="1" m="1" x="23"/>
        <item h="1" m="1" x="31"/>
        <item h="1" m="1" x="25"/>
        <item h="1" x="17"/>
        <item h="1" m="1" x="34"/>
        <item h="1" x="14"/>
        <item h="1" m="1" x="24"/>
        <item h="1" m="1" x="27"/>
        <item h="1" x="18"/>
        <item h="1" x="22"/>
        <item t="default"/>
      </items>
    </pivotField>
    <pivotField showAll="0"/>
    <pivotField numFmtId="4" showAll="0"/>
    <pivotField numFmtId="4" showAll="0"/>
    <pivotField dataField="1" numFmtId="4" showAll="0"/>
    <pivotField numFmtId="4" showAll="0"/>
    <pivotField numFmtId="4" showAll="0"/>
    <pivotField numFmtId="166" showAll="0"/>
    <pivotField showAll="0"/>
    <pivotField showAll="0"/>
    <pivotField showAll="0"/>
    <pivotField showAll="0"/>
  </pivotFields>
  <rowFields count="1">
    <field x="2"/>
  </rowFields>
  <rowItems count="5">
    <i>
      <x v="66"/>
    </i>
    <i>
      <x v="138"/>
    </i>
    <i>
      <x v="153"/>
    </i>
    <i>
      <x v="440"/>
    </i>
    <i t="grand">
      <x/>
    </i>
  </rowItems>
  <colItems count="1">
    <i/>
  </colItems>
  <pageFields count="1">
    <pageField fld="3" hier="-1"/>
  </pageFields>
  <dataFields count="1">
    <dataField name="Total" fld="7" baseField="0" baseItem="0" numFmtId="44"/>
  </dataFields>
  <formats count="2">
    <format dxfId="76">
      <pivotArea field="2" type="button" dataOnly="0" labelOnly="1" outline="0" axis="axisRow" fieldPosition="0"/>
    </format>
    <format dxfId="75">
      <pivotArea dataOnly="0" labelOnly="1" outline="0" axis="axisValues" fieldPosition="0"/>
    </format>
  </formats>
  <pivotTableStyleInfo name="PivotStyleLight16" showRowHeaders="1" showColHeaders="1" showRowStripes="1" showColStripes="0" showLastColumn="1"/>
  <filters count="1">
    <filter fld="2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8463A9-0533-3442-AC17-A0ABD170C696}" name="PivotTable5" cacheId="4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A4:B9" firstHeaderRow="1" firstDataRow="1" firstDataCol="1" rowPageCount="1" colPageCount="1"/>
  <pivotFields count="15">
    <pivotField axis="axisRow" showAll="0">
      <items count="71">
        <item x="56"/>
        <item x="64"/>
        <item x="57"/>
        <item x="65"/>
        <item x="25"/>
        <item x="34"/>
        <item x="36"/>
        <item x="30"/>
        <item x="21"/>
        <item x="52"/>
        <item x="13"/>
        <item x="44"/>
        <item x="14"/>
        <item x="22"/>
        <item x="16"/>
        <item x="29"/>
        <item x="2"/>
        <item x="8"/>
        <item x="51"/>
        <item x="20"/>
        <item x="26"/>
        <item x="35"/>
        <item x="19"/>
        <item x="6"/>
        <item x="61"/>
        <item x="4"/>
        <item x="43"/>
        <item x="11"/>
        <item x="54"/>
        <item x="33"/>
        <item x="38"/>
        <item x="39"/>
        <item x="63"/>
        <item x="17"/>
        <item x="55"/>
        <item x="0"/>
        <item x="1"/>
        <item m="1" x="67"/>
        <item x="46"/>
        <item x="45"/>
        <item x="24"/>
        <item x="18"/>
        <item x="50"/>
        <item x="58"/>
        <item x="59"/>
        <item x="7"/>
        <item x="47"/>
        <item x="31"/>
        <item x="53"/>
        <item x="48"/>
        <item x="23"/>
        <item x="27"/>
        <item x="32"/>
        <item x="37"/>
        <item x="49"/>
        <item m="1" x="68"/>
        <item m="1" x="69"/>
        <item x="3"/>
        <item x="9"/>
        <item x="60"/>
        <item x="28"/>
        <item x="10"/>
        <item x="66"/>
        <item x="62"/>
        <item x="40"/>
        <item x="41"/>
        <item x="42"/>
        <item x="12"/>
        <item x="15"/>
        <item x="5"/>
        <item t="default"/>
      </items>
    </pivotField>
    <pivotField showAll="0"/>
    <pivotField showAll="0"/>
    <pivotField axis="axisPage" multipleItemSelectionAllowed="1" showAll="0">
      <items count="49">
        <item h="1" x="10"/>
        <item h="1" x="15"/>
        <item h="1" x="17"/>
        <item h="1" x="5"/>
        <item h="1" x="7"/>
        <item h="1" m="1" x="18"/>
        <item h="1" x="6"/>
        <item h="1" x="12"/>
        <item h="1" x="14"/>
        <item h="1" m="1" x="36"/>
        <item h="1" x="3"/>
        <item h="1" x="8"/>
        <item h="1" x="9"/>
        <item h="1" m="1" x="41"/>
        <item h="1" m="1" x="42"/>
        <item h="1" x="13"/>
        <item h="1" x="0"/>
        <item h="1" m="1" x="23"/>
        <item h="1" m="1" x="45"/>
        <item h="1" m="1" x="47"/>
        <item h="1" x="1"/>
        <item h="1" m="1" x="39"/>
        <item x="4"/>
        <item h="1" m="1" x="44"/>
        <item h="1" m="1" x="46"/>
        <item h="1" x="2"/>
        <item h="1" m="1" x="40"/>
        <item h="1" x="11"/>
        <item h="1" m="1" x="34"/>
        <item h="1" m="1" x="21"/>
        <item h="1" m="1" x="31"/>
        <item h="1" m="1" x="33"/>
        <item h="1" m="1" x="22"/>
        <item h="1" m="1" x="20"/>
        <item h="1" m="1" x="26"/>
        <item h="1" m="1" x="27"/>
        <item h="1" m="1" x="19"/>
        <item h="1" x="16"/>
        <item h="1" m="1" x="43"/>
        <item h="1" m="1" x="24"/>
        <item h="1" m="1" x="25"/>
        <item h="1" m="1" x="28"/>
        <item h="1" m="1" x="29"/>
        <item h="1" m="1" x="30"/>
        <item h="1" m="1" x="32"/>
        <item h="1" m="1" x="35"/>
        <item h="1" m="1" x="37"/>
        <item h="1" m="1" x="38"/>
        <item t="default"/>
      </items>
    </pivotField>
    <pivotField axis="axisRow" showAll="0" sortType="ascending">
      <items count="2742">
        <item m="1" x="956"/>
        <item m="1" x="1464"/>
        <item m="1" x="2141"/>
        <item m="1" x="272"/>
        <item m="1" x="870"/>
        <item m="1" x="575"/>
        <item m="1" x="2057"/>
        <item m="1" x="1442"/>
        <item m="1" x="361"/>
        <item m="1" x="118"/>
        <item m="1" x="1346"/>
        <item m="1" x="725"/>
        <item m="1" x="1254"/>
        <item m="1" x="282"/>
        <item m="1" x="2036"/>
        <item m="1" x="2157"/>
        <item m="1" x="1796"/>
        <item m="1" x="951"/>
        <item m="1" x="1887"/>
        <item m="1" x="1870"/>
        <item m="1" x="2717"/>
        <item x="5"/>
        <item m="1" x="491"/>
        <item m="1" x="1549"/>
        <item m="1" x="1484"/>
        <item m="1" x="727"/>
        <item m="1" x="1288"/>
        <item m="1" x="1739"/>
        <item m="1" x="804"/>
        <item m="1" x="451"/>
        <item m="1" x="1888"/>
        <item x="12"/>
        <item m="1" x="2159"/>
        <item m="1" x="1623"/>
        <item m="1" x="2037"/>
        <item m="1" x="78"/>
        <item m="1" x="2611"/>
        <item m="1" x="1378"/>
        <item m="1" x="1556"/>
        <item m="1" x="959"/>
        <item m="1" x="177"/>
        <item m="1" x="2038"/>
        <item m="1" x="1737"/>
        <item m="1" x="2160"/>
        <item m="1" x="2161"/>
        <item m="1" x="357"/>
        <item m="1" x="1142"/>
        <item m="1" x="1003"/>
        <item m="1" x="2688"/>
        <item m="1" x="2162"/>
        <item m="1" x="1096"/>
        <item m="1" x="1016"/>
        <item m="1" x="2039"/>
        <item m="1" x="88"/>
        <item m="1" x="1738"/>
        <item m="1" x="2163"/>
        <item m="1" x="1459"/>
        <item m="1" x="2164"/>
        <item m="1" x="2153"/>
        <item m="1" x="89"/>
        <item m="1" x="2165"/>
        <item m="1" x="730"/>
        <item m="1" x="1630"/>
        <item m="1" x="1005"/>
        <item m="1" x="2166"/>
        <item m="1" x="1348"/>
        <item m="1" x="1006"/>
        <item m="1" x="731"/>
        <item m="1" x="1651"/>
        <item m="1" x="2167"/>
        <item m="1" x="1008"/>
        <item m="1" x="2168"/>
        <item m="1" x="1367"/>
        <item m="1" x="2146"/>
        <item m="1" x="90"/>
        <item m="1" x="2169"/>
        <item m="1" x="266"/>
        <item m="1" x="922"/>
        <item m="1" x="442"/>
        <item m="1" x="364"/>
        <item m="1" x="732"/>
        <item m="1" x="1555"/>
        <item m="1" x="2170"/>
        <item m="1" x="418"/>
        <item m="1" x="887"/>
        <item m="1" x="265"/>
        <item m="1" x="292"/>
        <item m="1" x="2171"/>
        <item m="1" x="68"/>
        <item m="1" x="521"/>
        <item m="1" x="616"/>
        <item m="1" x="2484"/>
        <item m="1" x="617"/>
        <item m="1" x="284"/>
        <item m="1" x="2172"/>
        <item m="1" x="2659"/>
        <item m="1" x="1617"/>
        <item m="1" x="1363"/>
        <item m="1" x="2173"/>
        <item m="1" x="232"/>
        <item m="1" x="2174"/>
        <item m="1" x="2175"/>
        <item m="1" x="2176"/>
        <item m="1" x="2040"/>
        <item m="1" x="562"/>
        <item m="1" x="1476"/>
        <item m="1" x="242"/>
        <item m="1" x="181"/>
        <item m="1" x="1465"/>
        <item m="1" x="2678"/>
        <item m="1" x="1482"/>
        <item m="1" x="815"/>
        <item m="1" x="1128"/>
        <item m="1" x="2489"/>
        <item m="1" x="2177"/>
        <item m="1" x="2385"/>
        <item m="1" x="1129"/>
        <item m="1" x="2178"/>
        <item m="1" x="2181"/>
        <item m="1" x="1012"/>
        <item m="1" x="890"/>
        <item m="1" x="2182"/>
        <item m="1" x="1874"/>
        <item m="1" x="2183"/>
        <item m="1" x="1727"/>
        <item m="1" x="2184"/>
        <item m="1" x="1408"/>
        <item m="1" x="238"/>
        <item m="1" x="2185"/>
        <item m="1" x="93"/>
        <item m="1" x="1041"/>
        <item m="1" x="734"/>
        <item m="1" x="1042"/>
        <item m="1" x="1309"/>
        <item m="1" x="1399"/>
        <item m="1" x="1547"/>
        <item m="1" x="2186"/>
        <item m="1" x="344"/>
        <item m="1" x="94"/>
        <item m="1" x="2187"/>
        <item m="1" x="2188"/>
        <item m="1" x="983"/>
        <item m="1" x="2041"/>
        <item m="1" x="547"/>
        <item m="1" x="1359"/>
        <item m="1" x="1303"/>
        <item m="1" x="1552"/>
        <item m="1" x="981"/>
        <item m="1" x="54"/>
        <item m="1" x="255"/>
        <item m="1" x="497"/>
        <item m="1" x="2190"/>
        <item m="1" x="2191"/>
        <item m="1" x="2192"/>
        <item m="1" x="2650"/>
        <item m="1" x="621"/>
        <item m="1" x="1045"/>
        <item m="1" x="880"/>
        <item m="1" x="1046"/>
        <item m="1" x="274"/>
        <item m="1" x="1047"/>
        <item m="1" x="2193"/>
        <item m="1" x="1049"/>
        <item m="1" x="1050"/>
        <item m="1" x="1962"/>
        <item m="1" x="735"/>
        <item m="1" x="2194"/>
        <item m="1" x="2083"/>
        <item m="1" x="2682"/>
        <item m="1" x="287"/>
        <item m="1" x="432"/>
        <item m="1" x="472"/>
        <item m="1" x="1868"/>
        <item m="1" x="419"/>
        <item m="1" x="2389"/>
        <item m="1" x="1052"/>
        <item m="1" x="1053"/>
        <item m="1" x="2618"/>
        <item m="1" x="2637"/>
        <item m="1" x="2641"/>
        <item m="1" x="366"/>
        <item m="1" x="296"/>
        <item m="1" x="1218"/>
        <item m="1" x="1151"/>
        <item m="1" x="620"/>
        <item m="1" x="1344"/>
        <item m="1" x="1203"/>
        <item m="1" x="2195"/>
        <item m="1" x="736"/>
        <item m="1" x="538"/>
        <item m="1" x="2196"/>
        <item m="1" x="1200"/>
        <item m="1" x="1873"/>
        <item m="1" x="1744"/>
        <item m="1" x="2197"/>
        <item m="1" x="1505"/>
        <item m="1" x="622"/>
        <item m="1" x="2261"/>
        <item m="1" x="2000"/>
        <item m="1" x="374"/>
        <item m="1" x="1741"/>
        <item m="1" x="1948"/>
        <item m="1" x="1056"/>
        <item m="1" x="304"/>
        <item m="1" x="498"/>
        <item m="1" x="737"/>
        <item m="1" x="2042"/>
        <item m="1" x="2198"/>
        <item m="1" x="1643"/>
        <item m="1" x="1475"/>
        <item m="1" x="738"/>
        <item m="1" x="1058"/>
        <item m="1" x="1863"/>
        <item m="1" x="2635"/>
        <item m="1" x="97"/>
        <item m="1" x="739"/>
        <item m="1" x="516"/>
        <item m="1" x="807"/>
        <item m="1" x="2651"/>
        <item m="1" x="2115"/>
        <item m="1" x="625"/>
        <item m="1" x="1978"/>
        <item m="1" x="2043"/>
        <item m="1" x="895"/>
        <item m="1" x="626"/>
        <item m="1" x="1063"/>
        <item m="1" x="1253"/>
        <item m="1" x="1393"/>
        <item m="1" x="1020"/>
        <item m="1" x="492"/>
        <item m="1" x="1804"/>
        <item m="1" x="2085"/>
        <item m="1" x="1900"/>
        <item m="1" x="1886"/>
        <item m="1" x="573"/>
        <item m="1" x="2638"/>
        <item m="1" x="628"/>
        <item m="1" x="2508"/>
        <item m="1" x="464"/>
        <item m="1" x="1224"/>
        <item m="1" x="2002"/>
        <item m="1" x="1500"/>
        <item m="1" x="2199"/>
        <item m="1" x="448"/>
        <item m="1" x="412"/>
        <item m="1" x="98"/>
        <item m="1" x="1575"/>
        <item m="1" x="2601"/>
        <item m="1" x="1508"/>
        <item m="1" x="741"/>
        <item m="1" x="2200"/>
        <item m="1" x="175"/>
        <item m="1" x="1349"/>
        <item m="1" x="1622"/>
        <item m="1" x="2080"/>
        <item m="1" x="806"/>
        <item m="1" x="1981"/>
        <item m="1" x="594"/>
        <item m="1" x="2201"/>
        <item m="1" x="1947"/>
        <item m="1" x="1069"/>
        <item sd="0" m="1" x="47"/>
        <item m="1" x="1382"/>
        <item m="1" x="1701"/>
        <item m="1" x="2681"/>
        <item m="1" x="1355"/>
        <item m="1" x="2202"/>
        <item m="1" x="1364"/>
        <item m="1" x="743"/>
        <item m="1" x="1072"/>
        <item m="1" x="1327"/>
        <item m="1" x="1240"/>
        <item m="1" x="250"/>
        <item m="1" x="2704"/>
        <item m="1" x="301"/>
        <item sd="0" m="1" x="2726"/>
        <item m="1" x="2572"/>
        <item m="1" x="744"/>
        <item m="1" x="2018"/>
        <item m="1" x="1073"/>
        <item m="1" x="745"/>
        <item m="1" x="746"/>
        <item m="1" x="2204"/>
        <item m="1" x="1137"/>
        <item m="1" x="2205"/>
        <item m="1" x="529"/>
        <item m="1" x="577"/>
        <item m="1" x="215"/>
        <item m="1" x="499"/>
        <item m="1" x="1418"/>
        <item m="1" x="1940"/>
        <item m="1" x="474"/>
        <item m="1" x="986"/>
        <item m="1" x="72"/>
        <item m="1" x="1388"/>
        <item m="1" x="2206"/>
        <item m="1" x="99"/>
        <item m="1" x="1330"/>
        <item m="1" x="1237"/>
        <item m="1" x="1282"/>
        <item m="1" x="1294"/>
        <item m="1" x="2207"/>
        <item m="1" x="2208"/>
        <item m="1" x="811"/>
        <item m="1" x="747"/>
        <item m="1" x="1310"/>
        <item m="1" x="2081"/>
        <item m="1" x="1771"/>
        <item m="1" x="449"/>
        <item m="1" x="1341"/>
        <item m="1" x="1878"/>
        <item m="1" x="159"/>
        <item m="1" x="576"/>
        <item m="1" x="551"/>
        <item m="1" x="2209"/>
        <item m="1" x="2003"/>
        <item m="1" x="1078"/>
        <item m="1" x="2210"/>
        <item m="1" x="1453"/>
        <item m="1" x="1935"/>
        <item m="1" x="251"/>
        <item m="1" x="1574"/>
        <item m="1" x="1306"/>
        <item m="1" x="1905"/>
        <item m="1" x="1652"/>
        <item m="1" x="313"/>
        <item m="1" x="631"/>
        <item m="1" x="1079"/>
        <item m="1" x="526"/>
        <item m="1" x="1757"/>
        <item m="1" x="2211"/>
        <item m="1" x="1037"/>
        <item m="1" x="561"/>
        <item m="1" x="926"/>
        <item m="1" x="2577"/>
        <item m="1" x="2212"/>
        <item m="1" x="1360"/>
        <item m="1" x="2086"/>
        <item m="1" x="1377"/>
        <item m="1" x="2213"/>
        <item m="1" x="100"/>
        <item m="1" x="476"/>
        <item m="1" x="1336"/>
        <item m="1" x="1907"/>
        <item m="1" x="1956"/>
        <item m="1" x="1909"/>
        <item m="1" x="452"/>
        <item m="1" x="109"/>
        <item m="1" x="399"/>
        <item m="1" x="1083"/>
        <item m="1" x="2214"/>
        <item m="1" x="1085"/>
        <item m="1" x="748"/>
        <item m="1" x="2215"/>
        <item m="1" x="2589"/>
        <item m="1" x="1087"/>
        <item m="1" x="254"/>
        <item m="1" x="2563"/>
        <item m="1" x="749"/>
        <item m="1" x="1088"/>
        <item m="1" x="2581"/>
        <item m="1" x="81"/>
        <item m="1" x="1095"/>
        <item m="1" x="158"/>
        <item m="1" x="950"/>
        <item m="1" x="979"/>
        <item m="1" x="1098"/>
        <item sd="0" m="1" x="2571"/>
        <item m="1" x="1084"/>
        <item x="38"/>
        <item m="1" x="2630"/>
        <item m="1" x="103"/>
        <item m="1" x="2716"/>
        <item m="1" x="633"/>
        <item m="1" x="1438"/>
        <item m="1" x="1147"/>
        <item m="1" x="1520"/>
        <item m="1" x="1149"/>
        <item m="1" x="102"/>
        <item m="1" x="1091"/>
        <item m="1" x="115"/>
        <item sd="0" m="1" x="116"/>
        <item m="1" x="1152"/>
        <item m="1" x="618"/>
        <item m="1" x="1380"/>
        <item m="1" x="117"/>
        <item m="1" x="649"/>
        <item m="1" x="648"/>
        <item m="1" x="1089"/>
        <item m="1" x="2670"/>
        <item m="1" x="2216"/>
        <item m="1" x="1090"/>
        <item m="1" x="2004"/>
        <item m="1" x="1021"/>
        <item m="1" x="523"/>
        <item m="1" x="578"/>
        <item m="1" x="1764"/>
        <item m="1" x="908"/>
        <item m="1" x="2560"/>
        <item m="1" x="1803"/>
        <item m="1" x="2242"/>
        <item m="1" x="49"/>
        <item m="1" x="2044"/>
        <item m="1" x="1397"/>
        <item m="1" x="2649"/>
        <item m="1" x="2217"/>
        <item m="1" x="1163"/>
        <item m="1" x="148"/>
        <item m="1" x="2596"/>
        <item m="1" x="167"/>
        <item m="1" x="970"/>
        <item m="1" x="1094"/>
        <item m="1" x="2218"/>
        <item m="1" x="1898"/>
        <item m="1" x="2219"/>
        <item m="1" x="883"/>
        <item m="1" x="873"/>
        <item m="1" x="2600"/>
        <item m="1" x="2380"/>
        <item m="1" x="1932"/>
        <item m="1" x="1062"/>
        <item m="1" x="2220"/>
        <item m="1" x="1952"/>
        <item m="1" x="1082"/>
        <item m="1" x="1289"/>
        <item sd="0" m="1" x="2721"/>
        <item m="1" x="106"/>
        <item m="1" x="360"/>
        <item m="1" x="1998"/>
        <item m="1" x="2339"/>
        <item m="1" x="2667"/>
        <item m="1" x="545"/>
        <item m="1" x="2087"/>
        <item m="1" x="751"/>
        <item m="1" x="107"/>
        <item m="1" x="509"/>
        <item m="1" x="259"/>
        <item m="1" x="1097"/>
        <item m="1" x="1080"/>
        <item x="10"/>
        <item m="1" x="2559"/>
        <item m="1" x="1621"/>
        <item m="1" x="753"/>
        <item m="1" x="331"/>
        <item m="1" x="932"/>
        <item x="22"/>
        <item x="1"/>
        <item m="1" x="2221"/>
        <item m="1" x="2222"/>
        <item m="1" x="369"/>
        <item m="1" x="453"/>
        <item m="1" x="58"/>
        <item m="1" x="437"/>
        <item m="1" x="1687"/>
        <item m="1" x="1099"/>
        <item m="1" x="2224"/>
        <item m="1" x="2045"/>
        <item m="1" x="2608"/>
        <item m="1" x="1783"/>
        <item m="1" x="1885"/>
        <item m="1" x="636"/>
        <item m="1" x="108"/>
        <item m="1" x="52"/>
        <item m="1" x="1103"/>
        <item x="18"/>
        <item m="1" x="1993"/>
        <item m="1" x="2016"/>
        <item m="1" x="1911"/>
        <item m="1" x="593"/>
        <item m="1" x="754"/>
        <item m="1" x="755"/>
        <item m="1" x="407"/>
        <item m="1" x="356"/>
        <item m="1" x="1104"/>
        <item m="1" x="2225"/>
        <item m="1" x="1105"/>
        <item m="1" x="756"/>
        <item m="1" x="2158"/>
        <item m="1" x="752"/>
        <item m="1" x="2046"/>
        <item m="1" x="2226"/>
        <item m="1" x="1913"/>
        <item m="1" x="2150"/>
        <item m="1" x="919"/>
        <item m="1" x="2020"/>
        <item m="1" x="208"/>
        <item m="1" x="1708"/>
        <item m="1" x="1111"/>
        <item m="1" x="454"/>
        <item m="1" x="1112"/>
        <item m="1" x="309"/>
        <item m="1" x="1869"/>
        <item m="1" x="302"/>
        <item m="1" x="852"/>
        <item m="1" x="1205"/>
        <item m="1" x="1113"/>
        <item m="1" x="713"/>
        <item m="1" x="638"/>
        <item m="1" x="1210"/>
        <item m="1" x="1070"/>
        <item m="1" x="1805"/>
        <item m="1" x="1806"/>
        <item m="1" x="216"/>
        <item m="1" x="1809"/>
        <item m="1" x="875"/>
        <item m="1" x="2669"/>
        <item m="1" x="1126"/>
        <item m="1" x="110"/>
        <item m="1" x="1054"/>
        <item m="1" x="1830"/>
        <item m="1" x="1832"/>
        <item m="1" x="1818"/>
        <item m="1" x="1106"/>
        <item x="19"/>
        <item m="1" x="1043"/>
        <item m="1" x="1712"/>
        <item x="33"/>
        <item m="1" x="1615"/>
        <item m="1" x="1810"/>
        <item m="1" x="1114"/>
        <item m="1" x="1143"/>
        <item m="1" x="1535"/>
        <item m="1" x="1812"/>
        <item m="1" x="2088"/>
        <item m="1" x="1813"/>
        <item m="1" x="111"/>
        <item m="1" x="2228"/>
        <item m="1" x="1000"/>
        <item m="1" x="2229"/>
        <item m="1" x="2578"/>
        <item m="1" x="2230"/>
        <item m="1" x="1030"/>
        <item m="1" x="2564"/>
        <item m="1" x="946"/>
        <item m="1" x="2231"/>
        <item m="1" x="50"/>
        <item m="1" x="378"/>
        <item m="1" x="2232"/>
        <item m="1" x="2456"/>
        <item m="1" x="276"/>
        <item m="1" x="758"/>
        <item m="1" x="1010"/>
        <item m="1" x="1120"/>
        <item m="1" x="900"/>
        <item m="1" x="2663"/>
        <item m="1" x="2233"/>
        <item m="1" x="1015"/>
        <item m="1" x="1026"/>
        <item m="1" x="641"/>
        <item m="1" x="642"/>
        <item m="1" x="597"/>
        <item m="1" x="2606"/>
        <item m="1" x="643"/>
        <item m="1" x="1918"/>
        <item m="1" x="635"/>
        <item m="1" x="1123"/>
        <item m="1" x="2234"/>
        <item m="1" x="112"/>
        <item m="1" x="1742"/>
        <item m="1" x="878"/>
        <item m="1" x="2235"/>
        <item m="1" x="1984"/>
        <item m="1" x="2007"/>
        <item m="1" x="2236"/>
        <item m="1" x="759"/>
        <item m="1" x="933"/>
        <item m="1" x="436"/>
        <item m="1" x="2664"/>
        <item m="1" x="2078"/>
        <item m="1" x="1775"/>
        <item m="1" x="2586"/>
        <item m="1" x="475"/>
        <item m="1" x="1109"/>
        <item m="1" x="2674"/>
        <item m="1" x="2657"/>
        <item m="1" x="1700"/>
        <item m="1" x="539"/>
        <item m="1" x="455"/>
        <item m="1" x="952"/>
        <item m="1" x="315"/>
        <item m="1" x="408"/>
        <item m="1" x="867"/>
        <item m="1" x="2506"/>
        <item m="1" x="114"/>
        <item m="1" x="2237"/>
        <item m="1" x="1402"/>
        <item m="1" x="164"/>
        <item m="1" x="645"/>
        <item m="1" x="1638"/>
        <item m="1" x="1139"/>
        <item m="1" x="1146"/>
        <item m="1" x="554"/>
        <item m="1" x="2634"/>
        <item m="1" x="994"/>
        <item m="1" x="2465"/>
        <item m="1" x="1406"/>
        <item m="1" x="1236"/>
        <item m="1" x="1959"/>
        <item m="1" x="1247"/>
        <item m="1" x="1481"/>
        <item m="1" x="1876"/>
        <item m="1" x="1141"/>
        <item m="1" x="1065"/>
        <item m="1" x="646"/>
        <item sd="0" m="1" x="2731"/>
        <item m="1" x="1573"/>
        <item m="1" x="647"/>
        <item m="1" x="2239"/>
        <item m="1" x="126"/>
        <item m="1" x="96"/>
        <item m="1" x="1329"/>
        <item m="1" x="760"/>
        <item m="1" x="1270"/>
        <item m="1" x="2558"/>
        <item m="1" x="869"/>
        <item m="1" x="1145"/>
        <item m="1" x="1510"/>
        <item x="20"/>
        <item m="1" x="1175"/>
        <item m="1" x="1795"/>
        <item m="1" x="1124"/>
        <item m="1" x="1802"/>
        <item sd="0" x="7"/>
        <item x="37"/>
        <item m="1" x="1298"/>
        <item m="1" x="1339"/>
        <item m="1" x="1816"/>
        <item m="1" x="1762"/>
        <item m="1" x="1532"/>
        <item m="1" x="2240"/>
        <item m="1" x="871"/>
        <item m="1" x="2718"/>
        <item m="1" x="91"/>
        <item m="1" x="2241"/>
        <item m="1" x="2030"/>
        <item m="1" x="1672"/>
        <item m="1" x="761"/>
        <item m="1" x="2089"/>
        <item m="1" x="2227"/>
        <item m="1" x="762"/>
        <item m="1" x="1148"/>
        <item m="1" x="316"/>
        <item m="1" x="2633"/>
        <item m="1" x="1242"/>
        <item m="1" x="260"/>
        <item m="1" x="1412"/>
        <item m="1" x="1384"/>
        <item m="1" x="763"/>
        <item m="1" x="1682"/>
        <item m="1" x="385"/>
        <item m="1" x="591"/>
        <item m="1" x="1565"/>
        <item m="1" x="2243"/>
        <item m="1" x="1153"/>
        <item m="1" x="500"/>
        <item m="1" x="2552"/>
        <item m="1" x="217"/>
        <item m="1" x="1229"/>
        <item m="1" x="373"/>
        <item m="1" x="433"/>
        <item m="1" x="2632"/>
        <item m="1" x="1092"/>
        <item m="1" x="1241"/>
        <item m="1" x="1743"/>
        <item sd="0" m="1" x="244"/>
        <item m="1" x="444"/>
        <item m="1" x="2047"/>
        <item m="1" x="1403"/>
        <item m="1" x="1644"/>
        <item m="1" x="1158"/>
        <item m="1" x="1612"/>
        <item m="1" x="372"/>
        <item m="1" x="2588"/>
        <item m="1" x="1872"/>
        <item m="1" x="1478"/>
        <item m="1" x="2244"/>
        <item m="1" x="1865"/>
        <item m="1" x="319"/>
        <item m="1" x="303"/>
        <item m="1" x="1879"/>
        <item m="1" x="2351"/>
        <item m="1" x="1875"/>
        <item sd="0" m="1" x="2090"/>
        <item m="1" x="2245"/>
        <item m="1" x="2072"/>
        <item m="1" x="2374"/>
        <item m="1" x="2091"/>
        <item m="1" x="311"/>
        <item m="1" x="2246"/>
        <item m="1" x="2247"/>
        <item m="1" x="333"/>
        <item m="1" x="765"/>
        <item m="1" x="1318"/>
        <item m="1" x="2248"/>
        <item m="1" x="1276"/>
        <item m="1" x="650"/>
        <item m="1" x="2557"/>
        <item m="1" x="997"/>
        <item m="1" x="1130"/>
        <item m="1" x="2249"/>
        <item m="1" x="1362"/>
        <item m="1" x="1836"/>
        <item m="1" x="131"/>
        <item m="1" x="202"/>
        <item m="1" x="2250"/>
        <item m="1" x="321"/>
        <item m="1" x="146"/>
        <item m="1" x="2697"/>
        <item m="1" x="652"/>
        <item m="1" x="740"/>
        <item m="1" x="920"/>
        <item m="1" x="291"/>
        <item m="1" x="1170"/>
        <item m="1" x="513"/>
        <item m="1" x="2251"/>
        <item m="1" x="1899"/>
        <item m="1" x="766"/>
        <item sd="0" m="1" x="456"/>
        <item m="1" x="1171"/>
        <item m="1" x="2687"/>
        <item m="1" x="1172"/>
        <item m="1" x="1439"/>
        <item m="1" x="2252"/>
        <item m="1" x="1544"/>
        <item m="1" x="2143"/>
        <item m="1" x="653"/>
        <item m="1" x="615"/>
        <item m="1" x="2615"/>
        <item m="1" x="550"/>
        <item m="1" x="1174"/>
        <item m="1" x="2253"/>
        <item m="1" x="2254"/>
        <item sd="0" m="1" x="445"/>
        <item m="1" x="290"/>
        <item m="1" x="1305"/>
        <item m="1" x="1930"/>
        <item m="1" x="767"/>
        <item m="1" x="992"/>
        <item m="1" x="2565"/>
        <item m="1" x="2658"/>
        <item m="1" x="1915"/>
        <item m="1" x="1221"/>
        <item m="1" x="411"/>
        <item m="1" x="2257"/>
        <item m="1" x="1211"/>
        <item m="1" x="2258"/>
        <item m="1" x="1931"/>
        <item m="1" x="84"/>
        <item m="1" x="1745"/>
        <item m="1" x="1135"/>
        <item m="1" x="2092"/>
        <item m="1" x="654"/>
        <item m="1" x="1413"/>
        <item m="1" x="1131"/>
        <item m="1" x="1215"/>
        <item m="1" x="947"/>
        <item m="1" x="1668"/>
        <item m="1" x="1179"/>
        <item m="1" x="85"/>
        <item m="1" x="553"/>
        <item m="1" x="768"/>
        <item m="1" x="1194"/>
        <item sd="0" x="31"/>
        <item m="1" x="1140"/>
        <item m="1" x="655"/>
        <item m="1" x="233"/>
        <item m="1" x="769"/>
        <item x="27"/>
        <item m="1" x="1627"/>
        <item m="1" x="945"/>
        <item m="1" x="1746"/>
        <item m="1" x="322"/>
        <item m="1" x="1747"/>
        <item m="1" x="1664"/>
        <item m="1" x="1515"/>
        <item m="1" x="1600"/>
        <item m="1" x="1181"/>
        <item m="1" x="1877"/>
        <item m="1" x="2073"/>
        <item m="1" x="891"/>
        <item m="1" x="574"/>
        <item m="1" x="2262"/>
        <item m="1" x="1748"/>
        <item m="1" x="570"/>
        <item m="1" x="2093"/>
        <item m="1" x="2263"/>
        <item m="1" x="1183"/>
        <item m="1" x="2642"/>
        <item m="1" x="171"/>
        <item sd="0" m="1" x="256"/>
        <item m="1" x="1405"/>
        <item m="1" x="1531"/>
        <item m="1" x="488"/>
        <item m="1" x="443"/>
        <item m="1" x="122"/>
        <item m="1" x="1186"/>
        <item m="1" x="2264"/>
        <item m="1" x="326"/>
        <item m="1" x="2265"/>
        <item m="1" x="327"/>
        <item m="1" x="978"/>
        <item m="1" x="2266"/>
        <item m="1" x="248"/>
        <item m="1" x="534"/>
        <item m="1" x="1506"/>
        <item m="1" x="2077"/>
        <item m="1" x="1498"/>
        <item m="1" x="1287"/>
        <item m="1" x="156"/>
        <item m="1" x="394"/>
        <item m="1" x="1361"/>
        <item m="1" x="1592"/>
        <item m="1" x="1492"/>
        <item m="1" x="1468"/>
        <item m="1" x="2580"/>
        <item m="1" x="1568"/>
        <item m="1" x="2026"/>
        <item m="1" x="664"/>
        <item m="1" x="1955"/>
        <item m="1" x="2267"/>
        <item m="1" x="295"/>
        <item m="1" x="1191"/>
        <item m="1" x="1729"/>
        <item m="1" x="771"/>
        <item m="1" x="1195"/>
        <item m="1" x="1571"/>
        <item m="1" x="2094"/>
        <item m="1" x="2015"/>
        <item m="1" x="2524"/>
        <item m="1" x="2271"/>
        <item m="1" x="1789"/>
        <item m="1" x="306"/>
        <item m="1" x="1954"/>
        <item m="1" x="865"/>
        <item m="1" x="1835"/>
        <item m="1" x="801"/>
        <item m="1" x="1790"/>
        <item m="1" x="2272"/>
        <item m="1" x="1774"/>
        <item m="1" x="1653"/>
        <item m="1" x="1441"/>
        <item m="1" x="2095"/>
        <item m="1" x="2274"/>
        <item m="1" x="1793"/>
        <item m="1" x="990"/>
        <item m="1" x="2273"/>
        <item m="1" x="1819"/>
        <item m="1" x="2275"/>
        <item m="1" x="2076"/>
        <item m="1" x="2276"/>
        <item m="1" x="1204"/>
        <item m="1" x="1526"/>
        <item m="1" x="2145"/>
        <item m="1" x="1503"/>
        <item m="1" x="560"/>
        <item m="1" x="1550"/>
        <item m="1" x="872"/>
        <item m="1" x="2277"/>
        <item m="1" x="1425"/>
        <item m="1" x="1340"/>
        <item m="1" x="1167"/>
        <item m="1" x="2278"/>
        <item m="1" x="2279"/>
        <item m="1" x="772"/>
        <item m="1" x="728"/>
        <item m="1" x="658"/>
        <item m="1" x="1176"/>
        <item m="1" x="1315"/>
        <item m="1" x="2096"/>
        <item m="1" x="123"/>
        <item m="1" x="1337"/>
        <item m="1" x="270"/>
        <item m="1" x="2280"/>
        <item m="1" x="125"/>
        <item m="1" x="2074"/>
        <item m="1" x="2281"/>
        <item m="1" x="2282"/>
        <item m="1" x="659"/>
        <item m="1" x="1450"/>
        <item m="1" x="2283"/>
        <item m="1" x="925"/>
        <item m="1" x="1470"/>
        <item m="1" x="1209"/>
        <item m="1" x="660"/>
        <item m="1" x="2550"/>
        <item m="1" x="2648"/>
        <item m="1" x="2345"/>
        <item m="1" x="2097"/>
        <item m="1" x="2048"/>
        <item x="0"/>
        <item m="1" x="1497"/>
        <item m="1" x="2627"/>
        <item m="1" x="1763"/>
        <item m="1" x="1212"/>
        <item m="1" x="410"/>
        <item m="1" x="1961"/>
        <item m="1" x="917"/>
        <item m="1" x="988"/>
        <item m="1" x="1197"/>
        <item m="1" x="2284"/>
        <item m="1" x="1213"/>
        <item m="1" x="773"/>
        <item m="1" x="1214"/>
        <item m="1" x="1686"/>
        <item m="1" x="218"/>
        <item m="1" x="1509"/>
        <item m="1" x="724"/>
        <item m="1" x="1557"/>
        <item m="1" x="330"/>
        <item m="1" x="1216"/>
        <item m="1" x="457"/>
        <item m="1" x="1162"/>
        <item m="1" x="2285"/>
        <item m="1" x="2155"/>
        <item m="1" x="2286"/>
        <item m="1" x="2579"/>
        <item m="1" x="1219"/>
        <item m="1" x="2287"/>
        <item m="1" x="2098"/>
        <item m="1" x="2288"/>
        <item m="1" x="1466"/>
        <item m="1" x="2612"/>
        <item m="1" x="2049"/>
        <item m="1" x="176"/>
        <item m="1" x="1749"/>
        <item m="1" x="1455"/>
        <item m="1" x="458"/>
        <item m="1" x="1933"/>
        <item m="1" x="1658"/>
        <item m="1" x="775"/>
        <item m="1" x="459"/>
        <item m="1" x="129"/>
        <item m="1" x="219"/>
        <item m="1" x="2180"/>
        <item m="1" x="750"/>
        <item m="1" x="1044"/>
        <item m="1" x="661"/>
        <item m="1" x="663"/>
        <item m="1" x="809"/>
        <item m="1" x="130"/>
        <item m="1" x="585"/>
        <item m="1" x="1624"/>
        <item m="1" x="943"/>
        <item m="1" x="80"/>
        <item m="1" x="1817"/>
        <item m="1" x="2289"/>
        <item m="1" x="1997"/>
        <item m="1" x="960"/>
        <item m="1" x="665"/>
        <item m="1" x="505"/>
        <item m="1" x="2100"/>
        <item m="1" x="332"/>
        <item m="1" x="776"/>
        <item m="1" x="2290"/>
        <item m="1" x="2291"/>
        <item m="1" x="1169"/>
        <item m="1" x="1022"/>
        <item m="1" x="2101"/>
        <item sd="0" m="1" x="2710"/>
        <item m="1" x="2292"/>
        <item m="1" x="182"/>
        <item m="1" x="48"/>
        <item m="1" x="2269"/>
        <item m="1" x="607"/>
        <item m="1" x="2388"/>
        <item m="1" x="252"/>
        <item m="1" x="2692"/>
        <item m="1" x="320"/>
        <item m="1" x="863"/>
        <item m="1" x="2293"/>
        <item m="1" x="1436"/>
        <item m="1" x="2102"/>
        <item m="1" x="376"/>
        <item m="1" x="2513"/>
        <item m="1" x="359"/>
        <item m="1" x="2147"/>
        <item m="1" x="2154"/>
        <item m="1" x="662"/>
        <item m="1" x="334"/>
        <item m="1" x="235"/>
        <item m="1" x="2103"/>
        <item m="1" x="76"/>
        <item m="1" x="1919"/>
        <item m="1" x="405"/>
        <item m="1" x="2534"/>
        <item m="1" x="2104"/>
        <item m="1" x="2294"/>
        <item m="1" x="1972"/>
        <item m="1" x="1228"/>
        <item m="1" x="1788"/>
        <item x="46"/>
        <item m="1" x="1189"/>
        <item m="1" x="462"/>
        <item m="1" x="1901"/>
        <item m="1" x="777"/>
        <item m="1" x="2592"/>
        <item m="1" x="335"/>
        <item m="1" x="2295"/>
        <item m="1" x="2296"/>
        <item m="1" x="612"/>
        <item m="1" x="1027"/>
        <item m="1" x="363"/>
        <item m="1" x="1750"/>
        <item m="1" x="1230"/>
        <item m="1" x="1799"/>
        <item m="1" x="1231"/>
        <item m="1" x="2297"/>
        <item m="1" x="1936"/>
        <item m="1" x="579"/>
        <item m="1" x="220"/>
        <item m="1" x="666"/>
        <item m="1" x="391"/>
        <item m="1" x="2724"/>
        <item m="1" x="2701"/>
        <item m="1" x="2656"/>
        <item m="1" x="778"/>
        <item m="1" x="1675"/>
        <item m="1" x="2298"/>
        <item m="1" x="53"/>
        <item m="1" x="1820"/>
        <item m="1" x="1232"/>
        <item m="1" x="1853"/>
        <item m="1" x="1469"/>
        <item m="1" x="61"/>
        <item m="1" x="1884"/>
        <item m="1" x="1941"/>
        <item m="1" x="623"/>
        <item m="1" x="2386"/>
        <item m="1" x="1263"/>
        <item m="1" x="1971"/>
        <item m="1" x="1039"/>
        <item m="1" x="1233"/>
        <item m="1" x="530"/>
        <item m="1" x="1892"/>
        <item m="1" x="2300"/>
        <item m="1" x="1165"/>
        <item m="1" x="1507"/>
        <item m="1" x="779"/>
        <item m="1" x="2645"/>
        <item m="1" x="2106"/>
        <item m="1" x="358"/>
        <item m="1" x="2301"/>
        <item m="1" x="1386"/>
        <item m="1" x="1822"/>
        <item m="1" x="1235"/>
        <item m="1" x="318"/>
        <item m="1" x="2302"/>
        <item m="1" x="1009"/>
        <item m="1" x="1108"/>
        <item m="1" x="2303"/>
        <item m="1" x="2304"/>
        <item m="1" x="1437"/>
        <item m="1" x="581"/>
        <item m="1" x="1100"/>
        <item m="1" x="1071"/>
        <item m="1" x="2305"/>
        <item m="1" x="370"/>
        <item m="1" x="1259"/>
        <item m="1" x="59"/>
        <item m="1" x="1683"/>
        <item m="1" x="336"/>
        <item m="1" x="60"/>
        <item m="1" x="337"/>
        <item m="1" x="2306"/>
        <item m="1" x="1245"/>
        <item m="1" x="2307"/>
        <item m="1" x="268"/>
        <item m="1" x="512"/>
        <item m="1" x="1177"/>
        <item m="1" x="868"/>
        <item m="1" x="667"/>
        <item m="1" x="1516"/>
        <item m="1" x="494"/>
        <item m="1" x="1238"/>
        <item m="1" x="388"/>
        <item m="1" x="283"/>
        <item m="1" x="104"/>
        <item m="1" x="1513"/>
        <item m="1" x="2107"/>
        <item m="1" x="1539"/>
        <item m="1" x="537"/>
        <item m="1" x="1752"/>
        <item m="1" x="101"/>
        <item m="1" x="195"/>
        <item m="1" x="338"/>
        <item m="1" x="668"/>
        <item m="1" x="1193"/>
        <item m="1" x="438"/>
        <item m="1" x="221"/>
        <item x="32"/>
        <item m="1" x="2309"/>
        <item m="1" x="2310"/>
        <item m="1" x="1679"/>
        <item m="1" x="2311"/>
        <item m="1" x="948"/>
        <item m="1" x="1928"/>
        <item m="1" x="1551"/>
        <item m="1" x="288"/>
        <item m="1" x="273"/>
        <item m="1" x="1711"/>
        <item m="1" x="185"/>
        <item m="1" x="1461"/>
        <item m="1" x="1239"/>
        <item m="1" x="1937"/>
        <item m="1" x="903"/>
        <item m="1" x="692"/>
        <item m="1" x="506"/>
        <item m="1" x="2312"/>
        <item m="1" x="2313"/>
        <item m="1" x="669"/>
        <item m="1" x="876"/>
        <item m="1" x="2314"/>
        <item m="1" x="1244"/>
        <item m="1" x="2108"/>
        <item m="1" x="1420"/>
        <item m="1" x="2315"/>
        <item m="1" x="1992"/>
        <item m="1" x="826"/>
        <item m="1" x="2567"/>
        <item m="1" x="774"/>
        <item m="1" x="75"/>
        <item m="1" x="1246"/>
        <item m="1" x="2317"/>
        <item m="1" x="2318"/>
        <item m="1" x="672"/>
        <item m="1" x="2319"/>
        <item m="1" x="1645"/>
        <item m="1" x="2017"/>
        <item m="1" x="1248"/>
        <item m="1" x="1249"/>
        <item m="1" x="781"/>
        <item m="1" x="1250"/>
        <item m="1" x="1060"/>
        <item m="1" x="671"/>
        <item m="1" x="1252"/>
        <item m="1" x="1880"/>
        <item m="1" x="1286"/>
        <item x="6"/>
        <item m="1" x="348"/>
        <item m="1" x="2320"/>
        <item m="1" x="1243"/>
        <item m="1" x="354"/>
        <item m="1" x="2179"/>
        <item m="1" x="2321"/>
        <item m="1" x="1440"/>
        <item m="1" x="884"/>
        <item m="1" x="629"/>
        <item m="1" x="2152"/>
        <item m="1" x="764"/>
        <item m="1" x="782"/>
        <item m="1" x="2322"/>
        <item m="1" x="783"/>
        <item m="1" x="1371"/>
        <item m="1" x="2323"/>
        <item m="1" x="971"/>
        <item m="1" x="1304"/>
        <item m="1" x="2324"/>
        <item m="1" x="1921"/>
        <item m="1" x="368"/>
        <item m="1" x="279"/>
        <item m="1" x="57"/>
        <item m="1" x="2325"/>
        <item m="1" x="240"/>
        <item m="1" x="286"/>
        <item m="1" x="1589"/>
        <item m="1" x="1271"/>
        <item m="1" x="294"/>
        <item m="1" x="549"/>
        <item m="1" x="784"/>
        <item m="1" x="1602"/>
        <item m="1" x="2326"/>
        <item m="1" x="1546"/>
        <item m="1" x="1487"/>
        <item m="1" x="1419"/>
        <item m="1" x="281"/>
        <item m="1" x="566"/>
        <item m="1" x="341"/>
        <item m="1" x="2554"/>
        <item m="1" x="1740"/>
        <item m="1" x="460"/>
        <item m="1" x="1897"/>
        <item m="1" x="1255"/>
        <item m="1" x="785"/>
        <item m="1" x="786"/>
        <item m="1" x="2598"/>
        <item m="1" x="477"/>
        <item m="1" x="1753"/>
        <item m="1" x="2056"/>
        <item m="1" x="417"/>
        <item x="4"/>
        <item m="1" x="2075"/>
        <item m="1" x="1093"/>
        <item sd="0" m="1" x="2737"/>
        <item m="1" x="590"/>
        <item m="1" x="2707"/>
        <item m="1" x="1057"/>
        <item m="1" x="599"/>
        <item m="1" x="1654"/>
        <item m="1" x="1257"/>
        <item m="1" x="788"/>
        <item m="1" x="1754"/>
        <item m="1" x="536"/>
        <item m="1" x="1258"/>
        <item m="1" x="2327"/>
        <item m="1" x="789"/>
        <item m="1" x="567"/>
        <item m="1" x="2328"/>
        <item m="1" x="2329"/>
        <item m="1" x="439"/>
        <item m="1" x="406"/>
        <item m="1" x="269"/>
        <item m="1" x="1208"/>
        <item m="1" x="1261"/>
        <item m="1" x="1262"/>
        <item m="1" x="592"/>
        <item m="1" x="1522"/>
        <item m="1" x="791"/>
        <item m="1" x="1614"/>
        <item m="1" x="1871"/>
        <item m="1" x="2109"/>
        <item m="1" x="1825"/>
        <item m="1" x="559"/>
        <item m="1" x="1591"/>
        <item m="1" x="580"/>
        <item m="1" x="1369"/>
        <item m="1" x="548"/>
        <item m="1" x="1192"/>
        <item sd="0" m="1" x="2105"/>
        <item m="1" x="1256"/>
        <item m="1" x="673"/>
        <item m="1" x="899"/>
        <item m="1" x="1264"/>
        <item m="1" x="1265"/>
        <item m="1" x="1824"/>
        <item m="1" x="2110"/>
        <item x="8"/>
        <item m="1" x="511"/>
        <item m="1" x="546"/>
        <item m="1" x="64"/>
        <item m="1" x="1201"/>
        <item m="1" x="1266"/>
        <item m="1" x="792"/>
        <item m="1" x="1982"/>
        <item x="44"/>
        <item m="1" x="1577"/>
        <item m="1" x="1613"/>
        <item m="1" x="2330"/>
        <item m="1" x="793"/>
        <item m="1" x="2464"/>
        <item m="1" x="2084"/>
        <item m="1" x="794"/>
        <item m="1" x="583"/>
        <item m="1" x="1433"/>
        <item m="1" x="1640"/>
        <item m="1" x="2614"/>
        <item m="1" x="503"/>
        <item m="1" x="1267"/>
        <item m="1" x="1036"/>
        <item m="1" x="1302"/>
        <item m="1" x="1225"/>
        <item m="1" x="404"/>
        <item m="1" x="1251"/>
        <item m="1" x="2013"/>
        <item m="1" x="510"/>
        <item m="1" x="555"/>
        <item m="1" x="1671"/>
        <item m="1" x="1906"/>
        <item m="1" x="2111"/>
        <item m="1" x="1125"/>
        <item m="1" x="461"/>
        <item m="1" x="1351"/>
        <item m="1" x="518"/>
        <item m="1" x="2331"/>
        <item m="1" x="1368"/>
        <item m="1" x="222"/>
        <item m="1" x="2332"/>
        <item m="1" x="795"/>
        <item m="1" x="674"/>
        <item m="1" x="1132"/>
        <item m="1" x="584"/>
        <item m="1" x="1826"/>
        <item m="1" x="2605"/>
        <item m="1" x="1317"/>
        <item m="1" x="1980"/>
        <item m="1" x="1939"/>
        <item m="1" x="1272"/>
        <item m="1" x="675"/>
        <item m="1" x="676"/>
        <item m="1" x="1951"/>
        <item m="1" x="2625"/>
        <item x="13"/>
        <item m="1" x="1474"/>
        <item m="1" x="2333"/>
        <item m="1" x="1277"/>
        <item m="1" x="1572"/>
        <item m="1" x="1278"/>
        <item m="1" x="2334"/>
        <item m="1" x="2335"/>
        <item m="1" x="1784"/>
        <item m="1" x="300"/>
        <item m="1" x="1723"/>
        <item m="1" x="1279"/>
        <item m="1" x="1410"/>
        <item m="1" x="152"/>
        <item m="1" x="1594"/>
        <item m="1" x="277"/>
        <item m="1" x="1074"/>
        <item m="1" x="132"/>
        <item m="1" x="1934"/>
        <item m="1" x="236"/>
        <item m="1" x="1283"/>
        <item m="1" x="2337"/>
        <item m="1" x="426"/>
        <item m="1" x="1606"/>
        <item m="1" x="1966"/>
        <item m="1" x="2391"/>
        <item m="1" x="2338"/>
        <item m="1" x="1354"/>
        <item m="1" x="1463"/>
        <item m="1" x="2340"/>
        <item m="1" x="657"/>
        <item m="1" x="2668"/>
        <item m="1" x="906"/>
        <item m="1" x="2341"/>
        <item sd="0" m="1" x="2739"/>
        <item x="45"/>
        <item m="1" x="463"/>
        <item m="1" x="924"/>
        <item m="1" x="1925"/>
        <item m="1" x="2342"/>
        <item m="1" x="2343"/>
        <item m="1" x="2344"/>
        <item m="1" x="963"/>
        <item m="1" x="2033"/>
        <item m="1" x="2346"/>
        <item sd="0" m="1" x="2223"/>
        <item m="1" x="2715"/>
        <item m="1" x="2613"/>
        <item m="1" x="677"/>
        <item m="1" x="1598"/>
        <item m="1" x="2021"/>
        <item m="1" x="2347"/>
        <item m="1" x="2348"/>
        <item m="1" x="1297"/>
        <item m="1" x="343"/>
        <item m="1" x="2551"/>
        <item m="1" x="353"/>
        <item m="1" x="1964"/>
        <item m="1" x="441"/>
        <item m="1" x="2050"/>
        <item m="1" x="901"/>
        <item m="1" x="1499"/>
        <item m="1" x="450"/>
        <item m="1" x="2654"/>
        <item m="1" x="1646"/>
        <item m="1" x="2466"/>
        <item m="1" x="1860"/>
        <item m="1" x="1299"/>
        <item m="1" x="2028"/>
        <item m="1" x="904"/>
        <item m="1" x="2350"/>
        <item m="1" x="135"/>
        <item m="1" x="2336"/>
        <item m="1" x="2349"/>
        <item m="1" x="2582"/>
        <item m="1" x="234"/>
        <item m="1" x="1524"/>
        <item m="1" x="1414"/>
        <item m="1" x="1301"/>
        <item m="1" x="133"/>
        <item m="1" x="507"/>
        <item m="1" x="527"/>
        <item m="1" x="2112"/>
        <item m="1" x="214"/>
        <item m="1" x="213"/>
        <item m="1" x="1999"/>
        <item m="1" x="2352"/>
        <item m="1" x="1185"/>
        <item m="1" x="74"/>
        <item m="1" x="1311"/>
        <item m="1" x="2607"/>
        <item m="1" x="2151"/>
        <item m="1" x="1755"/>
        <item m="1" x="184"/>
        <item m="1" x="525"/>
        <item m="1" x="1312"/>
        <item m="1" x="1313"/>
        <item m="1" x="543"/>
        <item m="1" x="495"/>
        <item m="1" x="2008"/>
        <item m="1" x="1855"/>
        <item m="1" x="944"/>
        <item m="1" x="1081"/>
        <item m="1" x="223"/>
        <item m="1" x="2353"/>
        <item m="1" x="138"/>
        <item m="1" x="139"/>
        <item m="1" x="73"/>
        <item m="1" x="1007"/>
        <item m="1" x="2354"/>
        <item m="1" x="898"/>
        <item m="1" x="1756"/>
        <item m="1" x="2355"/>
        <item m="1" x="2356"/>
        <item m="1" x="1970"/>
        <item m="1" x="1985"/>
        <item m="1" x="1381"/>
        <item m="1" x="345"/>
        <item m="1" x="797"/>
        <item m="1" x="678"/>
        <item m="1" x="2358"/>
        <item m="1" x="2496"/>
        <item m="1" x="346"/>
        <item m="1" x="2661"/>
        <item m="1" x="237"/>
        <item m="1" x="1628"/>
        <item m="1" x="2359"/>
        <item m="1" x="140"/>
        <item m="1" x="1647"/>
        <item m="1" x="1316"/>
        <item m="1" x="1655"/>
        <item m="1" x="1632"/>
        <item m="1" x="1553"/>
        <item m="1" x="1942"/>
        <item m="1" x="1917"/>
        <item m="1" x="2683"/>
        <item m="1" x="836"/>
        <item m="1" x="2360"/>
        <item m="1" x="1949"/>
        <item m="1" x="712"/>
        <item m="1" x="2113"/>
        <item m="1" x="1285"/>
        <item m="1" x="271"/>
        <item m="1" x="1319"/>
        <item m="1" x="1011"/>
        <item m="1" x="2361"/>
        <item m="1" x="1357"/>
        <item m="1" x="349"/>
        <item m="1" x="2051"/>
        <item x="3"/>
        <item m="1" x="1963"/>
        <item m="1" x="619"/>
        <item m="1" x="2362"/>
        <item m="1" x="877"/>
        <item m="1" x="1893"/>
        <item m="1" x="1827"/>
        <item sd="0" m="1" x="245"/>
        <item m="1" x="996"/>
        <item m="1" x="384"/>
        <item m="1" x="2363"/>
        <item m="1" x="980"/>
        <item m="1" x="1548"/>
        <item m="1" x="2720"/>
        <item m="1" x="949"/>
        <item m="1" x="1102"/>
        <item m="1" x="689"/>
        <item m="1" x="639"/>
        <item m="1" x="1639"/>
        <item m="1" x="1321"/>
        <item m="1" x="1322"/>
        <item m="1" x="2366"/>
        <item m="1" x="528"/>
        <item m="1" x="1973"/>
        <item m="1" x="2553"/>
        <item m="1" x="2590"/>
        <item m="1" x="2583"/>
        <item m="1" x="342"/>
        <item m="1" x="1323"/>
        <item m="1" x="2052"/>
        <item m="1" x="1523"/>
        <item m="1" x="1786"/>
        <item m="1" x="1641"/>
        <item m="1" x="1829"/>
        <item m="1" x="681"/>
        <item m="1" x="350"/>
        <item m="1" x="2711"/>
        <item m="1" x="1324"/>
        <item m="1" x="390"/>
        <item m="1" x="1725"/>
        <item m="1" x="780"/>
        <item m="1" x="2621"/>
        <item m="1" x="955"/>
        <item m="1" x="1924"/>
        <item m="1" x="1950"/>
        <item m="1" x="787"/>
        <item sd="0" x="15"/>
        <item m="1" x="798"/>
        <item m="1" x="323"/>
        <item m="1" x="2364"/>
        <item m="1" x="973"/>
        <item m="1" x="142"/>
        <item m="1" x="2365"/>
        <item m="1" x="82"/>
        <item m="1" x="1372"/>
        <item m="1" x="1987"/>
        <item m="1" x="1831"/>
        <item m="1" x="1198"/>
        <item m="1" x="916"/>
        <item m="1" x="2685"/>
        <item m="1" x="1953"/>
        <item m="1" x="2703"/>
        <item m="1" x="682"/>
        <item m="1" x="264"/>
        <item m="1" x="2367"/>
        <item m="1" x="524"/>
        <item m="1" x="1328"/>
        <item m="1" x="1389"/>
        <item m="1" x="2369"/>
        <item m="1" x="1758"/>
        <item m="1" x="1821"/>
        <item m="1" x="965"/>
        <item m="1" x="1334"/>
        <item m="1" x="544"/>
        <item m="1" x="2053"/>
        <item m="1" x="2655"/>
        <item m="1" x="1807"/>
        <item m="1" x="2114"/>
        <item m="1" x="1345"/>
        <item m="1" x="2467"/>
        <item m="1" x="2370"/>
        <item m="1" x="964"/>
        <item m="1" x="209"/>
        <item m="1" x="2628"/>
        <item m="1" x="1588"/>
        <item m="1" x="1908"/>
        <item m="1" x="1385"/>
        <item m="1" x="1759"/>
        <item m="1" x="51"/>
        <item m="1" x="2371"/>
        <item m="1" x="1275"/>
        <item sd="0" m="1" x="2677"/>
        <item m="1" x="987"/>
        <item m="1" x="2010"/>
        <item m="1" x="683"/>
        <item m="1" x="1760"/>
        <item m="1" x="2373"/>
        <item m="1" x="864"/>
        <item m="1" x="2054"/>
        <item m="1" x="1945"/>
        <item m="1" x="684"/>
        <item m="1" x="572"/>
        <item m="1" x="145"/>
        <item m="1" x="479"/>
        <item m="1" x="1188"/>
        <item m="1" x="799"/>
        <item m="1" x="1833"/>
        <item m="1" x="2375"/>
        <item m="1" x="1761"/>
        <item m="1" x="1883"/>
        <item m="1" x="1048"/>
        <item m="1" x="2568"/>
        <item m="1" x="1891"/>
        <item m="1" x="2376"/>
        <item m="1" x="1716"/>
        <item m="1" x="1642"/>
        <item m="1" x="2377"/>
        <item m="1" x="2432"/>
        <item m="1" x="1542"/>
        <item m="1" x="2691"/>
        <item m="1" x="1370"/>
        <item m="1" x="1133"/>
        <item m="1" x="1636"/>
        <item m="1" x="1815"/>
        <item m="1" x="2665"/>
        <item m="1" x="1320"/>
        <item m="1" x="1447"/>
        <item m="1" x="466"/>
        <item m="1" x="1431"/>
        <item m="1" x="481"/>
        <item m="1" x="1307"/>
        <item m="1" x="1527"/>
        <item m="1" x="1077"/>
        <item m="1" x="297"/>
        <item m="1" x="2006"/>
        <item m="1" x="147"/>
        <item m="1" x="2378"/>
        <item m="1" x="1199"/>
        <item m="1" x="1452"/>
        <item m="1" x="999"/>
        <item m="1" x="2379"/>
        <item m="1" x="113"/>
        <item m="1" x="355"/>
        <item m="1" x="1196"/>
        <item m="1" x="1075"/>
        <item m="1" x="831"/>
        <item m="1" x="802"/>
        <item m="1" x="1202"/>
        <item m="1" x="2055"/>
        <item m="1" x="1536"/>
        <item m="1" x="568"/>
        <item m="1" x="1038"/>
        <item m="1" x="2025"/>
        <item m="1" x="317"/>
        <item m="1" x="1157"/>
        <item m="1" x="154"/>
        <item m="1" x="1300"/>
        <item m="1" x="1485"/>
        <item m="1" x="975"/>
        <item m="1" x="2555"/>
        <item m="1" x="2393"/>
        <item m="1" x="687"/>
        <item m="1" x="293"/>
        <item m="1" x="262"/>
        <item m="1" x="2673"/>
        <item m="1" x="1068"/>
        <item m="1" x="2394"/>
        <item m="1" x="2604"/>
        <item m="1" x="1059"/>
        <item m="1" x="2626"/>
        <item m="1" x="976"/>
        <item m="1" x="2620"/>
        <item m="1" x="1926"/>
        <item m="1" x="2395"/>
        <item m="1" x="2396"/>
        <item m="1" x="224"/>
        <item m="1" x="263"/>
        <item m="1" x="1530"/>
        <item m="1" x="1692"/>
        <item m="1" x="1227"/>
        <item m="1" x="83"/>
        <item m="1" x="2629"/>
        <item m="1" x="2397"/>
        <item m="1" x="2595"/>
        <item m="1" x="1427"/>
        <item m="1" x="1920"/>
        <item m="1" x="808"/>
        <item m="1" x="1428"/>
        <item m="1" x="810"/>
        <item m="1" x="2116"/>
        <item m="1" x="225"/>
        <item m="1" x="2398"/>
        <item m="1" x="1429"/>
        <item m="1" x="2399"/>
        <item m="1" x="688"/>
        <item m="1" x="377"/>
        <item m="1" x="2400"/>
        <item m="1" x="1430"/>
        <item m="1" x="1637"/>
        <item m="1" x="1488"/>
        <item m="1" x="1432"/>
        <item m="1" x="2401"/>
        <item m="1" x="2402"/>
        <item m="1" x="247"/>
        <item m="1" x="480"/>
        <item m="1" x="2623"/>
        <item m="1" x="1765"/>
        <item m="1" x="1518"/>
        <item m="1" x="957"/>
        <item m="1" x="2403"/>
        <item m="1" x="885"/>
        <item m="1" x="2405"/>
        <item m="1" x="2082"/>
        <item m="1" x="2060"/>
        <item m="1" x="467"/>
        <item m="1" x="1373"/>
        <item m="1" x="2406"/>
        <item m="1" x="1837"/>
        <item m="1" x="912"/>
        <item m="1" x="1576"/>
        <item m="1" x="1394"/>
        <item m="1" x="1448"/>
        <item m="1" x="1422"/>
        <item m="1" x="889"/>
        <item m="1" x="1449"/>
        <item m="1" x="1159"/>
        <item m="1" x="66"/>
        <item m="1" x="1894"/>
        <item m="1" x="314"/>
        <item m="1" x="163"/>
        <item m="1" x="1451"/>
        <item m="1" x="2491"/>
        <item m="1" x="381"/>
        <item m="1" x="2407"/>
        <item m="1" x="2408"/>
        <item m="1" x="2410"/>
        <item m="1" x="2675"/>
        <item m="1" x="1751"/>
        <item m="1" x="2409"/>
        <item m="1" x="382"/>
        <item m="1" x="1483"/>
        <item m="1" x="246"/>
        <item m="1" x="1454"/>
        <item m="1" x="1766"/>
        <item m="1" x="55"/>
        <item m="1" x="468"/>
        <item m="1" x="1220"/>
        <item m="1" x="395"/>
        <item m="1" x="1206"/>
        <item sd="0" m="1" x="2727"/>
        <item m="1" x="308"/>
        <item m="1" x="1910"/>
        <item m="1" x="1457"/>
        <item m="1" x="1456"/>
        <item m="1" x="1458"/>
        <item m="1" x="624"/>
        <item m="1" x="1444"/>
        <item m="1" x="1787"/>
        <item m="1" x="2566"/>
        <item m="1" x="2411"/>
        <item m="1" x="367"/>
        <item m="1" x="2412"/>
        <item m="1" x="289"/>
        <item m="1" x="2413"/>
        <item m="1" x="1543"/>
        <item m="1" x="2414"/>
        <item m="1" x="1722"/>
        <item m="1" x="170"/>
        <item m="1" x="2404"/>
        <item m="1" x="160"/>
        <item m="1" x="1392"/>
        <item m="1" x="2693"/>
        <item m="1" x="2556"/>
        <item m="1" x="2415"/>
        <item m="1" x="733"/>
        <item m="1" x="1656"/>
        <item x="14"/>
        <item m="1" x="1912"/>
        <item m="1" x="1528"/>
        <item m="1" x="1284"/>
        <item m="1" x="165"/>
        <item m="1" x="2270"/>
        <item m="1" x="1914"/>
        <item m="1" x="2653"/>
        <item m="1" x="2118"/>
        <item m="1" x="1390"/>
        <item m="1" x="2034"/>
        <item m="1" x="816"/>
        <item m="1" x="166"/>
        <item m="1" x="1281"/>
        <item m="1" x="1395"/>
        <item m="1" x="1471"/>
        <item m="1" x="144"/>
        <item m="1" x="2019"/>
        <item m="1" x="586"/>
        <item m="1" x="2602"/>
        <item m="1" x="2417"/>
        <item m="1" x="2418"/>
        <item m="1" x="817"/>
        <item m="1" x="2636"/>
        <item m="1" x="1409"/>
        <item m="1" x="1472"/>
        <item m="1" x="690"/>
        <item m="1" x="1473"/>
        <item m="1" x="2419"/>
        <item m="1" x="2420"/>
        <item m="1" x="915"/>
        <item m="1" x="2421"/>
        <item m="1" x="2709"/>
        <item m="1" x="2422"/>
        <item m="1" x="2423"/>
        <item m="1" x="2260"/>
        <item m="1" x="862"/>
        <item m="1" x="2684"/>
        <item m="1" x="882"/>
        <item m="1" x="2424"/>
        <item m="1" x="1882"/>
        <item m="1" x="1347"/>
        <item m="1" x="691"/>
        <item m="1" x="2690"/>
        <item m="1" x="351"/>
        <item m="1" x="2139"/>
        <item m="1" x="2469"/>
        <item m="1" x="1034"/>
        <item m="1" x="501"/>
        <item m="1" x="818"/>
        <item m="1" x="819"/>
        <item m="1" x="914"/>
        <item m="1" x="63"/>
        <item m="1" x="2119"/>
        <item m="1" x="656"/>
        <item m="1" x="2425"/>
        <item m="1" x="149"/>
        <item m="1" x="387"/>
        <item m="1" x="557"/>
        <item m="1" x="1785"/>
        <item m="1" x="2061"/>
        <item m="1" x="440"/>
        <item m="1" x="2099"/>
        <item m="1" x="2426"/>
        <item m="1" x="995"/>
        <item m="1" x="1767"/>
        <item m="1" x="991"/>
        <item m="1" x="386"/>
        <item m="1" x="434"/>
        <item m="1" x="2428"/>
        <item m="1" x="2120"/>
        <item m="1" x="820"/>
        <item m="1" x="1994"/>
        <item m="1" x="487"/>
        <item m="1" x="95"/>
        <item m="1" x="482"/>
        <item m="1" x="87"/>
        <item m="1" x="1938"/>
        <item m="1" x="2062"/>
        <item m="1" x="371"/>
        <item m="1" x="210"/>
        <item m="1" x="2671"/>
        <item m="1" x="312"/>
        <item m="1" x="1923"/>
        <item m="1" x="120"/>
        <item m="1" x="2429"/>
        <item m="1" x="966"/>
        <item m="1" x="821"/>
        <item m="1" x="2068"/>
        <item m="1" x="1489"/>
        <item m="1" x="1490"/>
        <item m="1" x="1491"/>
        <item m="1" x="2430"/>
        <item m="1" x="1684"/>
        <item m="1" x="1379"/>
        <item m="1" x="1730"/>
        <item m="1" x="1800"/>
        <item m="1" x="162"/>
        <item m="1" x="1314"/>
        <item m="1" x="694"/>
        <item m="1" x="1493"/>
        <item m="1" x="1435"/>
        <item m="1" x="611"/>
        <item m="1" x="1018"/>
        <item m="1" x="2384"/>
        <item m="1" x="2616"/>
        <item m="1" x="2561"/>
        <item m="1" x="1290"/>
        <item m="1" x="1156"/>
        <item m="1" x="401"/>
        <item m="1" x="2142"/>
        <item m="1" x="383"/>
        <item m="1" x="2433"/>
        <item m="1" x="380"/>
        <item m="1" x="2434"/>
        <item m="1" x="1986"/>
        <item m="1" x="695"/>
        <item m="1" x="1688"/>
        <item m="1" x="907"/>
        <item m="1" x="2387"/>
        <item m="1" x="310"/>
        <item m="1" x="168"/>
        <item m="1" x="954"/>
        <item m="1" x="1342"/>
        <item m="1" x="328"/>
        <item m="1" x="822"/>
        <item m="1" x="403"/>
        <item m="1" x="1486"/>
        <item m="1" x="339"/>
        <item m="1" x="823"/>
        <item m="1" x="2435"/>
        <item m="1" x="502"/>
        <item m="1" x="565"/>
        <item m="1" x="1501"/>
        <item m="1" x="1023"/>
        <item m="1" x="2436"/>
        <item sd="0" m="1" x="2733"/>
        <item m="1" x="1217"/>
        <item m="1" x="800"/>
        <item m="1" x="1467"/>
        <item m="1" x="389"/>
        <item m="1" x="2063"/>
        <item m="1" x="2437"/>
        <item m="1" x="1064"/>
        <item m="1" x="853"/>
        <item m="1" x="936"/>
        <item m="1" x="1596"/>
        <item m="1" x="1502"/>
        <item m="1" x="2438"/>
        <item m="1" x="2129"/>
        <item m="1" x="174"/>
        <item m="1" x="2064"/>
        <item m="1" x="161"/>
        <item m="1" x="931"/>
        <item m="1" x="2584"/>
        <item m="1" x="923"/>
        <item m="1" x="2439"/>
        <item m="1" x="227"/>
        <item m="1" x="1517"/>
        <item m="1" x="2440"/>
        <item x="25"/>
        <item m="1" x="392"/>
        <item m="1" x="824"/>
        <item m="1" x="886"/>
        <item m="1" x="1396"/>
        <item m="1" x="1480"/>
        <item m="1" x="2065"/>
        <item m="1" x="1680"/>
        <item m="1" x="1511"/>
        <item m="1" x="393"/>
        <item m="1" x="2441"/>
        <item m="1" x="1792"/>
        <item m="1" x="172"/>
        <item m="1" x="1967"/>
        <item m="1" x="1512"/>
        <item m="1" x="825"/>
        <item m="1" x="71"/>
        <item m="1" x="1944"/>
        <item m="1" x="2594"/>
        <item m="1" x="2382"/>
        <item m="1" x="1665"/>
        <item m="1" x="2442"/>
        <item m="1" x="375"/>
        <item m="1" x="985"/>
        <item m="1" x="257"/>
        <item m="1" x="1119"/>
        <item m="1" x="2443"/>
        <item m="1" x="721"/>
        <item m="1" x="2444"/>
        <item m="1" x="1376"/>
        <item m="1" x="670"/>
        <item m="1" x="1768"/>
        <item m="1" x="2445"/>
        <item m="1" x="1943"/>
        <item m="1" x="67"/>
        <item m="1" x="1222"/>
        <item m="1" x="2070"/>
        <item m="1" x="180"/>
        <item m="1" x="124"/>
        <item m="1" x="1968"/>
        <item m="1" x="396"/>
        <item m="1" x="1525"/>
        <item m="1" x="1295"/>
        <item m="1" x="340"/>
        <item m="1" x="2447"/>
        <item m="1" x="422"/>
        <item m="1" x="2448"/>
        <item m="1" x="563"/>
        <item m="1" x="893"/>
        <item m="1" x="894"/>
        <item m="1" x="696"/>
        <item m="1" x="2450"/>
        <item m="1" x="1066"/>
        <item m="1" x="2066"/>
        <item m="1" x="2646"/>
        <item m="1" x="2570"/>
        <item m="1" x="1443"/>
        <item m="1" x="226"/>
        <item m="1" x="157"/>
        <item m="1" x="1383"/>
        <item m="1" x="940"/>
        <item m="1" x="2014"/>
        <item m="1" x="697"/>
        <item m="1" x="698"/>
        <item m="1" x="587"/>
        <item m="1" x="2451"/>
        <item m="1" x="1580"/>
        <item m="1" x="2532"/>
        <item m="1" x="253"/>
        <item m="1" x="1814"/>
        <item m="1" x="1118"/>
        <item m="1" x="1180"/>
        <item m="1" x="827"/>
        <item m="1" x="2121"/>
        <item m="1" x="1619"/>
        <item m="1" x="1035"/>
        <item m="1" x="2723"/>
        <item m="1" x="2639"/>
        <item m="1" x="2009"/>
        <item m="1" x="119"/>
        <item m="1" x="1534"/>
        <item m="1" x="2452"/>
        <item m="1" x="1291"/>
        <item m="1" x="398"/>
        <item m="1" x="1728"/>
        <item m="1" x="2316"/>
        <item m="1" x="1560"/>
        <item m="1" x="2619"/>
        <item m="1" x="469"/>
        <item m="1" x="1769"/>
        <item m="1" x="1889"/>
        <item m="1" x="699"/>
        <item sd="0" m="1" x="2732"/>
        <item m="1" x="569"/>
        <item m="1" x="803"/>
        <item x="17"/>
        <item m="1" x="2453"/>
        <item m="1" x="1995"/>
        <item m="1" x="2454"/>
        <item m="1" x="1296"/>
        <item m="1" x="1866"/>
        <item m="1" x="1731"/>
        <item m="1" x="1537"/>
        <item m="1" x="1609"/>
        <item m="1" x="2574"/>
        <item m="1" x="1538"/>
        <item m="1" x="483"/>
        <item m="1" x="1603"/>
        <item m="1" x="178"/>
        <item m="1" x="1791"/>
        <item m="1" x="1840"/>
        <item m="1" x="958"/>
        <item m="1" x="402"/>
        <item m="1" x="258"/>
        <item sd="0" m="1" x="2725"/>
        <item m="1" x="1033"/>
        <item m="1" x="1798"/>
        <item m="1" x="1013"/>
        <item m="1" x="186"/>
        <item m="1" x="1916"/>
        <item m="1" x="968"/>
        <item m="1" x="2599"/>
        <item m="1" x="2140"/>
        <item m="1" x="796"/>
        <item m="1" x="1540"/>
        <item m="1" x="1541"/>
        <item m="1" x="701"/>
        <item m="1" x="1856"/>
        <item m="1" x="897"/>
        <item m="1" x="1857"/>
        <item m="1" x="2455"/>
        <item m="1" x="2660"/>
        <item m="1" x="1115"/>
        <item m="1" x="2471"/>
        <item m="1" x="1896"/>
        <item m="1" x="680"/>
        <item m="1" x="705"/>
        <item m="1" x="446"/>
        <item m="1" x="1350"/>
        <item m="1" x="600"/>
        <item m="1" x="1001"/>
        <item m="1" x="702"/>
        <item m="1" x="1545"/>
        <item x="2"/>
        <item m="1" x="531"/>
        <item m="1" x="634"/>
        <item m="1" x="814"/>
        <item m="1" x="556"/>
        <item x="21"/>
        <item m="1" x="2679"/>
        <item sd="0" m="1" x="1190"/>
        <item m="1" x="1823"/>
        <item m="1" x="790"/>
        <item m="1" x="2696"/>
        <item m="1" x="1127"/>
        <item m="1" x="845"/>
        <item m="1" x="347"/>
        <item m="1" x="1559"/>
        <item m="1" x="1116"/>
        <item m="1" x="1839"/>
        <item m="1" x="1721"/>
        <item m="1" x="1144"/>
        <item m="1" x="1107"/>
        <item m="1" x="888"/>
        <item m="1" x="1332"/>
        <item m="1" x="1845"/>
        <item sd="0" m="1" x="522"/>
        <item m="1" x="1714"/>
        <item m="1" x="1841"/>
        <item m="1" x="627"/>
        <item m="1" x="409"/>
        <item m="1" x="1040"/>
        <item m="1" x="1862"/>
        <item m="1" x="1969"/>
        <item m="1" x="379"/>
        <item m="1" x="1988"/>
        <item m="1" x="703"/>
        <item m="1" x="187"/>
        <item m="1" x="470"/>
        <item m="1" x="2122"/>
        <item m="1" x="1838"/>
        <item m="1" x="1564"/>
        <item m="1" x="198"/>
        <item x="39"/>
        <item m="1" x="913"/>
        <item m="1" x="1867"/>
        <item m="1" x="2458"/>
        <item m="1" x="1529"/>
        <item m="1" x="2459"/>
        <item m="1" x="2460"/>
        <item m="1" x="2462"/>
        <item m="1" x="830"/>
        <item m="1" x="704"/>
        <item m="1" x="2609"/>
        <item m="1" x="305"/>
        <item m="1" x="953"/>
        <item m="1" x="977"/>
        <item m="1" x="2463"/>
        <item m="1" x="2591"/>
        <item m="1" x="2299"/>
        <item m="1" x="189"/>
        <item m="1" x="2381"/>
        <item m="1" x="2662"/>
        <item m="1" x="228"/>
        <item m="1" x="2457"/>
        <item m="1" x="2032"/>
        <item m="1" x="961"/>
        <item m="1" x="1610"/>
        <item m="1" x="229"/>
        <item m="1" x="1772"/>
        <item m="1" x="1567"/>
        <item m="1" x="362"/>
        <item m="1" x="1029"/>
        <item m="1" x="829"/>
        <item m="1" x="1582"/>
        <item m="1" x="447"/>
        <item m="1" x="1150"/>
        <item sd="0" m="1" x="2736"/>
        <item m="1" x="1178"/>
        <item m="1" x="1514"/>
        <item m="1" x="1583"/>
        <item m="1" x="1584"/>
        <item m="1" x="1134"/>
        <item m="1" x="707"/>
        <item m="1" x="1561"/>
        <item m="1" x="2472"/>
        <item m="1" x="2011"/>
        <item m="1" x="1585"/>
        <item m="1" x="1338"/>
        <item m="1" x="909"/>
        <item m="1" x="700"/>
        <item m="1" x="77"/>
        <item m="1" x="2562"/>
        <item m="1" x="1586"/>
        <item m="1" x="2473"/>
        <item m="1" x="1685"/>
        <item m="1" x="564"/>
        <item m="1" x="1110"/>
        <item x="30"/>
        <item m="1" x="2474"/>
        <item m="1" x="2576"/>
        <item m="1" x="2610"/>
        <item m="1" x="1696"/>
        <item m="1" x="1051"/>
        <item m="1" x="2475"/>
        <item m="1" x="2476"/>
        <item m="1" x="1629"/>
        <item m="1" x="2477"/>
        <item m="1" x="1922"/>
        <item m="1" x="2479"/>
        <item m="1" x="2478"/>
        <item m="1" x="1676"/>
        <item m="1" x="1965"/>
        <item m="1" x="2695"/>
        <item m="1" x="496"/>
        <item m="1" x="1990"/>
        <item m="1" x="2689"/>
        <item m="1" x="1590"/>
        <item m="1" x="1155"/>
        <item m="1" x="881"/>
        <item m="1" x="2480"/>
        <item x="11"/>
        <item m="1" x="1960"/>
        <item m="1" x="2481"/>
        <item m="1" x="520"/>
        <item m="1" x="1028"/>
        <item m="1" x="352"/>
        <item m="1" x="2482"/>
        <item m="1" x="504"/>
        <item m="1" x="1496"/>
        <item m="1" x="928"/>
        <item m="1" x="2468"/>
        <item m="1" x="1024"/>
        <item m="1" x="1854"/>
        <item m="1" x="2483"/>
        <item m="1" x="1593"/>
        <item m="1" x="2680"/>
        <item m="1" x="1061"/>
        <item m="1" x="243"/>
        <item m="1" x="191"/>
        <item m="1" x="1579"/>
        <item m="1" x="1595"/>
        <item m="1" x="192"/>
        <item m="1" x="298"/>
        <item m="1" x="1601"/>
        <item m="1" x="962"/>
        <item m="1" x="2485"/>
        <item m="1" x="2124"/>
        <item m="1" x="1421"/>
        <item m="1" x="2005"/>
        <item m="1" x="1648"/>
        <item m="1" x="2125"/>
        <item m="1" x="1184"/>
        <item m="1" x="2676"/>
        <item m="1" x="1604"/>
        <item m="1" x="1558"/>
        <item m="1" x="194"/>
        <item m="1" x="2126"/>
        <item m="1" x="307"/>
        <item m="1" x="588"/>
        <item m="1" x="1168"/>
        <item m="1" x="193"/>
        <item m="1" x="972"/>
        <item m="1" x="413"/>
        <item m="1" x="414"/>
        <item m="1" x="415"/>
        <item m="1" x="169"/>
        <item m="1" x="416"/>
        <item m="1" x="1445"/>
        <item m="1" x="833"/>
        <item m="1" x="2486"/>
        <item m="1" x="1570"/>
        <item m="1" x="855"/>
        <item m="1" x="1533"/>
        <item m="1" x="2487"/>
        <item m="1" x="1842"/>
        <item m="1" x="1773"/>
        <item m="1" x="2488"/>
        <item m="1" x="1563"/>
        <item m="1" x="902"/>
        <item m="1" x="435"/>
        <item m="1" x="860"/>
        <item m="1" x="1121"/>
        <item m="1" x="708"/>
        <item m="1" x="2490"/>
        <item m="1" x="542"/>
        <item m="1" x="1607"/>
        <item m="1" x="1608"/>
        <item m="1" x="1335"/>
        <item sd="0" m="1" x="2719"/>
        <item m="1" x="1864"/>
        <item m="1" x="742"/>
        <item m="1" x="2368"/>
        <item m="1" x="832"/>
        <item m="1" x="1117"/>
        <item m="1" x="239"/>
        <item m="1" x="1426"/>
        <item m="1" x="2492"/>
        <item m="1" x="2493"/>
        <item m="1" x="196"/>
        <item m="1" x="2494"/>
        <item m="1" x="278"/>
        <item sd="0" m="1" x="2740"/>
        <item m="1" x="2069"/>
        <item m="1" x="1797"/>
        <item m="1" x="143"/>
        <item m="1" x="1611"/>
        <item x="42"/>
        <item m="1" x="608"/>
        <item m="1" x="1848"/>
        <item m="1" x="602"/>
        <item m="1" x="1858"/>
        <item m="1" x="1849"/>
        <item m="1" x="1976"/>
        <item m="1" x="1929"/>
        <item m="1" x="603"/>
        <item m="1" x="770"/>
        <item m="1" x="1850"/>
        <item m="1" x="601"/>
        <item m="1" x="606"/>
        <item m="1" x="610"/>
        <item m="1" x="1852"/>
        <item m="1" x="515"/>
        <item sd="0" x="29"/>
        <item m="1" x="1661"/>
        <item x="41"/>
        <item m="1" x="596"/>
        <item m="1" x="1662"/>
        <item m="1" x="514"/>
        <item m="1" x="595"/>
        <item m="1" x="1977"/>
        <item m="1" x="1358"/>
        <item m="1" x="1847"/>
        <item m="1" x="605"/>
        <item m="1" x="1846"/>
        <item m="1" x="609"/>
        <item sd="0" m="1" x="604"/>
        <item x="28"/>
        <item sd="0" m="1" x="2730"/>
        <item sd="0" m="1" x="2735"/>
        <item sd="0" x="26"/>
        <item m="1" x="857"/>
        <item m="1" x="1861"/>
        <item m="1" x="2027"/>
        <item m="1" x="2035"/>
        <item m="1" x="1881"/>
        <item m="1" x="92"/>
        <item m="1" x="1666"/>
        <item m="1" x="1974"/>
        <item m="1" x="1017"/>
        <item m="1" x="805"/>
        <item m="1" x="2699"/>
        <item m="1" x="2427"/>
        <item m="1" x="2446"/>
        <item m="1" x="151"/>
        <item m="1" x="709"/>
        <item m="1" x="1659"/>
        <item m="1" x="421"/>
        <item m="1" x="2067"/>
        <item m="1" x="2495"/>
        <item m="1" x="921"/>
        <item m="1" x="2238"/>
        <item sd="0" m="1" x="2738"/>
        <item m="1" x="1423"/>
        <item m="1" x="582"/>
        <item m="1" x="2123"/>
        <item m="1" x="70"/>
        <item m="1" x="2497"/>
        <item m="1" x="325"/>
        <item m="1" x="2156"/>
        <item m="1" x="2498"/>
        <item m="1" x="2461"/>
        <item m="1" x="1234"/>
        <item m="1" x="934"/>
        <item m="1" x="2672"/>
        <item m="1" x="1067"/>
        <item m="1" x="2256"/>
        <item m="1" x="1308"/>
        <item m="1" x="1669"/>
        <item m="1" x="1446"/>
        <item m="1" x="1154"/>
        <item m="1" x="2127"/>
        <item m="1" x="423"/>
        <item m="1" x="1400"/>
        <item m="1" x="424"/>
        <item m="1" x="1958"/>
        <item m="1" x="197"/>
        <item m="1" x="2499"/>
        <item m="1" x="1673"/>
        <item m="1" x="517"/>
        <item m="1" x="1477"/>
        <item m="1" x="2500"/>
        <item m="1" x="1808"/>
        <item m="1" x="892"/>
        <item m="1" x="1138"/>
        <item m="1" x="275"/>
        <item m="1" x="834"/>
        <item m="1" x="79"/>
        <item m="1" x="910"/>
        <item m="1" x="136"/>
        <item m="1" x="203"/>
        <item m="1" x="2575"/>
        <item m="1" x="2585"/>
        <item m="1" x="939"/>
        <item m="1" x="1366"/>
        <item m="1" x="1136"/>
        <item m="1" x="1605"/>
        <item m="1" x="1226"/>
        <item m="1" x="484"/>
        <item m="1" x="1677"/>
        <item m="1" x="2714"/>
        <item m="1" x="993"/>
        <item m="1" x="1387"/>
        <item m="1" x="1678"/>
        <item m="1" x="1895"/>
        <item m="1" x="1365"/>
        <item m="1" x="1649"/>
        <item m="1" x="1620"/>
        <item m="1" x="1599"/>
        <item m="1" x="1122"/>
        <item m="1" x="489"/>
        <item m="1" x="1352"/>
        <item m="1" x="1616"/>
        <item m="1" x="835"/>
        <item m="1" x="2515"/>
        <item m="1" x="230"/>
        <item m="1" x="533"/>
        <item m="1" x="2501"/>
        <item m="1" x="261"/>
        <item m="1" x="201"/>
        <item m="1" x="285"/>
        <item m="1" x="2502"/>
        <item m="1" x="1187"/>
        <item m="1" x="552"/>
        <item m="1" x="2503"/>
        <item m="1" x="630"/>
        <item m="1" x="859"/>
        <item m="1" x="1975"/>
        <item m="1" x="2504"/>
        <item m="1" x="2713"/>
        <item m="1" x="2694"/>
        <item m="1" x="1076"/>
        <item m="1" x="905"/>
        <item m="1" x="2514"/>
        <item m="1" x="1828"/>
        <item m="1" x="1164"/>
        <item m="1" x="1415"/>
        <item m="1" x="2587"/>
        <item m="1" x="2698"/>
        <item m="1" x="1697"/>
        <item m="1" x="1401"/>
        <item m="1" x="1292"/>
        <item m="1" x="2505"/>
        <item m="1" x="2702"/>
        <item m="1" x="280"/>
        <item m="1" x="879"/>
        <item m="1" x="937"/>
        <item x="34"/>
        <item m="1" x="365"/>
        <item m="1" x="1566"/>
        <item m="1" x="710"/>
        <item m="1" x="490"/>
        <item sd="0" m="1" x="493"/>
        <item m="1" x="711"/>
        <item m="1" x="400"/>
        <item m="1" x="2507"/>
        <item m="1" x="2624"/>
        <item m="1" x="632"/>
        <item m="1" x="2189"/>
        <item m="1" x="1631"/>
        <item m="1" x="2706"/>
        <item m="1" x="729"/>
        <item m="1" x="2617"/>
        <item x="24"/>
        <item m="1" x="1331"/>
        <item m="1" x="838"/>
        <item m="1" x="2022"/>
        <item m="1" x="1689"/>
        <item m="1" x="1690"/>
        <item m="1" x="2308"/>
        <item m="1" x="1794"/>
        <item m="1" x="1173"/>
        <item m="1" x="651"/>
        <item m="1" x="2652"/>
        <item m="1" x="1101"/>
        <item m="1" x="2128"/>
        <item m="1" x="613"/>
        <item m="1" x="137"/>
        <item m="1" x="813"/>
        <item m="1" x="2603"/>
        <item m="1" x="1343"/>
        <item m="1" x="2509"/>
        <item m="1" x="839"/>
        <item m="1" x="1691"/>
        <item m="1" x="121"/>
        <item m="1" x="425"/>
        <item m="1" x="2431"/>
        <item m="1" x="1890"/>
        <item m="1" x="1776"/>
        <item m="1" x="1904"/>
        <item m="1" x="2144"/>
        <item m="1" x="62"/>
        <item m="1" x="1055"/>
        <item m="1" x="840"/>
        <item m="1" x="2383"/>
        <item m="1" x="1578"/>
        <item m="1" x="2510"/>
        <item m="1" x="1660"/>
        <item m="1" x="485"/>
        <item m="1" x="1207"/>
        <item m="1" x="1693"/>
        <item m="1" x="1663"/>
        <item m="1" x="1657"/>
        <item m="1" x="858"/>
        <item m="1" x="2511"/>
        <item m="1" x="2001"/>
        <item m="1" x="841"/>
        <item m="1" x="1411"/>
        <item m="1" x="837"/>
        <item m="1" x="2597"/>
        <item m="1" x="1694"/>
        <item m="1" x="1801"/>
        <item m="1" x="1695"/>
        <item m="1" x="1681"/>
        <item m="1" x="1587"/>
        <item m="1" x="1160"/>
        <item m="1" x="1569"/>
        <item m="1" x="998"/>
        <item m="1" x="856"/>
        <item m="1" x="1166"/>
        <item m="1" x="2512"/>
        <item m="1" x="150"/>
        <item m="1" x="2149"/>
        <item m="1" x="1223"/>
        <item m="1" x="212"/>
        <item m="1" x="918"/>
        <item m="1" x="1989"/>
        <item m="1" x="1979"/>
        <item m="1" x="2268"/>
        <item m="1" x="56"/>
        <item m="1" x="1562"/>
        <item m="1" x="1581"/>
        <item m="1" x="2390"/>
        <item m="1" x="969"/>
        <item m="1" x="473"/>
        <item m="1" x="843"/>
        <item m="1" x="1625"/>
        <item m="1" x="935"/>
        <item m="1" x="2023"/>
        <item m="1" x="1462"/>
        <item m="1" x="2666"/>
        <item m="1" x="2024"/>
        <item x="9"/>
        <item m="1" x="1698"/>
        <item m="1" x="1375"/>
        <item m="1" x="1699"/>
        <item m="1" x="179"/>
        <item m="1" x="2148"/>
        <item m="1" x="589"/>
        <item m="1" x="558"/>
        <item m="1" x="1019"/>
        <item m="1" x="69"/>
        <item m="1" x="199"/>
        <item m="1" x="844"/>
        <item m="1" x="714"/>
        <item m="1" x="2449"/>
        <item m="1" x="715"/>
        <item m="1" x="1670"/>
        <item m="1" x="1407"/>
        <item m="1" x="2130"/>
        <item m="1" x="1702"/>
        <item m="1" x="427"/>
        <item m="1" x="190"/>
        <item m="1" x="1479"/>
        <item m="1" x="679"/>
        <item m="1" x="716"/>
        <item m="1" x="65"/>
        <item m="1" x="1703"/>
        <item m="1" x="1851"/>
        <item m="1" x="717"/>
        <item m="1" x="486"/>
        <item m="1" x="231"/>
        <item m="1" x="2079"/>
        <item m="1" x="2131"/>
        <item m="1" x="1626"/>
        <item m="1" x="2516"/>
        <item m="1" x="1374"/>
        <item m="1" x="1280"/>
        <item m="1" x="927"/>
        <item m="1" x="299"/>
        <item sd="0" m="1" x="2734"/>
        <item m="1" x="1843"/>
        <item m="1" x="1991"/>
        <item m="1" x="200"/>
        <item m="1" x="1859"/>
        <item m="1" x="86"/>
        <item m="1" x="1268"/>
        <item m="1" x="1417"/>
        <item m="1" x="1706"/>
        <item m="1" x="1269"/>
        <item m="1" x="2132"/>
        <item m="1" x="989"/>
        <item m="1" x="1704"/>
        <item m="1" x="637"/>
        <item m="1" x="706"/>
        <item sd="0" m="1" x="640"/>
        <item m="1" x="842"/>
        <item m="1" x="105"/>
        <item m="1" x="173"/>
        <item m="1" x="1495"/>
        <item m="1" x="896"/>
        <item m="1" x="2517"/>
        <item m="1" x="2518"/>
        <item m="1" x="982"/>
        <item m="1" x="2519"/>
        <item m="1" x="718"/>
        <item m="1" x="1705"/>
        <item m="1" x="1519"/>
        <item m="1" x="2644"/>
        <item m="1" x="2640"/>
        <item m="1" x="2520"/>
        <item m="1" x="1025"/>
        <item m="1" x="1182"/>
        <item m="1" x="1946"/>
        <item m="1" x="1635"/>
        <item m="1" x="984"/>
        <item m="1" x="1274"/>
        <item m="1" x="2521"/>
        <item m="1" x="1633"/>
        <item m="1" x="2522"/>
        <item m="1" x="861"/>
        <item m="1" x="1707"/>
        <item m="1" x="1834"/>
        <item m="1" x="1634"/>
        <item m="1" x="2700"/>
        <item m="1" x="127"/>
        <item m="1" x="1032"/>
        <item m="1" x="2203"/>
        <item m="1" x="1404"/>
        <item m="1" x="1494"/>
        <item m="1" x="1770"/>
        <item m="1" x="1983"/>
        <item m="1" x="2523"/>
        <item m="1" x="1709"/>
        <item m="1" x="1777"/>
        <item m="1" x="2525"/>
        <item m="1" x="719"/>
        <item m="1" x="1927"/>
        <item m="1" x="1996"/>
        <item m="1" x="846"/>
        <item m="1" x="2526"/>
        <item m="1" x="2392"/>
        <item m="1" x="519"/>
        <item m="1" x="1086"/>
        <item m="1" x="2059"/>
        <item m="1" x="598"/>
        <item m="1" x="757"/>
        <item m="1" x="535"/>
        <item m="1" x="2133"/>
        <item m="1" x="2527"/>
        <item m="1" x="204"/>
        <item m="1" x="720"/>
        <item x="35"/>
        <item m="1" x="1713"/>
        <item m="1" x="1014"/>
        <item m="1" x="1424"/>
        <item m="1" x="941"/>
        <item m="1" x="2712"/>
        <item m="1" x="420"/>
        <item m="1" x="2528"/>
        <item m="1" x="1391"/>
        <item m="1" x="2012"/>
        <item m="1" x="2573"/>
        <item m="1" x="938"/>
        <item m="1" x="2134"/>
        <item m="1" x="267"/>
        <item m="1" x="2529"/>
        <item m="1" x="1293"/>
        <item m="1" x="614"/>
        <item sd="0" m="1" x="2722"/>
        <item m="1" x="2593"/>
        <item m="1" x="1416"/>
        <item m="1" x="324"/>
        <item m="1" x="428"/>
        <item m="1" x="2530"/>
        <item m="1" x="2029"/>
        <item m="1" x="723"/>
        <item m="1" x="2259"/>
        <item m="1" x="541"/>
        <item m="1" x="1618"/>
        <item m="1" x="1674"/>
        <item m="1" x="1778"/>
        <item m="1" x="911"/>
        <item m="1" x="2531"/>
        <item m="1" x="847"/>
        <item x="23"/>
        <item m="1" x="478"/>
        <item m="1" x="848"/>
        <item m="1" x="929"/>
        <item m="1" x="1844"/>
        <item m="1" x="1715"/>
        <item m="1" x="1710"/>
        <item m="1" x="1004"/>
        <item m="1" x="726"/>
        <item m="1" x="2135"/>
        <item m="1" x="1353"/>
        <item m="1" x="1717"/>
        <item m="1" x="1779"/>
        <item sd="0" m="1" x="465"/>
        <item m="1" x="1260"/>
        <item m="1" x="974"/>
        <item m="1" x="2533"/>
        <item m="1" x="188"/>
        <item m="1" x="2647"/>
        <item m="1" x="2686"/>
        <item m="1" x="866"/>
        <item m="1" x="1811"/>
        <item m="1" x="812"/>
        <item x="43"/>
        <item m="1" x="1718"/>
        <item m="1" x="1719"/>
        <item m="1" x="1398"/>
        <item m="1" x="1720"/>
        <item sd="0" m="1" x="2728"/>
        <item m="1" x="128"/>
        <item m="1" x="205"/>
        <item m="1" x="686"/>
        <item m="1" x="2622"/>
        <item m="1" x="1780"/>
        <item m="1" x="685"/>
        <item m="1" x="2416"/>
        <item m="1" x="2705"/>
        <item m="1" x="1333"/>
        <item m="1" x="1667"/>
        <item m="1" x="2136"/>
        <item m="1" x="1781"/>
        <item m="1" x="329"/>
        <item m="1" x="1724"/>
        <item m="1" x="206"/>
        <item m="1" x="153"/>
        <item m="1" x="2643"/>
        <item m="1" x="849"/>
        <item m="1" x="854"/>
        <item m="1" x="2631"/>
        <item m="1" x="471"/>
        <item m="1" x="2535"/>
        <item m="1" x="1902"/>
        <item m="1" x="722"/>
        <item m="1" x="540"/>
        <item m="1" x="2255"/>
        <item m="1" x="850"/>
        <item m="1" x="183"/>
        <item m="1" x="693"/>
        <item m="1" x="644"/>
        <item m="1" x="1726"/>
        <item m="1" x="967"/>
        <item sd="0" m="1" x="2117"/>
        <item m="1" x="397"/>
        <item m="1" x="1504"/>
        <item x="40"/>
        <item sd="0" m="1" x="2729"/>
        <item m="1" x="1273"/>
        <item m="1" x="2536"/>
        <item m="1" x="2470"/>
        <item m="1" x="429"/>
        <item m="1" x="2537"/>
        <item m="1" x="2538"/>
        <item m="1" x="2569"/>
        <item m="1" x="2539"/>
        <item m="1" x="1460"/>
        <item m="1" x="2058"/>
        <item m="1" x="2540"/>
        <item m="1" x="942"/>
        <item m="1" x="2031"/>
        <item m="1" x="1597"/>
        <item m="1" x="2541"/>
        <item m="1" x="1325"/>
        <item m="1" x="2071"/>
        <item m="1" x="828"/>
        <item m="1" x="430"/>
        <item m="1" x="1356"/>
        <item m="1" x="1031"/>
        <item x="16"/>
        <item m="1" x="1957"/>
        <item m="1" x="1434"/>
        <item m="1" x="874"/>
        <item m="1" x="2542"/>
        <item m="1" x="2543"/>
        <item m="1" x="249"/>
        <item m="1" x="207"/>
        <item m="1" x="2544"/>
        <item m="1" x="2545"/>
        <item m="1" x="2137"/>
        <item m="1" x="2138"/>
        <item m="1" x="1002"/>
        <item m="1" x="134"/>
        <item m="1" x="1732"/>
        <item m="1" x="1326"/>
        <item m="1" x="155"/>
        <item m="1" x="211"/>
        <item m="1" x="1161"/>
        <item x="36"/>
        <item m="1" x="141"/>
        <item m="1" x="2548"/>
        <item m="1" x="508"/>
        <item m="1" x="930"/>
        <item m="1" x="571"/>
        <item m="1" x="2372"/>
        <item m="1" x="2357"/>
        <item m="1" x="241"/>
        <item m="1" x="1733"/>
        <item m="1" x="1734"/>
        <item m="1" x="431"/>
        <item m="1" x="851"/>
        <item m="1" x="2546"/>
        <item m="1" x="532"/>
        <item m="1" x="1521"/>
        <item m="1" x="1554"/>
        <item m="1" x="2547"/>
        <item m="1" x="1782"/>
        <item m="1" x="1903"/>
        <item m="1" x="2549"/>
        <item m="1" x="1735"/>
        <item m="1" x="1650"/>
        <item m="1" x="1736"/>
        <item m="1" x="2708"/>
        <item t="default" sd="0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4"/>
    <field x="0"/>
  </rowFields>
  <rowItems count="5">
    <i>
      <x v="21"/>
    </i>
    <i r="1">
      <x v="69"/>
    </i>
    <i>
      <x v="1243"/>
    </i>
    <i r="1">
      <x v="32"/>
    </i>
    <i t="grand">
      <x/>
    </i>
  </rowItems>
  <colItems count="1">
    <i/>
  </colItems>
  <pageFields count="1">
    <pageField fld="3" hier="-1"/>
  </pageFields>
  <dataFields count="1">
    <dataField name="Total" fld="9" baseField="0" baseItem="0" numFmtId="44"/>
  </dataFields>
  <formats count="9">
    <format dxfId="85">
      <pivotArea collapsedLevelsAreSubtotals="1" fieldPosition="0">
        <references count="1">
          <reference field="4" count="1">
            <x v="275"/>
          </reference>
        </references>
      </pivotArea>
    </format>
    <format dxfId="84">
      <pivotArea collapsedLevelsAreSubtotals="1" fieldPosition="0">
        <references count="1">
          <reference field="4" count="1">
            <x v="664"/>
          </reference>
        </references>
      </pivotArea>
    </format>
    <format dxfId="83">
      <pivotArea collapsedLevelsAreSubtotals="1" fieldPosition="0">
        <references count="1">
          <reference field="4" count="1">
            <x v="789"/>
          </reference>
        </references>
      </pivotArea>
    </format>
    <format dxfId="82">
      <pivotArea collapsedLevelsAreSubtotals="1" fieldPosition="0">
        <references count="1">
          <reference field="4" count="1">
            <x v="1446"/>
          </reference>
        </references>
      </pivotArea>
    </format>
    <format dxfId="81">
      <pivotArea collapsedLevelsAreSubtotals="1" fieldPosition="0">
        <references count="1">
          <reference field="4" count="1">
            <x v="1688"/>
          </reference>
        </references>
      </pivotArea>
    </format>
    <format dxfId="80">
      <pivotArea collapsedLevelsAreSubtotals="1" fieldPosition="0">
        <references count="1">
          <reference field="4" count="1">
            <x v="1989"/>
          </reference>
        </references>
      </pivotArea>
    </format>
    <format dxfId="79">
      <pivotArea dataOnly="0" labelOnly="1" fieldPosition="0">
        <references count="1">
          <reference field="4" count="6">
            <x v="275"/>
            <x v="664"/>
            <x v="789"/>
            <x v="1446"/>
            <x v="1688"/>
            <x v="1989"/>
          </reference>
        </references>
      </pivotArea>
    </format>
    <format dxfId="78">
      <pivotArea field="4" type="button" dataOnly="0" labelOnly="1" outline="0" axis="axisRow" fieldPosition="0"/>
    </format>
    <format dxfId="77">
      <pivotArea dataOnly="0" labelOnly="1" outline="0" axis="axisValues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2349CA-2BC2-2F4B-8298-D768DC602D7A}" name="PivotTable6" cacheId="42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D4:E6" firstHeaderRow="1" firstDataRow="1" firstDataCol="1" rowPageCount="1" colPageCount="1"/>
  <pivotFields count="15">
    <pivotField showAll="0"/>
    <pivotField numFmtId="165" showAll="0"/>
    <pivotField axis="axisRow" showAll="0" measureFilter="1" sortType="ascending">
      <items count="537">
        <item m="1" x="433"/>
        <item x="0"/>
        <item x="1"/>
        <item x="2"/>
        <item m="1" x="209"/>
        <item x="3"/>
        <item m="1" x="352"/>
        <item m="1" x="358"/>
        <item m="1" x="215"/>
        <item m="1" x="182"/>
        <item m="1" x="297"/>
        <item m="1" x="373"/>
        <item m="1" x="192"/>
        <item m="1" x="381"/>
        <item m="1" x="202"/>
        <item m="1" x="303"/>
        <item x="4"/>
        <item x="5"/>
        <item x="6"/>
        <item m="1" x="533"/>
        <item m="1" x="295"/>
        <item m="1" x="184"/>
        <item m="1" x="488"/>
        <item x="7"/>
        <item m="1" x="510"/>
        <item x="8"/>
        <item x="9"/>
        <item x="10"/>
        <item m="1" x="426"/>
        <item x="11"/>
        <item x="12"/>
        <item x="13"/>
        <item x="14"/>
        <item m="1" x="413"/>
        <item m="1" x="518"/>
        <item m="1" x="385"/>
        <item m="1" x="392"/>
        <item x="15"/>
        <item x="16"/>
        <item m="1" x="504"/>
        <item x="17"/>
        <item m="1" x="447"/>
        <item m="1" x="481"/>
        <item x="18"/>
        <item x="19"/>
        <item m="1" x="347"/>
        <item m="1" x="354"/>
        <item m="1" x="411"/>
        <item m="1" x="418"/>
        <item m="1" x="186"/>
        <item x="20"/>
        <item m="1" x="277"/>
        <item m="1" x="214"/>
        <item x="21"/>
        <item m="1" x="479"/>
        <item m="1" x="436"/>
        <item x="22"/>
        <item m="1" x="367"/>
        <item m="1" x="267"/>
        <item x="23"/>
        <item m="1" x="219"/>
        <item x="24"/>
        <item m="1" x="265"/>
        <item m="1" x="357"/>
        <item x="25"/>
        <item x="26"/>
        <item x="27"/>
        <item m="1" x="228"/>
        <item m="1" x="485"/>
        <item x="28"/>
        <item m="1" x="469"/>
        <item m="1" x="394"/>
        <item x="29"/>
        <item m="1" x="435"/>
        <item x="30"/>
        <item m="1" x="248"/>
        <item x="31"/>
        <item x="32"/>
        <item x="33"/>
        <item x="34"/>
        <item x="35"/>
        <item m="1" x="482"/>
        <item x="36"/>
        <item m="1" x="226"/>
        <item m="1" x="235"/>
        <item x="37"/>
        <item m="1" x="283"/>
        <item x="38"/>
        <item m="1" x="213"/>
        <item m="1" x="274"/>
        <item m="1" x="425"/>
        <item m="1" x="205"/>
        <item m="1" x="345"/>
        <item m="1" x="532"/>
        <item m="1" x="346"/>
        <item m="1" x="443"/>
        <item m="1" x="331"/>
        <item m="1" x="396"/>
        <item m="1" x="253"/>
        <item x="39"/>
        <item m="1" x="501"/>
        <item m="1" x="387"/>
        <item x="40"/>
        <item m="1" x="355"/>
        <item x="41"/>
        <item x="42"/>
        <item x="43"/>
        <item x="44"/>
        <item x="45"/>
        <item m="1" x="289"/>
        <item m="1" x="475"/>
        <item m="1" x="521"/>
        <item m="1" x="200"/>
        <item m="1" x="376"/>
        <item m="1" x="221"/>
        <item m="1" x="270"/>
        <item x="46"/>
        <item m="1" x="431"/>
        <item m="1" x="292"/>
        <item m="1" x="414"/>
        <item m="1" x="375"/>
        <item m="1" x="471"/>
        <item x="47"/>
        <item m="1" x="393"/>
        <item x="48"/>
        <item m="1" x="494"/>
        <item x="49"/>
        <item x="50"/>
        <item m="1" x="183"/>
        <item x="51"/>
        <item m="1" x="416"/>
        <item x="52"/>
        <item m="1" x="290"/>
        <item m="1" x="341"/>
        <item m="1" x="439"/>
        <item m="1" x="257"/>
        <item m="1" x="340"/>
        <item m="1" x="256"/>
        <item x="53"/>
        <item m="1" x="203"/>
        <item x="54"/>
        <item x="55"/>
        <item x="56"/>
        <item m="1" x="529"/>
        <item x="57"/>
        <item m="1" x="461"/>
        <item m="1" x="415"/>
        <item x="58"/>
        <item m="1" x="238"/>
        <item x="59"/>
        <item x="60"/>
        <item m="1" x="452"/>
        <item m="1" x="457"/>
        <item x="61"/>
        <item m="1" x="508"/>
        <item m="1" x="208"/>
        <item m="1" x="321"/>
        <item m="1" x="390"/>
        <item x="62"/>
        <item m="1" x="293"/>
        <item m="1" x="232"/>
        <item m="1" x="366"/>
        <item m="1" x="310"/>
        <item x="63"/>
        <item m="1" x="400"/>
        <item m="1" x="446"/>
        <item m="1" x="251"/>
        <item x="64"/>
        <item x="65"/>
        <item m="1" x="349"/>
        <item x="66"/>
        <item x="67"/>
        <item m="1" x="259"/>
        <item m="1" x="519"/>
        <item x="68"/>
        <item m="1" x="490"/>
        <item x="69"/>
        <item m="1" x="344"/>
        <item m="1" x="255"/>
        <item x="70"/>
        <item x="71"/>
        <item m="1" x="406"/>
        <item x="72"/>
        <item m="1" x="458"/>
        <item x="73"/>
        <item m="1" x="196"/>
        <item m="1" x="314"/>
        <item m="1" x="419"/>
        <item x="74"/>
        <item x="75"/>
        <item x="76"/>
        <item m="1" x="404"/>
        <item m="1" x="302"/>
        <item m="1" x="372"/>
        <item m="1" x="316"/>
        <item x="77"/>
        <item m="1" x="279"/>
        <item m="1" x="276"/>
        <item m="1" x="361"/>
        <item m="1" x="468"/>
        <item m="1" x="371"/>
        <item m="1" x="258"/>
        <item m="1" x="260"/>
        <item m="1" x="430"/>
        <item m="1" x="187"/>
        <item x="78"/>
        <item x="79"/>
        <item x="80"/>
        <item m="1" x="227"/>
        <item m="1" x="427"/>
        <item x="81"/>
        <item m="1" x="395"/>
        <item m="1" x="407"/>
        <item m="1" x="473"/>
        <item m="1" x="445"/>
        <item m="1" x="405"/>
        <item m="1" x="252"/>
        <item m="1" x="464"/>
        <item x="82"/>
        <item m="1" x="230"/>
        <item x="83"/>
        <item m="1" x="514"/>
        <item m="1" x="456"/>
        <item m="1" x="517"/>
        <item m="1" x="325"/>
        <item m="1" x="422"/>
        <item m="1" x="505"/>
        <item m="1" x="241"/>
        <item x="84"/>
        <item m="1" x="195"/>
        <item m="1" x="233"/>
        <item x="85"/>
        <item m="1" x="286"/>
        <item m="1" x="250"/>
        <item x="86"/>
        <item m="1" x="189"/>
        <item m="1" x="470"/>
        <item x="87"/>
        <item x="88"/>
        <item x="89"/>
        <item m="1" x="465"/>
        <item x="90"/>
        <item x="91"/>
        <item m="1" x="489"/>
        <item m="1" x="268"/>
        <item m="1" x="300"/>
        <item m="1" x="360"/>
        <item x="92"/>
        <item m="1" x="315"/>
        <item m="1" x="263"/>
        <item m="1" x="278"/>
        <item m="1" x="199"/>
        <item m="1" x="486"/>
        <item m="1" x="454"/>
        <item m="1" x="211"/>
        <item m="1" x="317"/>
        <item x="93"/>
        <item m="1" x="298"/>
        <item m="1" x="288"/>
        <item x="94"/>
        <item m="1" x="448"/>
        <item x="95"/>
        <item m="1" x="307"/>
        <item m="1" x="294"/>
        <item m="1" x="450"/>
        <item m="1" x="190"/>
        <item m="1" x="512"/>
        <item x="96"/>
        <item x="97"/>
        <item x="98"/>
        <item m="1" x="516"/>
        <item m="1" x="365"/>
        <item m="1" x="242"/>
        <item m="1" x="377"/>
        <item m="1" x="491"/>
        <item x="99"/>
        <item m="1" x="472"/>
        <item x="100"/>
        <item m="1" x="384"/>
        <item x="101"/>
        <item x="102"/>
        <item m="1" x="309"/>
        <item m="1" x="311"/>
        <item x="103"/>
        <item x="104"/>
        <item m="1" x="291"/>
        <item m="1" x="338"/>
        <item m="1" x="285"/>
        <item m="1" x="306"/>
        <item x="105"/>
        <item m="1" x="386"/>
        <item m="1" x="197"/>
        <item m="1" x="528"/>
        <item m="1" x="223"/>
        <item m="1" x="275"/>
        <item m="1" x="194"/>
        <item x="106"/>
        <item m="1" x="403"/>
        <item m="1" x="525"/>
        <item m="1" x="324"/>
        <item m="1" x="201"/>
        <item m="1" x="243"/>
        <item x="107"/>
        <item m="1" x="434"/>
        <item m="1" x="362"/>
        <item x="108"/>
        <item m="1" x="363"/>
        <item m="1" x="437"/>
        <item m="1" x="339"/>
        <item m="1" x="329"/>
        <item m="1" x="284"/>
        <item m="1" x="441"/>
        <item x="109"/>
        <item m="1" x="244"/>
        <item x="110"/>
        <item m="1" x="225"/>
        <item m="1" x="442"/>
        <item m="1" x="402"/>
        <item m="1" x="333"/>
        <item m="1" x="224"/>
        <item x="111"/>
        <item m="1" x="217"/>
        <item m="1" x="188"/>
        <item x="112"/>
        <item m="1" x="383"/>
        <item x="113"/>
        <item m="1" x="212"/>
        <item m="1" x="313"/>
        <item x="114"/>
        <item m="1" x="507"/>
        <item x="115"/>
        <item x="116"/>
        <item m="1" x="493"/>
        <item x="117"/>
        <item m="1" x="330"/>
        <item m="1" x="389"/>
        <item m="1" x="234"/>
        <item m="1" x="408"/>
        <item x="118"/>
        <item x="119"/>
        <item m="1" x="220"/>
        <item m="1" x="506"/>
        <item m="1" x="391"/>
        <item x="120"/>
        <item m="1" x="266"/>
        <item m="1" x="509"/>
        <item m="1" x="374"/>
        <item x="121"/>
        <item m="1" x="359"/>
        <item m="1" x="305"/>
        <item m="1" x="282"/>
        <item x="122"/>
        <item m="1" x="280"/>
        <item x="123"/>
        <item x="124"/>
        <item m="1" x="356"/>
        <item m="1" x="327"/>
        <item m="1" x="398"/>
        <item m="1" x="246"/>
        <item m="1" x="498"/>
        <item x="125"/>
        <item x="126"/>
        <item m="1" x="451"/>
        <item x="127"/>
        <item m="1" x="530"/>
        <item m="1" x="388"/>
        <item x="128"/>
        <item m="1" x="206"/>
        <item m="1" x="191"/>
        <item m="1" x="322"/>
        <item x="129"/>
        <item m="1" x="417"/>
        <item m="1" x="308"/>
        <item m="1" x="534"/>
        <item m="1" x="440"/>
        <item m="1" x="254"/>
        <item x="130"/>
        <item m="1" x="455"/>
        <item m="1" x="523"/>
        <item x="131"/>
        <item m="1" x="296"/>
        <item x="132"/>
        <item x="133"/>
        <item m="1" x="474"/>
        <item m="1" x="334"/>
        <item m="1" x="531"/>
        <item m="1" x="229"/>
        <item x="134"/>
        <item x="135"/>
        <item m="1" x="535"/>
        <item m="1" x="476"/>
        <item x="136"/>
        <item x="137"/>
        <item m="1" x="239"/>
        <item m="1" x="478"/>
        <item x="138"/>
        <item x="139"/>
        <item x="140"/>
        <item m="1" x="423"/>
        <item m="1" x="401"/>
        <item m="1" x="193"/>
        <item x="141"/>
        <item m="1" x="397"/>
        <item m="1" x="526"/>
        <item x="142"/>
        <item m="1" x="271"/>
        <item x="143"/>
        <item m="1" x="428"/>
        <item x="144"/>
        <item x="145"/>
        <item x="146"/>
        <item x="147"/>
        <item x="148"/>
        <item m="1" x="247"/>
        <item x="149"/>
        <item m="1" x="502"/>
        <item m="1" x="207"/>
        <item m="1" x="222"/>
        <item m="1" x="462"/>
        <item m="1" x="520"/>
        <item m="1" x="410"/>
        <item m="1" x="336"/>
        <item m="1" x="511"/>
        <item m="1" x="328"/>
        <item m="1" x="424"/>
        <item m="1" x="421"/>
        <item m="1" x="499"/>
        <item m="1" x="515"/>
        <item m="1" x="527"/>
        <item m="1" x="379"/>
        <item x="150"/>
        <item m="1" x="369"/>
        <item x="151"/>
        <item m="1" x="237"/>
        <item m="1" x="323"/>
        <item x="152"/>
        <item x="153"/>
        <item x="154"/>
        <item m="1" x="348"/>
        <item m="1" x="236"/>
        <item x="155"/>
        <item x="156"/>
        <item m="1" x="483"/>
        <item m="1" x="420"/>
        <item m="1" x="503"/>
        <item m="1" x="332"/>
        <item m="1" x="204"/>
        <item m="1" x="460"/>
        <item x="157"/>
        <item x="158"/>
        <item m="1" x="326"/>
        <item m="1" x="513"/>
        <item x="159"/>
        <item m="1" x="351"/>
        <item m="1" x="216"/>
        <item m="1" x="262"/>
        <item m="1" x="320"/>
        <item m="1" x="453"/>
        <item m="1" x="272"/>
        <item m="1" x="500"/>
        <item x="160"/>
        <item m="1" x="484"/>
        <item m="1" x="231"/>
        <item m="1" x="399"/>
        <item x="161"/>
        <item m="1" x="304"/>
        <item m="1" x="382"/>
        <item m="1" x="318"/>
        <item m="1" x="319"/>
        <item m="1" x="429"/>
        <item m="1" x="378"/>
        <item m="1" x="269"/>
        <item m="1" x="496"/>
        <item m="1" x="281"/>
        <item m="1" x="495"/>
        <item m="1" x="301"/>
        <item x="162"/>
        <item x="163"/>
        <item m="1" x="353"/>
        <item m="1" x="210"/>
        <item m="1" x="343"/>
        <item m="1" x="312"/>
        <item m="1" x="497"/>
        <item m="1" x="185"/>
        <item m="1" x="350"/>
        <item m="1" x="249"/>
        <item m="1" x="368"/>
        <item m="1" x="438"/>
        <item m="1" x="264"/>
        <item m="1" x="342"/>
        <item m="1" x="198"/>
        <item m="1" x="240"/>
        <item m="1" x="467"/>
        <item x="164"/>
        <item m="1" x="337"/>
        <item m="1" x="524"/>
        <item m="1" x="299"/>
        <item x="165"/>
        <item m="1" x="459"/>
        <item m="1" x="218"/>
        <item m="1" x="466"/>
        <item m="1" x="492"/>
        <item x="166"/>
        <item m="1" x="477"/>
        <item m="1" x="449"/>
        <item m="1" x="409"/>
        <item m="1" x="480"/>
        <item x="167"/>
        <item m="1" x="522"/>
        <item x="168"/>
        <item m="1" x="261"/>
        <item m="1" x="245"/>
        <item m="1" x="412"/>
        <item m="1" x="432"/>
        <item x="169"/>
        <item m="1" x="444"/>
        <item m="1" x="370"/>
        <item x="170"/>
        <item x="171"/>
        <item x="172"/>
        <item m="1" x="287"/>
        <item m="1" x="273"/>
        <item x="173"/>
        <item m="1" x="487"/>
        <item x="174"/>
        <item m="1" x="463"/>
        <item x="175"/>
        <item m="1" x="335"/>
        <item x="176"/>
        <item m="1" x="380"/>
        <item m="1" x="364"/>
        <item x="177"/>
        <item x="178"/>
        <item x="179"/>
        <item x="180"/>
        <item m="1" x="181"/>
        <item t="default"/>
      </items>
    </pivotField>
    <pivotField axis="axisPage" multipleItemSelectionAllowed="1" showAll="0">
      <items count="41">
        <item h="1" x="2"/>
        <item h="1" x="7"/>
        <item h="1" x="3"/>
        <item h="1" m="1" x="35"/>
        <item h="1" x="20"/>
        <item h="1" m="1" x="32"/>
        <item h="1" x="5"/>
        <item h="1" x="6"/>
        <item h="1" x="11"/>
        <item h="1" x="15"/>
        <item h="1" m="1" x="30"/>
        <item h="1" x="1"/>
        <item h="1" x="16"/>
        <item h="1" x="21"/>
        <item h="1" x="19"/>
        <item h="1" x="8"/>
        <item h="1" x="0"/>
        <item h="1" x="9"/>
        <item h="1" x="13"/>
        <item x="4"/>
        <item h="1" x="10"/>
        <item h="1" m="1" x="38"/>
        <item h="1" m="1" x="33"/>
        <item h="1" m="1" x="26"/>
        <item h="1" x="12"/>
        <item h="1" m="1" x="28"/>
        <item h="1" m="1" x="36"/>
        <item h="1" m="1" x="37"/>
        <item h="1" m="1" x="29"/>
        <item h="1" m="1" x="39"/>
        <item h="1" m="1" x="23"/>
        <item h="1" m="1" x="31"/>
        <item h="1" m="1" x="25"/>
        <item h="1" x="17"/>
        <item h="1" m="1" x="34"/>
        <item h="1" x="14"/>
        <item h="1" m="1" x="24"/>
        <item h="1" m="1" x="27"/>
        <item h="1" x="18"/>
        <item h="1" x="22"/>
        <item t="default"/>
      </items>
    </pivotField>
    <pivotField showAll="0"/>
    <pivotField numFmtId="4" showAll="0"/>
    <pivotField numFmtId="4" showAll="0"/>
    <pivotField dataField="1" numFmtId="4" showAll="0"/>
    <pivotField numFmtId="4" showAll="0"/>
    <pivotField numFmtId="4" showAll="0"/>
    <pivotField numFmtId="166" showAll="0"/>
    <pivotField showAll="0"/>
    <pivotField showAll="0"/>
    <pivotField showAll="0"/>
    <pivotField showAll="0"/>
  </pivotFields>
  <rowFields count="1">
    <field x="2"/>
  </rowFields>
  <rowItems count="2">
    <i>
      <x v="366"/>
    </i>
    <i t="grand">
      <x/>
    </i>
  </rowItems>
  <colItems count="1">
    <i/>
  </colItems>
  <pageFields count="1">
    <pageField fld="3" hier="-1"/>
  </pageFields>
  <dataFields count="1">
    <dataField name="Total" fld="7" baseField="0" baseItem="0" numFmtId="44"/>
  </dataFields>
  <formats count="2">
    <format dxfId="65">
      <pivotArea field="2" type="button" dataOnly="0" labelOnly="1" outline="0" axis="axisRow" fieldPosition="0"/>
    </format>
    <format dxfId="64">
      <pivotArea dataOnly="0" labelOnly="1" outline="0" axis="axisValues" fieldPosition="0"/>
    </format>
  </formats>
  <pivotTableStyleInfo name="PivotStyleLight16" showRowHeaders="1" showColHeaders="1" showRowStripes="1" showColStripes="0" showLastColumn="1"/>
  <filters count="1">
    <filter fld="2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26395-1655-9848-B34A-DD8E8D44FF30}" name="PivotTable5" cacheId="4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A4:B5" firstHeaderRow="1" firstDataRow="1" firstDataCol="1" rowPageCount="1" colPageCount="1"/>
  <pivotFields count="15">
    <pivotField axis="axisRow" showAll="0">
      <items count="71">
        <item x="56"/>
        <item x="64"/>
        <item x="57"/>
        <item x="65"/>
        <item x="25"/>
        <item x="34"/>
        <item x="36"/>
        <item x="30"/>
        <item x="21"/>
        <item x="52"/>
        <item x="13"/>
        <item x="44"/>
        <item x="14"/>
        <item x="22"/>
        <item x="16"/>
        <item x="29"/>
        <item x="2"/>
        <item x="8"/>
        <item x="51"/>
        <item x="20"/>
        <item x="26"/>
        <item x="35"/>
        <item x="19"/>
        <item x="6"/>
        <item x="61"/>
        <item x="4"/>
        <item x="43"/>
        <item x="11"/>
        <item x="54"/>
        <item x="33"/>
        <item x="38"/>
        <item x="39"/>
        <item x="63"/>
        <item x="17"/>
        <item x="55"/>
        <item x="0"/>
        <item x="1"/>
        <item m="1" x="67"/>
        <item x="46"/>
        <item x="45"/>
        <item x="24"/>
        <item x="18"/>
        <item x="50"/>
        <item x="58"/>
        <item x="59"/>
        <item x="7"/>
        <item x="47"/>
        <item x="31"/>
        <item x="53"/>
        <item x="48"/>
        <item x="23"/>
        <item x="27"/>
        <item x="32"/>
        <item x="37"/>
        <item x="49"/>
        <item m="1" x="68"/>
        <item m="1" x="69"/>
        <item x="3"/>
        <item x="9"/>
        <item x="60"/>
        <item x="28"/>
        <item x="10"/>
        <item x="66"/>
        <item x="62"/>
        <item x="40"/>
        <item x="41"/>
        <item x="42"/>
        <item x="12"/>
        <item x="15"/>
        <item x="5"/>
        <item t="default"/>
      </items>
    </pivotField>
    <pivotField showAll="0"/>
    <pivotField showAll="0"/>
    <pivotField axis="axisPage" multipleItemSelectionAllowed="1" showAll="0">
      <items count="49">
        <item h="1" x="10"/>
        <item h="1" x="15"/>
        <item h="1" x="17"/>
        <item h="1" x="5"/>
        <item h="1" x="7"/>
        <item h="1" m="1" x="18"/>
        <item h="1" x="6"/>
        <item h="1" x="12"/>
        <item h="1" x="14"/>
        <item h="1" m="1" x="36"/>
        <item h="1" x="3"/>
        <item h="1" x="8"/>
        <item h="1" x="9"/>
        <item m="1" x="41"/>
        <item h="1" m="1" x="42"/>
        <item h="1" x="13"/>
        <item h="1" x="0"/>
        <item h="1" m="1" x="23"/>
        <item h="1" m="1" x="45"/>
        <item h="1" m="1" x="47"/>
        <item h="1" x="1"/>
        <item h="1" m="1" x="39"/>
        <item h="1" x="4"/>
        <item h="1" m="1" x="44"/>
        <item h="1" m="1" x="46"/>
        <item h="1" x="2"/>
        <item h="1" m="1" x="40"/>
        <item h="1" x="11"/>
        <item h="1" m="1" x="34"/>
        <item h="1" m="1" x="21"/>
        <item h="1" m="1" x="31"/>
        <item h="1" m="1" x="33"/>
        <item h="1" m="1" x="22"/>
        <item h="1" m="1" x="20"/>
        <item h="1" m="1" x="26"/>
        <item h="1" m="1" x="27"/>
        <item h="1" m="1" x="19"/>
        <item h="1" x="16"/>
        <item h="1" m="1" x="43"/>
        <item h="1" m="1" x="24"/>
        <item h="1" m="1" x="25"/>
        <item h="1" m="1" x="28"/>
        <item h="1" m="1" x="29"/>
        <item h="1" m="1" x="30"/>
        <item h="1" m="1" x="32"/>
        <item h="1" m="1" x="35"/>
        <item h="1" m="1" x="37"/>
        <item h="1" m="1" x="38"/>
        <item t="default"/>
      </items>
    </pivotField>
    <pivotField axis="axisRow" showAll="0" sortType="ascending">
      <items count="2742">
        <item m="1" x="956"/>
        <item m="1" x="1464"/>
        <item m="1" x="2141"/>
        <item m="1" x="272"/>
        <item m="1" x="870"/>
        <item m="1" x="575"/>
        <item m="1" x="2057"/>
        <item m="1" x="1442"/>
        <item m="1" x="361"/>
        <item m="1" x="118"/>
        <item m="1" x="1346"/>
        <item m="1" x="725"/>
        <item m="1" x="1254"/>
        <item m="1" x="282"/>
        <item m="1" x="2036"/>
        <item m="1" x="2157"/>
        <item m="1" x="1796"/>
        <item m="1" x="951"/>
        <item m="1" x="1887"/>
        <item m="1" x="1870"/>
        <item m="1" x="2717"/>
        <item x="5"/>
        <item m="1" x="491"/>
        <item m="1" x="1549"/>
        <item m="1" x="1484"/>
        <item m="1" x="727"/>
        <item m="1" x="1288"/>
        <item m="1" x="1739"/>
        <item m="1" x="804"/>
        <item m="1" x="451"/>
        <item m="1" x="1888"/>
        <item x="12"/>
        <item m="1" x="2159"/>
        <item m="1" x="1623"/>
        <item m="1" x="2037"/>
        <item m="1" x="78"/>
        <item m="1" x="2611"/>
        <item m="1" x="1378"/>
        <item m="1" x="1556"/>
        <item m="1" x="959"/>
        <item m="1" x="177"/>
        <item m="1" x="2038"/>
        <item m="1" x="1737"/>
        <item m="1" x="2160"/>
        <item m="1" x="2161"/>
        <item m="1" x="357"/>
        <item m="1" x="1142"/>
        <item m="1" x="1003"/>
        <item m="1" x="2688"/>
        <item m="1" x="2162"/>
        <item m="1" x="1096"/>
        <item m="1" x="1016"/>
        <item m="1" x="2039"/>
        <item m="1" x="88"/>
        <item m="1" x="1738"/>
        <item m="1" x="2163"/>
        <item m="1" x="1459"/>
        <item m="1" x="2164"/>
        <item m="1" x="2153"/>
        <item m="1" x="89"/>
        <item m="1" x="2165"/>
        <item m="1" x="730"/>
        <item m="1" x="1630"/>
        <item m="1" x="1005"/>
        <item m="1" x="2166"/>
        <item m="1" x="1348"/>
        <item m="1" x="1006"/>
        <item m="1" x="731"/>
        <item m="1" x="1651"/>
        <item m="1" x="2167"/>
        <item m="1" x="1008"/>
        <item m="1" x="2168"/>
        <item m="1" x="1367"/>
        <item m="1" x="2146"/>
        <item m="1" x="90"/>
        <item m="1" x="2169"/>
        <item m="1" x="266"/>
        <item m="1" x="922"/>
        <item m="1" x="442"/>
        <item m="1" x="364"/>
        <item m="1" x="732"/>
        <item m="1" x="1555"/>
        <item m="1" x="2170"/>
        <item m="1" x="418"/>
        <item m="1" x="887"/>
        <item m="1" x="265"/>
        <item m="1" x="292"/>
        <item m="1" x="2171"/>
        <item m="1" x="68"/>
        <item m="1" x="521"/>
        <item m="1" x="616"/>
        <item m="1" x="2484"/>
        <item m="1" x="617"/>
        <item m="1" x="284"/>
        <item m="1" x="2172"/>
        <item m="1" x="2659"/>
        <item m="1" x="1617"/>
        <item m="1" x="1363"/>
        <item m="1" x="2173"/>
        <item m="1" x="232"/>
        <item m="1" x="2174"/>
        <item m="1" x="2175"/>
        <item m="1" x="2176"/>
        <item m="1" x="2040"/>
        <item m="1" x="562"/>
        <item m="1" x="1476"/>
        <item m="1" x="242"/>
        <item m="1" x="181"/>
        <item m="1" x="1465"/>
        <item m="1" x="2678"/>
        <item m="1" x="1482"/>
        <item m="1" x="815"/>
        <item m="1" x="1128"/>
        <item m="1" x="2489"/>
        <item m="1" x="2177"/>
        <item m="1" x="2385"/>
        <item m="1" x="1129"/>
        <item m="1" x="2178"/>
        <item m="1" x="2181"/>
        <item m="1" x="1012"/>
        <item m="1" x="890"/>
        <item m="1" x="2182"/>
        <item m="1" x="1874"/>
        <item m="1" x="2183"/>
        <item m="1" x="1727"/>
        <item m="1" x="2184"/>
        <item m="1" x="1408"/>
        <item m="1" x="238"/>
        <item m="1" x="2185"/>
        <item m="1" x="93"/>
        <item m="1" x="1041"/>
        <item m="1" x="734"/>
        <item m="1" x="1042"/>
        <item m="1" x="1309"/>
        <item m="1" x="1399"/>
        <item m="1" x="1547"/>
        <item m="1" x="2186"/>
        <item m="1" x="344"/>
        <item m="1" x="94"/>
        <item m="1" x="2187"/>
        <item m="1" x="2188"/>
        <item m="1" x="983"/>
        <item m="1" x="2041"/>
        <item m="1" x="547"/>
        <item m="1" x="1359"/>
        <item m="1" x="1303"/>
        <item m="1" x="1552"/>
        <item m="1" x="981"/>
        <item m="1" x="54"/>
        <item m="1" x="255"/>
        <item m="1" x="497"/>
        <item m="1" x="2190"/>
        <item m="1" x="2191"/>
        <item m="1" x="2192"/>
        <item m="1" x="2650"/>
        <item m="1" x="621"/>
        <item m="1" x="1045"/>
        <item m="1" x="880"/>
        <item m="1" x="1046"/>
        <item m="1" x="274"/>
        <item m="1" x="1047"/>
        <item m="1" x="2193"/>
        <item m="1" x="1049"/>
        <item m="1" x="1050"/>
        <item m="1" x="1962"/>
        <item m="1" x="735"/>
        <item m="1" x="2194"/>
        <item m="1" x="2083"/>
        <item m="1" x="2682"/>
        <item m="1" x="287"/>
        <item m="1" x="432"/>
        <item m="1" x="472"/>
        <item m="1" x="1868"/>
        <item m="1" x="419"/>
        <item m="1" x="2389"/>
        <item m="1" x="1052"/>
        <item m="1" x="1053"/>
        <item m="1" x="2618"/>
        <item m="1" x="2637"/>
        <item m="1" x="2641"/>
        <item m="1" x="366"/>
        <item m="1" x="296"/>
        <item m="1" x="1218"/>
        <item m="1" x="1151"/>
        <item m="1" x="620"/>
        <item m="1" x="1344"/>
        <item m="1" x="1203"/>
        <item m="1" x="2195"/>
        <item m="1" x="736"/>
        <item m="1" x="538"/>
        <item m="1" x="2196"/>
        <item m="1" x="1200"/>
        <item m="1" x="1873"/>
        <item m="1" x="1744"/>
        <item m="1" x="2197"/>
        <item m="1" x="1505"/>
        <item m="1" x="622"/>
        <item m="1" x="2261"/>
        <item m="1" x="2000"/>
        <item m="1" x="374"/>
        <item m="1" x="1741"/>
        <item m="1" x="1948"/>
        <item m="1" x="1056"/>
        <item m="1" x="304"/>
        <item m="1" x="498"/>
        <item m="1" x="737"/>
        <item m="1" x="2042"/>
        <item m="1" x="2198"/>
        <item m="1" x="1643"/>
        <item m="1" x="1475"/>
        <item m="1" x="738"/>
        <item m="1" x="1058"/>
        <item m="1" x="1863"/>
        <item m="1" x="2635"/>
        <item m="1" x="97"/>
        <item m="1" x="739"/>
        <item m="1" x="516"/>
        <item m="1" x="807"/>
        <item m="1" x="2651"/>
        <item m="1" x="2115"/>
        <item m="1" x="625"/>
        <item m="1" x="1978"/>
        <item m="1" x="2043"/>
        <item m="1" x="895"/>
        <item m="1" x="626"/>
        <item m="1" x="1063"/>
        <item m="1" x="1253"/>
        <item m="1" x="1393"/>
        <item m="1" x="1020"/>
        <item m="1" x="492"/>
        <item m="1" x="1804"/>
        <item m="1" x="2085"/>
        <item m="1" x="1900"/>
        <item m="1" x="1886"/>
        <item m="1" x="573"/>
        <item m="1" x="2638"/>
        <item m="1" x="628"/>
        <item m="1" x="2508"/>
        <item m="1" x="464"/>
        <item m="1" x="1224"/>
        <item m="1" x="2002"/>
        <item m="1" x="1500"/>
        <item m="1" x="2199"/>
        <item m="1" x="448"/>
        <item m="1" x="412"/>
        <item m="1" x="98"/>
        <item m="1" x="1575"/>
        <item m="1" x="2601"/>
        <item m="1" x="1508"/>
        <item m="1" x="741"/>
        <item m="1" x="2200"/>
        <item m="1" x="175"/>
        <item m="1" x="1349"/>
        <item m="1" x="1622"/>
        <item m="1" x="2080"/>
        <item m="1" x="806"/>
        <item m="1" x="1981"/>
        <item m="1" x="594"/>
        <item m="1" x="2201"/>
        <item m="1" x="1947"/>
        <item m="1" x="1069"/>
        <item sd="0" m="1" x="47"/>
        <item m="1" x="1382"/>
        <item m="1" x="1701"/>
        <item m="1" x="2681"/>
        <item m="1" x="1355"/>
        <item m="1" x="2202"/>
        <item m="1" x="1364"/>
        <item m="1" x="743"/>
        <item m="1" x="1072"/>
        <item m="1" x="1327"/>
        <item m="1" x="1240"/>
        <item m="1" x="250"/>
        <item m="1" x="2704"/>
        <item m="1" x="301"/>
        <item sd="0" m="1" x="2726"/>
        <item m="1" x="2572"/>
        <item m="1" x="744"/>
        <item m="1" x="2018"/>
        <item m="1" x="1073"/>
        <item m="1" x="745"/>
        <item m="1" x="746"/>
        <item m="1" x="2204"/>
        <item m="1" x="1137"/>
        <item m="1" x="2205"/>
        <item m="1" x="529"/>
        <item m="1" x="577"/>
        <item m="1" x="215"/>
        <item m="1" x="499"/>
        <item m="1" x="1418"/>
        <item m="1" x="1940"/>
        <item m="1" x="474"/>
        <item m="1" x="986"/>
        <item m="1" x="72"/>
        <item m="1" x="1388"/>
        <item m="1" x="2206"/>
        <item m="1" x="99"/>
        <item m="1" x="1330"/>
        <item m="1" x="1237"/>
        <item m="1" x="1282"/>
        <item m="1" x="1294"/>
        <item m="1" x="2207"/>
        <item m="1" x="2208"/>
        <item m="1" x="811"/>
        <item m="1" x="747"/>
        <item m="1" x="1310"/>
        <item m="1" x="2081"/>
        <item m="1" x="1771"/>
        <item m="1" x="449"/>
        <item m="1" x="1341"/>
        <item m="1" x="1878"/>
        <item m="1" x="159"/>
        <item m="1" x="576"/>
        <item m="1" x="551"/>
        <item m="1" x="2209"/>
        <item m="1" x="2003"/>
        <item m="1" x="1078"/>
        <item m="1" x="2210"/>
        <item m="1" x="1453"/>
        <item m="1" x="1935"/>
        <item m="1" x="251"/>
        <item m="1" x="1574"/>
        <item m="1" x="1306"/>
        <item m="1" x="1905"/>
        <item m="1" x="1652"/>
        <item m="1" x="313"/>
        <item m="1" x="631"/>
        <item m="1" x="1079"/>
        <item m="1" x="526"/>
        <item m="1" x="1757"/>
        <item m="1" x="2211"/>
        <item m="1" x="1037"/>
        <item m="1" x="561"/>
        <item m="1" x="926"/>
        <item m="1" x="2577"/>
        <item m="1" x="2212"/>
        <item m="1" x="1360"/>
        <item m="1" x="2086"/>
        <item m="1" x="1377"/>
        <item m="1" x="2213"/>
        <item m="1" x="100"/>
        <item m="1" x="476"/>
        <item m="1" x="1336"/>
        <item m="1" x="1907"/>
        <item m="1" x="1956"/>
        <item m="1" x="1909"/>
        <item m="1" x="452"/>
        <item m="1" x="109"/>
        <item m="1" x="399"/>
        <item m="1" x="1083"/>
        <item m="1" x="2214"/>
        <item m="1" x="1085"/>
        <item m="1" x="748"/>
        <item m="1" x="2215"/>
        <item m="1" x="2589"/>
        <item m="1" x="1087"/>
        <item m="1" x="254"/>
        <item m="1" x="2563"/>
        <item m="1" x="749"/>
        <item m="1" x="1088"/>
        <item m="1" x="2581"/>
        <item m="1" x="81"/>
        <item m="1" x="1095"/>
        <item m="1" x="158"/>
        <item m="1" x="950"/>
        <item m="1" x="979"/>
        <item m="1" x="1098"/>
        <item sd="0" m="1" x="2571"/>
        <item m="1" x="1084"/>
        <item x="38"/>
        <item m="1" x="2630"/>
        <item m="1" x="103"/>
        <item m="1" x="2716"/>
        <item m="1" x="633"/>
        <item m="1" x="1438"/>
        <item m="1" x="1147"/>
        <item m="1" x="1520"/>
        <item m="1" x="1149"/>
        <item m="1" x="102"/>
        <item m="1" x="1091"/>
        <item m="1" x="115"/>
        <item sd="0" m="1" x="116"/>
        <item m="1" x="1152"/>
        <item m="1" x="618"/>
        <item m="1" x="1380"/>
        <item m="1" x="117"/>
        <item m="1" x="649"/>
        <item m="1" x="648"/>
        <item m="1" x="1089"/>
        <item m="1" x="2670"/>
        <item m="1" x="2216"/>
        <item m="1" x="1090"/>
        <item m="1" x="2004"/>
        <item m="1" x="1021"/>
        <item m="1" x="523"/>
        <item m="1" x="578"/>
        <item m="1" x="1764"/>
        <item m="1" x="908"/>
        <item m="1" x="2560"/>
        <item m="1" x="1803"/>
        <item m="1" x="2242"/>
        <item m="1" x="49"/>
        <item m="1" x="2044"/>
        <item m="1" x="1397"/>
        <item m="1" x="2649"/>
        <item m="1" x="2217"/>
        <item m="1" x="1163"/>
        <item m="1" x="148"/>
        <item m="1" x="2596"/>
        <item m="1" x="167"/>
        <item m="1" x="970"/>
        <item m="1" x="1094"/>
        <item m="1" x="2218"/>
        <item m="1" x="1898"/>
        <item m="1" x="2219"/>
        <item m="1" x="883"/>
        <item m="1" x="873"/>
        <item m="1" x="2600"/>
        <item m="1" x="2380"/>
        <item m="1" x="1932"/>
        <item m="1" x="1062"/>
        <item m="1" x="2220"/>
        <item m="1" x="1952"/>
        <item m="1" x="1082"/>
        <item m="1" x="1289"/>
        <item sd="0" m="1" x="2721"/>
        <item m="1" x="106"/>
        <item m="1" x="360"/>
        <item m="1" x="1998"/>
        <item m="1" x="2339"/>
        <item m="1" x="2667"/>
        <item m="1" x="545"/>
        <item m="1" x="2087"/>
        <item m="1" x="751"/>
        <item m="1" x="107"/>
        <item m="1" x="509"/>
        <item m="1" x="259"/>
        <item m="1" x="1097"/>
        <item m="1" x="1080"/>
        <item x="10"/>
        <item m="1" x="2559"/>
        <item m="1" x="1621"/>
        <item m="1" x="753"/>
        <item m="1" x="331"/>
        <item m="1" x="932"/>
        <item x="22"/>
        <item x="1"/>
        <item m="1" x="2221"/>
        <item m="1" x="2222"/>
        <item m="1" x="369"/>
        <item m="1" x="453"/>
        <item m="1" x="58"/>
        <item m="1" x="437"/>
        <item m="1" x="1687"/>
        <item m="1" x="1099"/>
        <item m="1" x="2224"/>
        <item m="1" x="2045"/>
        <item m="1" x="2608"/>
        <item m="1" x="1783"/>
        <item m="1" x="1885"/>
        <item m="1" x="636"/>
        <item m="1" x="108"/>
        <item m="1" x="52"/>
        <item m="1" x="1103"/>
        <item x="18"/>
        <item m="1" x="1993"/>
        <item m="1" x="2016"/>
        <item m="1" x="1911"/>
        <item m="1" x="593"/>
        <item m="1" x="754"/>
        <item m="1" x="755"/>
        <item m="1" x="407"/>
        <item m="1" x="356"/>
        <item m="1" x="1104"/>
        <item m="1" x="2225"/>
        <item m="1" x="1105"/>
        <item m="1" x="756"/>
        <item m="1" x="2158"/>
        <item m="1" x="752"/>
        <item m="1" x="2046"/>
        <item m="1" x="2226"/>
        <item m="1" x="1913"/>
        <item m="1" x="2150"/>
        <item m="1" x="919"/>
        <item m="1" x="2020"/>
        <item m="1" x="208"/>
        <item m="1" x="1708"/>
        <item m="1" x="1111"/>
        <item m="1" x="454"/>
        <item m="1" x="1112"/>
        <item m="1" x="309"/>
        <item m="1" x="1869"/>
        <item m="1" x="302"/>
        <item m="1" x="852"/>
        <item m="1" x="1205"/>
        <item m="1" x="1113"/>
        <item m="1" x="713"/>
        <item m="1" x="638"/>
        <item m="1" x="1210"/>
        <item m="1" x="1070"/>
        <item m="1" x="1805"/>
        <item m="1" x="1806"/>
        <item m="1" x="216"/>
        <item m="1" x="1809"/>
        <item m="1" x="875"/>
        <item m="1" x="2669"/>
        <item m="1" x="1126"/>
        <item m="1" x="110"/>
        <item m="1" x="1054"/>
        <item m="1" x="1830"/>
        <item m="1" x="1832"/>
        <item m="1" x="1818"/>
        <item m="1" x="1106"/>
        <item x="19"/>
        <item m="1" x="1043"/>
        <item m="1" x="1712"/>
        <item x="33"/>
        <item m="1" x="1615"/>
        <item m="1" x="1810"/>
        <item m="1" x="1114"/>
        <item m="1" x="1143"/>
        <item m="1" x="1535"/>
        <item m="1" x="1812"/>
        <item m="1" x="2088"/>
        <item m="1" x="1813"/>
        <item m="1" x="111"/>
        <item m="1" x="2228"/>
        <item m="1" x="1000"/>
        <item m="1" x="2229"/>
        <item m="1" x="2578"/>
        <item m="1" x="2230"/>
        <item m="1" x="1030"/>
        <item m="1" x="2564"/>
        <item m="1" x="946"/>
        <item m="1" x="2231"/>
        <item m="1" x="50"/>
        <item m="1" x="378"/>
        <item m="1" x="2232"/>
        <item m="1" x="2456"/>
        <item m="1" x="276"/>
        <item m="1" x="758"/>
        <item m="1" x="1010"/>
        <item m="1" x="1120"/>
        <item m="1" x="900"/>
        <item m="1" x="2663"/>
        <item m="1" x="2233"/>
        <item m="1" x="1015"/>
        <item m="1" x="1026"/>
        <item m="1" x="641"/>
        <item m="1" x="642"/>
        <item m="1" x="597"/>
        <item m="1" x="2606"/>
        <item m="1" x="643"/>
        <item m="1" x="1918"/>
        <item m="1" x="635"/>
        <item m="1" x="1123"/>
        <item m="1" x="2234"/>
        <item m="1" x="112"/>
        <item m="1" x="1742"/>
        <item m="1" x="878"/>
        <item m="1" x="2235"/>
        <item m="1" x="1984"/>
        <item m="1" x="2007"/>
        <item m="1" x="2236"/>
        <item m="1" x="759"/>
        <item m="1" x="933"/>
        <item m="1" x="436"/>
        <item m="1" x="2664"/>
        <item m="1" x="2078"/>
        <item m="1" x="1775"/>
        <item m="1" x="2586"/>
        <item m="1" x="475"/>
        <item m="1" x="1109"/>
        <item m="1" x="2674"/>
        <item m="1" x="2657"/>
        <item m="1" x="1700"/>
        <item m="1" x="539"/>
        <item m="1" x="455"/>
        <item m="1" x="952"/>
        <item m="1" x="315"/>
        <item m="1" x="408"/>
        <item m="1" x="867"/>
        <item m="1" x="2506"/>
        <item m="1" x="114"/>
        <item m="1" x="2237"/>
        <item m="1" x="1402"/>
        <item m="1" x="164"/>
        <item m="1" x="645"/>
        <item m="1" x="1638"/>
        <item m="1" x="1139"/>
        <item m="1" x="1146"/>
        <item m="1" x="554"/>
        <item m="1" x="2634"/>
        <item m="1" x="994"/>
        <item m="1" x="2465"/>
        <item m="1" x="1406"/>
        <item m="1" x="1236"/>
        <item m="1" x="1959"/>
        <item m="1" x="1247"/>
        <item m="1" x="1481"/>
        <item m="1" x="1876"/>
        <item m="1" x="1141"/>
        <item m="1" x="1065"/>
        <item m="1" x="646"/>
        <item sd="0" m="1" x="2731"/>
        <item m="1" x="1573"/>
        <item m="1" x="647"/>
        <item m="1" x="2239"/>
        <item m="1" x="126"/>
        <item m="1" x="96"/>
        <item m="1" x="1329"/>
        <item m="1" x="760"/>
        <item m="1" x="1270"/>
        <item m="1" x="2558"/>
        <item m="1" x="869"/>
        <item m="1" x="1145"/>
        <item m="1" x="1510"/>
        <item x="20"/>
        <item m="1" x="1175"/>
        <item m="1" x="1795"/>
        <item m="1" x="1124"/>
        <item m="1" x="1802"/>
        <item sd="0" x="7"/>
        <item x="37"/>
        <item m="1" x="1298"/>
        <item m="1" x="1339"/>
        <item m="1" x="1816"/>
        <item m="1" x="1762"/>
        <item m="1" x="1532"/>
        <item m="1" x="2240"/>
        <item m="1" x="871"/>
        <item m="1" x="2718"/>
        <item m="1" x="91"/>
        <item m="1" x="2241"/>
        <item m="1" x="2030"/>
        <item m="1" x="1672"/>
        <item m="1" x="761"/>
        <item m="1" x="2089"/>
        <item m="1" x="2227"/>
        <item m="1" x="762"/>
        <item m="1" x="1148"/>
        <item m="1" x="316"/>
        <item m="1" x="2633"/>
        <item m="1" x="1242"/>
        <item m="1" x="260"/>
        <item m="1" x="1412"/>
        <item m="1" x="1384"/>
        <item m="1" x="763"/>
        <item m="1" x="1682"/>
        <item m="1" x="385"/>
        <item m="1" x="591"/>
        <item m="1" x="1565"/>
        <item m="1" x="2243"/>
        <item m="1" x="1153"/>
        <item m="1" x="500"/>
        <item m="1" x="2552"/>
        <item m="1" x="217"/>
        <item m="1" x="1229"/>
        <item m="1" x="373"/>
        <item m="1" x="433"/>
        <item m="1" x="2632"/>
        <item m="1" x="1092"/>
        <item m="1" x="1241"/>
        <item m="1" x="1743"/>
        <item sd="0" m="1" x="244"/>
        <item m="1" x="444"/>
        <item m="1" x="2047"/>
        <item m="1" x="1403"/>
        <item m="1" x="1644"/>
        <item m="1" x="1158"/>
        <item m="1" x="1612"/>
        <item m="1" x="372"/>
        <item m="1" x="2588"/>
        <item m="1" x="1872"/>
        <item m="1" x="1478"/>
        <item m="1" x="2244"/>
        <item m="1" x="1865"/>
        <item m="1" x="319"/>
        <item m="1" x="303"/>
        <item m="1" x="1879"/>
        <item m="1" x="2351"/>
        <item m="1" x="1875"/>
        <item sd="0" m="1" x="2090"/>
        <item m="1" x="2245"/>
        <item m="1" x="2072"/>
        <item m="1" x="2374"/>
        <item m="1" x="2091"/>
        <item m="1" x="311"/>
        <item m="1" x="2246"/>
        <item m="1" x="2247"/>
        <item m="1" x="333"/>
        <item m="1" x="765"/>
        <item m="1" x="1318"/>
        <item m="1" x="2248"/>
        <item m="1" x="1276"/>
        <item m="1" x="650"/>
        <item m="1" x="2557"/>
        <item m="1" x="997"/>
        <item m="1" x="1130"/>
        <item m="1" x="2249"/>
        <item m="1" x="1362"/>
        <item m="1" x="1836"/>
        <item m="1" x="131"/>
        <item m="1" x="202"/>
        <item m="1" x="2250"/>
        <item m="1" x="321"/>
        <item m="1" x="146"/>
        <item m="1" x="2697"/>
        <item m="1" x="652"/>
        <item m="1" x="740"/>
        <item m="1" x="920"/>
        <item m="1" x="291"/>
        <item m="1" x="1170"/>
        <item m="1" x="513"/>
        <item m="1" x="2251"/>
        <item m="1" x="1899"/>
        <item m="1" x="766"/>
        <item sd="0" m="1" x="456"/>
        <item m="1" x="1171"/>
        <item m="1" x="2687"/>
        <item m="1" x="1172"/>
        <item m="1" x="1439"/>
        <item m="1" x="2252"/>
        <item m="1" x="1544"/>
        <item m="1" x="2143"/>
        <item m="1" x="653"/>
        <item m="1" x="615"/>
        <item m="1" x="2615"/>
        <item m="1" x="550"/>
        <item m="1" x="1174"/>
        <item m="1" x="2253"/>
        <item m="1" x="2254"/>
        <item sd="0" m="1" x="445"/>
        <item m="1" x="290"/>
        <item m="1" x="1305"/>
        <item m="1" x="1930"/>
        <item m="1" x="767"/>
        <item m="1" x="992"/>
        <item sd="0" m="1" x="2565"/>
        <item m="1" x="2658"/>
        <item m="1" x="1915"/>
        <item m="1" x="1221"/>
        <item m="1" x="411"/>
        <item m="1" x="2257"/>
        <item m="1" x="1211"/>
        <item m="1" x="2258"/>
        <item m="1" x="1931"/>
        <item m="1" x="84"/>
        <item m="1" x="1745"/>
        <item m="1" x="1135"/>
        <item m="1" x="2092"/>
        <item m="1" x="654"/>
        <item m="1" x="1413"/>
        <item m="1" x="1131"/>
        <item m="1" x="1215"/>
        <item m="1" x="947"/>
        <item m="1" x="1668"/>
        <item m="1" x="1179"/>
        <item m="1" x="85"/>
        <item m="1" x="553"/>
        <item m="1" x="768"/>
        <item m="1" x="1194"/>
        <item sd="0" x="31"/>
        <item m="1" x="1140"/>
        <item m="1" x="655"/>
        <item m="1" x="233"/>
        <item m="1" x="769"/>
        <item x="27"/>
        <item m="1" x="1627"/>
        <item m="1" x="945"/>
        <item m="1" x="1746"/>
        <item m="1" x="322"/>
        <item m="1" x="1747"/>
        <item m="1" x="1664"/>
        <item m="1" x="1515"/>
        <item m="1" x="1600"/>
        <item m="1" x="1181"/>
        <item m="1" x="1877"/>
        <item m="1" x="2073"/>
        <item m="1" x="891"/>
        <item m="1" x="574"/>
        <item m="1" x="2262"/>
        <item m="1" x="1748"/>
        <item m="1" x="570"/>
        <item m="1" x="2093"/>
        <item m="1" x="2263"/>
        <item m="1" x="1183"/>
        <item m="1" x="2642"/>
        <item m="1" x="171"/>
        <item sd="0" m="1" x="256"/>
        <item m="1" x="1405"/>
        <item m="1" x="1531"/>
        <item m="1" x="488"/>
        <item m="1" x="443"/>
        <item m="1" x="122"/>
        <item m="1" x="1186"/>
        <item m="1" x="2264"/>
        <item m="1" x="326"/>
        <item m="1" x="2265"/>
        <item m="1" x="327"/>
        <item m="1" x="978"/>
        <item m="1" x="2266"/>
        <item m="1" x="248"/>
        <item m="1" x="534"/>
        <item m="1" x="1506"/>
        <item m="1" x="2077"/>
        <item m="1" x="1498"/>
        <item m="1" x="1287"/>
        <item m="1" x="156"/>
        <item m="1" x="394"/>
        <item m="1" x="1361"/>
        <item m="1" x="1592"/>
        <item m="1" x="1492"/>
        <item m="1" x="1468"/>
        <item m="1" x="2580"/>
        <item m="1" x="1568"/>
        <item m="1" x="2026"/>
        <item m="1" x="664"/>
        <item m="1" x="1955"/>
        <item m="1" x="2267"/>
        <item m="1" x="295"/>
        <item m="1" x="1191"/>
        <item m="1" x="1729"/>
        <item m="1" x="771"/>
        <item m="1" x="1195"/>
        <item m="1" x="1571"/>
        <item m="1" x="2094"/>
        <item m="1" x="2015"/>
        <item m="1" x="2524"/>
        <item m="1" x="2271"/>
        <item m="1" x="1789"/>
        <item m="1" x="306"/>
        <item m="1" x="1954"/>
        <item m="1" x="865"/>
        <item m="1" x="1835"/>
        <item m="1" x="801"/>
        <item m="1" x="1790"/>
        <item m="1" x="2272"/>
        <item m="1" x="1774"/>
        <item m="1" x="1653"/>
        <item m="1" x="1441"/>
        <item m="1" x="2095"/>
        <item m="1" x="2274"/>
        <item m="1" x="1793"/>
        <item m="1" x="990"/>
        <item m="1" x="2273"/>
        <item m="1" x="1819"/>
        <item m="1" x="2275"/>
        <item m="1" x="2076"/>
        <item m="1" x="2276"/>
        <item m="1" x="1204"/>
        <item m="1" x="1526"/>
        <item m="1" x="2145"/>
        <item m="1" x="1503"/>
        <item m="1" x="560"/>
        <item m="1" x="1550"/>
        <item m="1" x="872"/>
        <item m="1" x="2277"/>
        <item m="1" x="1425"/>
        <item m="1" x="1340"/>
        <item m="1" x="1167"/>
        <item m="1" x="2278"/>
        <item m="1" x="2279"/>
        <item m="1" x="772"/>
        <item m="1" x="728"/>
        <item m="1" x="658"/>
        <item m="1" x="1176"/>
        <item m="1" x="1315"/>
        <item m="1" x="2096"/>
        <item m="1" x="123"/>
        <item m="1" x="1337"/>
        <item m="1" x="270"/>
        <item m="1" x="2280"/>
        <item m="1" x="125"/>
        <item m="1" x="2074"/>
        <item m="1" x="2281"/>
        <item m="1" x="2282"/>
        <item m="1" x="659"/>
        <item m="1" x="1450"/>
        <item m="1" x="2283"/>
        <item m="1" x="925"/>
        <item m="1" x="1470"/>
        <item m="1" x="1209"/>
        <item m="1" x="660"/>
        <item m="1" x="2550"/>
        <item m="1" x="2648"/>
        <item m="1" x="2345"/>
        <item m="1" x="2097"/>
        <item m="1" x="2048"/>
        <item x="0"/>
        <item m="1" x="1497"/>
        <item m="1" x="2627"/>
        <item m="1" x="1763"/>
        <item m="1" x="1212"/>
        <item m="1" x="410"/>
        <item m="1" x="1961"/>
        <item m="1" x="917"/>
        <item m="1" x="988"/>
        <item m="1" x="1197"/>
        <item m="1" x="2284"/>
        <item m="1" x="1213"/>
        <item m="1" x="773"/>
        <item m="1" x="1214"/>
        <item m="1" x="1686"/>
        <item m="1" x="218"/>
        <item m="1" x="1509"/>
        <item m="1" x="724"/>
        <item m="1" x="1557"/>
        <item m="1" x="330"/>
        <item m="1" x="1216"/>
        <item m="1" x="457"/>
        <item m="1" x="1162"/>
        <item m="1" x="2285"/>
        <item m="1" x="2155"/>
        <item m="1" x="2286"/>
        <item m="1" x="2579"/>
        <item m="1" x="1219"/>
        <item m="1" x="2287"/>
        <item m="1" x="2098"/>
        <item m="1" x="2288"/>
        <item m="1" x="1466"/>
        <item m="1" x="2612"/>
        <item m="1" x="2049"/>
        <item m="1" x="176"/>
        <item m="1" x="1749"/>
        <item m="1" x="1455"/>
        <item m="1" x="458"/>
        <item m="1" x="1933"/>
        <item m="1" x="1658"/>
        <item m="1" x="775"/>
        <item m="1" x="459"/>
        <item m="1" x="129"/>
        <item m="1" x="219"/>
        <item m="1" x="2180"/>
        <item m="1" x="750"/>
        <item m="1" x="1044"/>
        <item m="1" x="661"/>
        <item m="1" x="663"/>
        <item m="1" x="809"/>
        <item m="1" x="130"/>
        <item m="1" x="585"/>
        <item m="1" x="1624"/>
        <item m="1" x="943"/>
        <item m="1" x="80"/>
        <item m="1" x="1817"/>
        <item m="1" x="2289"/>
        <item m="1" x="1997"/>
        <item m="1" x="960"/>
        <item m="1" x="665"/>
        <item m="1" x="505"/>
        <item m="1" x="2100"/>
        <item m="1" x="332"/>
        <item m="1" x="776"/>
        <item m="1" x="2290"/>
        <item m="1" x="2291"/>
        <item m="1" x="1169"/>
        <item m="1" x="1022"/>
        <item m="1" x="2101"/>
        <item m="1" x="2710"/>
        <item m="1" x="2292"/>
        <item m="1" x="182"/>
        <item m="1" x="48"/>
        <item m="1" x="2269"/>
        <item m="1" x="607"/>
        <item m="1" x="2388"/>
        <item m="1" x="252"/>
        <item m="1" x="2692"/>
        <item m="1" x="320"/>
        <item m="1" x="863"/>
        <item m="1" x="2293"/>
        <item m="1" x="1436"/>
        <item m="1" x="2102"/>
        <item m="1" x="376"/>
        <item m="1" x="2513"/>
        <item m="1" x="359"/>
        <item m="1" x="2147"/>
        <item m="1" x="2154"/>
        <item m="1" x="662"/>
        <item m="1" x="334"/>
        <item m="1" x="235"/>
        <item m="1" x="2103"/>
        <item m="1" x="76"/>
        <item m="1" x="1919"/>
        <item m="1" x="405"/>
        <item m="1" x="2534"/>
        <item m="1" x="2104"/>
        <item m="1" x="2294"/>
        <item m="1" x="1972"/>
        <item m="1" x="1228"/>
        <item m="1" x="1788"/>
        <item x="46"/>
        <item m="1" x="1189"/>
        <item m="1" x="462"/>
        <item m="1" x="1901"/>
        <item m="1" x="777"/>
        <item m="1" x="2592"/>
        <item m="1" x="335"/>
        <item m="1" x="2295"/>
        <item m="1" x="2296"/>
        <item m="1" x="612"/>
        <item m="1" x="1027"/>
        <item m="1" x="363"/>
        <item m="1" x="1750"/>
        <item m="1" x="1230"/>
        <item m="1" x="1799"/>
        <item m="1" x="1231"/>
        <item m="1" x="2297"/>
        <item m="1" x="1936"/>
        <item m="1" x="579"/>
        <item m="1" x="220"/>
        <item m="1" x="666"/>
        <item m="1" x="391"/>
        <item m="1" x="2724"/>
        <item m="1" x="2701"/>
        <item m="1" x="2656"/>
        <item m="1" x="778"/>
        <item m="1" x="1675"/>
        <item m="1" x="2298"/>
        <item m="1" x="53"/>
        <item m="1" x="1820"/>
        <item m="1" x="1232"/>
        <item m="1" x="1853"/>
        <item m="1" x="1469"/>
        <item m="1" x="61"/>
        <item m="1" x="1884"/>
        <item m="1" x="1941"/>
        <item m="1" x="623"/>
        <item m="1" x="2386"/>
        <item m="1" x="1263"/>
        <item m="1" x="1971"/>
        <item m="1" x="1039"/>
        <item m="1" x="1233"/>
        <item m="1" x="530"/>
        <item m="1" x="1892"/>
        <item m="1" x="2300"/>
        <item m="1" x="1165"/>
        <item m="1" x="1507"/>
        <item m="1" x="779"/>
        <item m="1" x="2645"/>
        <item m="1" x="2106"/>
        <item m="1" x="358"/>
        <item m="1" x="2301"/>
        <item m="1" x="1386"/>
        <item m="1" x="1822"/>
        <item m="1" x="1235"/>
        <item m="1" x="318"/>
        <item m="1" x="2302"/>
        <item m="1" x="1009"/>
        <item m="1" x="1108"/>
        <item m="1" x="2303"/>
        <item m="1" x="2304"/>
        <item m="1" x="1437"/>
        <item m="1" x="581"/>
        <item m="1" x="1100"/>
        <item m="1" x="1071"/>
        <item m="1" x="2305"/>
        <item m="1" x="370"/>
        <item m="1" x="1259"/>
        <item m="1" x="59"/>
        <item m="1" x="1683"/>
        <item m="1" x="336"/>
        <item m="1" x="60"/>
        <item m="1" x="337"/>
        <item m="1" x="2306"/>
        <item m="1" x="1245"/>
        <item m="1" x="2307"/>
        <item m="1" x="268"/>
        <item m="1" x="512"/>
        <item m="1" x="1177"/>
        <item m="1" x="868"/>
        <item m="1" x="667"/>
        <item m="1" x="1516"/>
        <item m="1" x="494"/>
        <item m="1" x="1238"/>
        <item m="1" x="388"/>
        <item m="1" x="283"/>
        <item m="1" x="104"/>
        <item m="1" x="1513"/>
        <item m="1" x="2107"/>
        <item m="1" x="1539"/>
        <item m="1" x="537"/>
        <item m="1" x="1752"/>
        <item m="1" x="101"/>
        <item m="1" x="195"/>
        <item m="1" x="338"/>
        <item m="1" x="668"/>
        <item m="1" x="1193"/>
        <item m="1" x="438"/>
        <item m="1" x="221"/>
        <item x="32"/>
        <item m="1" x="2309"/>
        <item m="1" x="2310"/>
        <item m="1" x="1679"/>
        <item m="1" x="2311"/>
        <item m="1" x="948"/>
        <item m="1" x="1928"/>
        <item m="1" x="1551"/>
        <item m="1" x="288"/>
        <item m="1" x="273"/>
        <item m="1" x="1711"/>
        <item m="1" x="185"/>
        <item m="1" x="1461"/>
        <item m="1" x="1239"/>
        <item m="1" x="1937"/>
        <item m="1" x="903"/>
        <item m="1" x="692"/>
        <item m="1" x="506"/>
        <item m="1" x="2312"/>
        <item m="1" x="2313"/>
        <item m="1" x="669"/>
        <item m="1" x="876"/>
        <item m="1" x="2314"/>
        <item m="1" x="1244"/>
        <item m="1" x="2108"/>
        <item m="1" x="1420"/>
        <item m="1" x="2315"/>
        <item m="1" x="1992"/>
        <item m="1" x="826"/>
        <item m="1" x="2567"/>
        <item m="1" x="774"/>
        <item m="1" x="75"/>
        <item m="1" x="1246"/>
        <item m="1" x="2317"/>
        <item m="1" x="2318"/>
        <item m="1" x="672"/>
        <item m="1" x="2319"/>
        <item m="1" x="1645"/>
        <item m="1" x="2017"/>
        <item m="1" x="1248"/>
        <item m="1" x="1249"/>
        <item m="1" x="781"/>
        <item m="1" x="1250"/>
        <item m="1" x="1060"/>
        <item m="1" x="671"/>
        <item m="1" x="1252"/>
        <item m="1" x="1880"/>
        <item m="1" x="1286"/>
        <item x="6"/>
        <item m="1" x="348"/>
        <item m="1" x="2320"/>
        <item m="1" x="1243"/>
        <item m="1" x="354"/>
        <item m="1" x="2179"/>
        <item m="1" x="2321"/>
        <item m="1" x="1440"/>
        <item m="1" x="884"/>
        <item m="1" x="629"/>
        <item m="1" x="2152"/>
        <item m="1" x="764"/>
        <item m="1" x="782"/>
        <item m="1" x="2322"/>
        <item m="1" x="783"/>
        <item m="1" x="1371"/>
        <item m="1" x="2323"/>
        <item m="1" x="971"/>
        <item m="1" x="1304"/>
        <item m="1" x="2324"/>
        <item m="1" x="1921"/>
        <item m="1" x="368"/>
        <item m="1" x="279"/>
        <item m="1" x="57"/>
        <item m="1" x="2325"/>
        <item m="1" x="240"/>
        <item m="1" x="286"/>
        <item m="1" x="1589"/>
        <item m="1" x="1271"/>
        <item m="1" x="294"/>
        <item m="1" x="549"/>
        <item m="1" x="784"/>
        <item m="1" x="1602"/>
        <item m="1" x="2326"/>
        <item m="1" x="1546"/>
        <item m="1" x="1487"/>
        <item m="1" x="1419"/>
        <item m="1" x="281"/>
        <item m="1" x="566"/>
        <item m="1" x="341"/>
        <item m="1" x="2554"/>
        <item m="1" x="1740"/>
        <item m="1" x="460"/>
        <item m="1" x="1897"/>
        <item m="1" x="1255"/>
        <item m="1" x="785"/>
        <item m="1" x="786"/>
        <item m="1" x="2598"/>
        <item m="1" x="477"/>
        <item m="1" x="1753"/>
        <item m="1" x="2056"/>
        <item m="1" x="417"/>
        <item x="4"/>
        <item m="1" x="2075"/>
        <item m="1" x="1093"/>
        <item sd="0" m="1" x="2737"/>
        <item m="1" x="590"/>
        <item m="1" x="2707"/>
        <item m="1" x="1057"/>
        <item m="1" x="599"/>
        <item m="1" x="1654"/>
        <item m="1" x="1257"/>
        <item m="1" x="788"/>
        <item m="1" x="1754"/>
        <item m="1" x="536"/>
        <item m="1" x="1258"/>
        <item m="1" x="2327"/>
        <item m="1" x="789"/>
        <item m="1" x="567"/>
        <item m="1" x="2328"/>
        <item m="1" x="2329"/>
        <item m="1" x="439"/>
        <item m="1" x="406"/>
        <item m="1" x="269"/>
        <item m="1" x="1208"/>
        <item m="1" x="1261"/>
        <item m="1" x="1262"/>
        <item m="1" x="592"/>
        <item m="1" x="1522"/>
        <item m="1" x="791"/>
        <item m="1" x="1614"/>
        <item m="1" x="1871"/>
        <item m="1" x="2109"/>
        <item m="1" x="1825"/>
        <item m="1" x="559"/>
        <item m="1" x="1591"/>
        <item m="1" x="580"/>
        <item m="1" x="1369"/>
        <item m="1" x="548"/>
        <item m="1" x="1192"/>
        <item sd="0" m="1" x="2105"/>
        <item m="1" x="1256"/>
        <item m="1" x="673"/>
        <item m="1" x="899"/>
        <item m="1" x="1264"/>
        <item m="1" x="1265"/>
        <item m="1" x="1824"/>
        <item m="1" x="2110"/>
        <item x="8"/>
        <item m="1" x="511"/>
        <item m="1" x="546"/>
        <item m="1" x="64"/>
        <item m="1" x="1201"/>
        <item m="1" x="1266"/>
        <item m="1" x="792"/>
        <item m="1" x="1982"/>
        <item x="44"/>
        <item m="1" x="1577"/>
        <item m="1" x="1613"/>
        <item m="1" x="2330"/>
        <item m="1" x="793"/>
        <item m="1" x="2464"/>
        <item m="1" x="2084"/>
        <item m="1" x="794"/>
        <item m="1" x="583"/>
        <item m="1" x="1433"/>
        <item m="1" x="1640"/>
        <item m="1" x="2614"/>
        <item m="1" x="503"/>
        <item m="1" x="1267"/>
        <item m="1" x="1036"/>
        <item m="1" x="1302"/>
        <item m="1" x="1225"/>
        <item m="1" x="404"/>
        <item m="1" x="1251"/>
        <item m="1" x="2013"/>
        <item m="1" x="510"/>
        <item m="1" x="555"/>
        <item m="1" x="1671"/>
        <item m="1" x="1906"/>
        <item m="1" x="2111"/>
        <item m="1" x="1125"/>
        <item m="1" x="461"/>
        <item m="1" x="1351"/>
        <item m="1" x="518"/>
        <item m="1" x="2331"/>
        <item m="1" x="1368"/>
        <item m="1" x="222"/>
        <item m="1" x="2332"/>
        <item m="1" x="795"/>
        <item m="1" x="674"/>
        <item m="1" x="1132"/>
        <item m="1" x="584"/>
        <item m="1" x="1826"/>
        <item m="1" x="2605"/>
        <item m="1" x="1317"/>
        <item m="1" x="1980"/>
        <item m="1" x="1939"/>
        <item m="1" x="1272"/>
        <item m="1" x="675"/>
        <item m="1" x="676"/>
        <item m="1" x="1951"/>
        <item m="1" x="2625"/>
        <item x="13"/>
        <item m="1" x="1474"/>
        <item m="1" x="2333"/>
        <item m="1" x="1277"/>
        <item m="1" x="1572"/>
        <item m="1" x="1278"/>
        <item m="1" x="2334"/>
        <item m="1" x="2335"/>
        <item m="1" x="1784"/>
        <item m="1" x="300"/>
        <item m="1" x="1723"/>
        <item m="1" x="1279"/>
        <item m="1" x="1410"/>
        <item m="1" x="152"/>
        <item m="1" x="1594"/>
        <item m="1" x="277"/>
        <item m="1" x="1074"/>
        <item m="1" x="132"/>
        <item m="1" x="1934"/>
        <item m="1" x="236"/>
        <item m="1" x="1283"/>
        <item m="1" x="2337"/>
        <item m="1" x="426"/>
        <item m="1" x="1606"/>
        <item m="1" x="1966"/>
        <item m="1" x="2391"/>
        <item m="1" x="2338"/>
        <item m="1" x="1354"/>
        <item m="1" x="1463"/>
        <item m="1" x="2340"/>
        <item m="1" x="657"/>
        <item m="1" x="2668"/>
        <item m="1" x="906"/>
        <item m="1" x="2341"/>
        <item sd="0" m="1" x="2739"/>
        <item sd="0" x="45"/>
        <item m="1" x="463"/>
        <item m="1" x="924"/>
        <item m="1" x="1925"/>
        <item m="1" x="2342"/>
        <item m="1" x="2343"/>
        <item m="1" x="2344"/>
        <item m="1" x="963"/>
        <item m="1" x="2033"/>
        <item m="1" x="2346"/>
        <item sd="0" m="1" x="2223"/>
        <item m="1" x="2715"/>
        <item m="1" x="2613"/>
        <item m="1" x="677"/>
        <item m="1" x="1598"/>
        <item m="1" x="2021"/>
        <item m="1" x="2347"/>
        <item m="1" x="2348"/>
        <item m="1" x="1297"/>
        <item m="1" x="343"/>
        <item m="1" x="2551"/>
        <item m="1" x="353"/>
        <item m="1" x="1964"/>
        <item m="1" x="441"/>
        <item m="1" x="2050"/>
        <item m="1" x="901"/>
        <item m="1" x="1499"/>
        <item m="1" x="450"/>
        <item m="1" x="2654"/>
        <item m="1" x="1646"/>
        <item m="1" x="2466"/>
        <item m="1" x="1860"/>
        <item m="1" x="1299"/>
        <item m="1" x="2028"/>
        <item m="1" x="904"/>
        <item m="1" x="2350"/>
        <item m="1" x="135"/>
        <item m="1" x="2336"/>
        <item m="1" x="2349"/>
        <item m="1" x="2582"/>
        <item m="1" x="234"/>
        <item m="1" x="1524"/>
        <item m="1" x="1414"/>
        <item m="1" x="1301"/>
        <item m="1" x="133"/>
        <item m="1" x="507"/>
        <item m="1" x="527"/>
        <item m="1" x="2112"/>
        <item m="1" x="214"/>
        <item m="1" x="213"/>
        <item m="1" x="1999"/>
        <item m="1" x="2352"/>
        <item m="1" x="1185"/>
        <item m="1" x="74"/>
        <item m="1" x="1311"/>
        <item m="1" x="2607"/>
        <item m="1" x="2151"/>
        <item m="1" x="1755"/>
        <item m="1" x="184"/>
        <item m="1" x="525"/>
        <item m="1" x="1312"/>
        <item m="1" x="1313"/>
        <item m="1" x="543"/>
        <item m="1" x="495"/>
        <item m="1" x="2008"/>
        <item m="1" x="1855"/>
        <item m="1" x="944"/>
        <item m="1" x="1081"/>
        <item m="1" x="223"/>
        <item m="1" x="2353"/>
        <item m="1" x="138"/>
        <item m="1" x="139"/>
        <item m="1" x="73"/>
        <item m="1" x="1007"/>
        <item m="1" x="2354"/>
        <item m="1" x="898"/>
        <item m="1" x="1756"/>
        <item m="1" x="2355"/>
        <item m="1" x="2356"/>
        <item m="1" x="1970"/>
        <item m="1" x="1985"/>
        <item m="1" x="1381"/>
        <item m="1" x="345"/>
        <item m="1" x="797"/>
        <item m="1" x="678"/>
        <item m="1" x="2358"/>
        <item m="1" x="2496"/>
        <item m="1" x="346"/>
        <item m="1" x="2661"/>
        <item m="1" x="237"/>
        <item m="1" x="1628"/>
        <item m="1" x="2359"/>
        <item m="1" x="140"/>
        <item m="1" x="1647"/>
        <item m="1" x="1316"/>
        <item m="1" x="1655"/>
        <item m="1" x="1632"/>
        <item m="1" x="1553"/>
        <item m="1" x="1942"/>
        <item m="1" x="1917"/>
        <item m="1" x="2683"/>
        <item m="1" x="836"/>
        <item m="1" x="2360"/>
        <item m="1" x="1949"/>
        <item m="1" x="712"/>
        <item m="1" x="2113"/>
        <item m="1" x="1285"/>
        <item m="1" x="271"/>
        <item m="1" x="1319"/>
        <item m="1" x="1011"/>
        <item m="1" x="2361"/>
        <item m="1" x="1357"/>
        <item m="1" x="349"/>
        <item m="1" x="2051"/>
        <item x="3"/>
        <item m="1" x="1963"/>
        <item m="1" x="619"/>
        <item m="1" x="2362"/>
        <item m="1" x="877"/>
        <item m="1" x="1893"/>
        <item m="1" x="1827"/>
        <item sd="0" m="1" x="245"/>
        <item m="1" x="996"/>
        <item m="1" x="384"/>
        <item m="1" x="2363"/>
        <item m="1" x="980"/>
        <item m="1" x="1548"/>
        <item m="1" x="2720"/>
        <item m="1" x="949"/>
        <item m="1" x="1102"/>
        <item m="1" x="689"/>
        <item m="1" x="639"/>
        <item m="1" x="1639"/>
        <item m="1" x="1321"/>
        <item m="1" x="1322"/>
        <item m="1" x="2366"/>
        <item m="1" x="528"/>
        <item m="1" x="1973"/>
        <item m="1" x="2553"/>
        <item m="1" x="2590"/>
        <item m="1" x="2583"/>
        <item m="1" x="342"/>
        <item m="1" x="1323"/>
        <item m="1" x="2052"/>
        <item m="1" x="1523"/>
        <item m="1" x="1786"/>
        <item m="1" x="1641"/>
        <item m="1" x="1829"/>
        <item m="1" x="681"/>
        <item m="1" x="350"/>
        <item m="1" x="2711"/>
        <item m="1" x="1324"/>
        <item m="1" x="390"/>
        <item m="1" x="1725"/>
        <item m="1" x="780"/>
        <item m="1" x="2621"/>
        <item m="1" x="955"/>
        <item m="1" x="1924"/>
        <item m="1" x="1950"/>
        <item m="1" x="787"/>
        <item sd="0" x="15"/>
        <item m="1" x="798"/>
        <item m="1" x="323"/>
        <item m="1" x="2364"/>
        <item m="1" x="973"/>
        <item m="1" x="142"/>
        <item m="1" x="2365"/>
        <item m="1" x="82"/>
        <item m="1" x="1372"/>
        <item m="1" x="1987"/>
        <item m="1" x="1831"/>
        <item m="1" x="1198"/>
        <item m="1" x="916"/>
        <item m="1" x="2685"/>
        <item m="1" x="1953"/>
        <item m="1" x="2703"/>
        <item m="1" x="682"/>
        <item m="1" x="264"/>
        <item m="1" x="2367"/>
        <item m="1" x="524"/>
        <item m="1" x="1328"/>
        <item m="1" x="1389"/>
        <item m="1" x="2369"/>
        <item m="1" x="1758"/>
        <item m="1" x="1821"/>
        <item m="1" x="965"/>
        <item m="1" x="1334"/>
        <item m="1" x="544"/>
        <item m="1" x="2053"/>
        <item m="1" x="2655"/>
        <item m="1" x="1807"/>
        <item m="1" x="2114"/>
        <item m="1" x="1345"/>
        <item m="1" x="2467"/>
        <item m="1" x="2370"/>
        <item m="1" x="964"/>
        <item m="1" x="209"/>
        <item m="1" x="2628"/>
        <item m="1" x="1588"/>
        <item m="1" x="1908"/>
        <item m="1" x="1385"/>
        <item m="1" x="1759"/>
        <item m="1" x="51"/>
        <item m="1" x="2371"/>
        <item m="1" x="1275"/>
        <item sd="0" m="1" x="2677"/>
        <item m="1" x="987"/>
        <item m="1" x="2010"/>
        <item m="1" x="683"/>
        <item m="1" x="1760"/>
        <item m="1" x="2373"/>
        <item m="1" x="864"/>
        <item m="1" x="2054"/>
        <item m="1" x="1945"/>
        <item m="1" x="684"/>
        <item m="1" x="572"/>
        <item m="1" x="145"/>
        <item m="1" x="479"/>
        <item m="1" x="1188"/>
        <item m="1" x="799"/>
        <item m="1" x="1833"/>
        <item m="1" x="2375"/>
        <item m="1" x="1761"/>
        <item m="1" x="1883"/>
        <item m="1" x="1048"/>
        <item m="1" x="2568"/>
        <item m="1" x="1891"/>
        <item m="1" x="2376"/>
        <item m="1" x="1716"/>
        <item m="1" x="1642"/>
        <item m="1" x="2377"/>
        <item m="1" x="2432"/>
        <item m="1" x="1542"/>
        <item m="1" x="2691"/>
        <item m="1" x="1370"/>
        <item m="1" x="1133"/>
        <item m="1" x="1636"/>
        <item m="1" x="1815"/>
        <item m="1" x="2665"/>
        <item m="1" x="1320"/>
        <item m="1" x="1447"/>
        <item m="1" x="466"/>
        <item m="1" x="1431"/>
        <item m="1" x="481"/>
        <item m="1" x="1307"/>
        <item m="1" x="1527"/>
        <item m="1" x="1077"/>
        <item m="1" x="297"/>
        <item m="1" x="2006"/>
        <item m="1" x="147"/>
        <item m="1" x="2378"/>
        <item m="1" x="1199"/>
        <item m="1" x="1452"/>
        <item m="1" x="999"/>
        <item m="1" x="2379"/>
        <item m="1" x="113"/>
        <item m="1" x="355"/>
        <item m="1" x="1196"/>
        <item m="1" x="1075"/>
        <item m="1" x="831"/>
        <item m="1" x="802"/>
        <item m="1" x="1202"/>
        <item m="1" x="2055"/>
        <item m="1" x="1536"/>
        <item m="1" x="568"/>
        <item m="1" x="1038"/>
        <item m="1" x="2025"/>
        <item m="1" x="317"/>
        <item m="1" x="1157"/>
        <item m="1" x="154"/>
        <item m="1" x="1300"/>
        <item m="1" x="1485"/>
        <item m="1" x="975"/>
        <item m="1" x="2555"/>
        <item m="1" x="2393"/>
        <item m="1" x="687"/>
        <item m="1" x="293"/>
        <item m="1" x="262"/>
        <item m="1" x="2673"/>
        <item m="1" x="1068"/>
        <item m="1" x="2394"/>
        <item m="1" x="2604"/>
        <item m="1" x="1059"/>
        <item m="1" x="2626"/>
        <item m="1" x="976"/>
        <item m="1" x="2620"/>
        <item m="1" x="1926"/>
        <item m="1" x="2395"/>
        <item m="1" x="2396"/>
        <item m="1" x="224"/>
        <item m="1" x="263"/>
        <item m="1" x="1530"/>
        <item m="1" x="1692"/>
        <item m="1" x="1227"/>
        <item m="1" x="83"/>
        <item m="1" x="2629"/>
        <item m="1" x="2397"/>
        <item m="1" x="2595"/>
        <item m="1" x="1427"/>
        <item m="1" x="1920"/>
        <item m="1" x="808"/>
        <item m="1" x="1428"/>
        <item m="1" x="810"/>
        <item m="1" x="2116"/>
        <item m="1" x="225"/>
        <item m="1" x="2398"/>
        <item m="1" x="1429"/>
        <item m="1" x="2399"/>
        <item m="1" x="688"/>
        <item m="1" x="377"/>
        <item m="1" x="2400"/>
        <item m="1" x="1430"/>
        <item m="1" x="1637"/>
        <item m="1" x="1488"/>
        <item m="1" x="1432"/>
        <item m="1" x="2401"/>
        <item m="1" x="2402"/>
        <item m="1" x="247"/>
        <item m="1" x="480"/>
        <item m="1" x="2623"/>
        <item m="1" x="1765"/>
        <item m="1" x="1518"/>
        <item m="1" x="957"/>
        <item m="1" x="2403"/>
        <item m="1" x="885"/>
        <item m="1" x="2405"/>
        <item m="1" x="2082"/>
        <item m="1" x="2060"/>
        <item m="1" x="467"/>
        <item m="1" x="1373"/>
        <item m="1" x="2406"/>
        <item m="1" x="1837"/>
        <item m="1" x="912"/>
        <item m="1" x="1576"/>
        <item m="1" x="1394"/>
        <item m="1" x="1448"/>
        <item m="1" x="1422"/>
        <item m="1" x="889"/>
        <item m="1" x="1449"/>
        <item m="1" x="1159"/>
        <item m="1" x="66"/>
        <item m="1" x="1894"/>
        <item m="1" x="314"/>
        <item m="1" x="163"/>
        <item m="1" x="1451"/>
        <item m="1" x="2491"/>
        <item m="1" x="381"/>
        <item m="1" x="2407"/>
        <item m="1" x="2408"/>
        <item m="1" x="2410"/>
        <item m="1" x="2675"/>
        <item m="1" x="1751"/>
        <item m="1" x="2409"/>
        <item m="1" x="382"/>
        <item m="1" x="1483"/>
        <item m="1" x="246"/>
        <item m="1" x="1454"/>
        <item m="1" x="1766"/>
        <item m="1" x="55"/>
        <item m="1" x="468"/>
        <item m="1" x="1220"/>
        <item m="1" x="395"/>
        <item m="1" x="1206"/>
        <item sd="0" m="1" x="2727"/>
        <item m="1" x="308"/>
        <item m="1" x="1910"/>
        <item m="1" x="1457"/>
        <item m="1" x="1456"/>
        <item m="1" x="1458"/>
        <item m="1" x="624"/>
        <item m="1" x="1444"/>
        <item m="1" x="1787"/>
        <item m="1" x="2566"/>
        <item m="1" x="2411"/>
        <item m="1" x="367"/>
        <item m="1" x="2412"/>
        <item m="1" x="289"/>
        <item m="1" x="2413"/>
        <item m="1" x="1543"/>
        <item m="1" x="2414"/>
        <item m="1" x="1722"/>
        <item m="1" x="170"/>
        <item m="1" x="2404"/>
        <item m="1" x="160"/>
        <item m="1" x="1392"/>
        <item m="1" x="2693"/>
        <item m="1" x="2556"/>
        <item m="1" x="2415"/>
        <item m="1" x="733"/>
        <item m="1" x="1656"/>
        <item x="14"/>
        <item m="1" x="1912"/>
        <item m="1" x="1528"/>
        <item m="1" x="1284"/>
        <item m="1" x="165"/>
        <item m="1" x="2270"/>
        <item m="1" x="1914"/>
        <item m="1" x="2653"/>
        <item m="1" x="2118"/>
        <item m="1" x="1390"/>
        <item m="1" x="2034"/>
        <item m="1" x="816"/>
        <item m="1" x="166"/>
        <item m="1" x="1281"/>
        <item m="1" x="1395"/>
        <item m="1" x="1471"/>
        <item m="1" x="144"/>
        <item m="1" x="2019"/>
        <item m="1" x="586"/>
        <item m="1" x="2602"/>
        <item m="1" x="2417"/>
        <item m="1" x="2418"/>
        <item m="1" x="817"/>
        <item m="1" x="2636"/>
        <item m="1" x="1409"/>
        <item m="1" x="1472"/>
        <item m="1" x="690"/>
        <item m="1" x="1473"/>
        <item m="1" x="2419"/>
        <item m="1" x="2420"/>
        <item m="1" x="915"/>
        <item m="1" x="2421"/>
        <item m="1" x="2709"/>
        <item m="1" x="2422"/>
        <item m="1" x="2423"/>
        <item m="1" x="2260"/>
        <item m="1" x="862"/>
        <item m="1" x="2684"/>
        <item m="1" x="882"/>
        <item m="1" x="2424"/>
        <item m="1" x="1882"/>
        <item m="1" x="1347"/>
        <item m="1" x="691"/>
        <item m="1" x="2690"/>
        <item m="1" x="351"/>
        <item m="1" x="2139"/>
        <item m="1" x="2469"/>
        <item m="1" x="1034"/>
        <item m="1" x="501"/>
        <item m="1" x="818"/>
        <item m="1" x="819"/>
        <item m="1" x="914"/>
        <item m="1" x="63"/>
        <item m="1" x="2119"/>
        <item m="1" x="656"/>
        <item m="1" x="2425"/>
        <item m="1" x="149"/>
        <item m="1" x="387"/>
        <item m="1" x="557"/>
        <item m="1" x="1785"/>
        <item m="1" x="2061"/>
        <item m="1" x="440"/>
        <item m="1" x="2099"/>
        <item m="1" x="2426"/>
        <item m="1" x="995"/>
        <item m="1" x="1767"/>
        <item m="1" x="991"/>
        <item m="1" x="386"/>
        <item m="1" x="434"/>
        <item m="1" x="2428"/>
        <item m="1" x="2120"/>
        <item m="1" x="820"/>
        <item m="1" x="1994"/>
        <item m="1" x="487"/>
        <item m="1" x="95"/>
        <item m="1" x="482"/>
        <item m="1" x="87"/>
        <item m="1" x="1938"/>
        <item m="1" x="2062"/>
        <item m="1" x="371"/>
        <item m="1" x="210"/>
        <item m="1" x="2671"/>
        <item m="1" x="312"/>
        <item m="1" x="1923"/>
        <item m="1" x="120"/>
        <item m="1" x="2429"/>
        <item m="1" x="966"/>
        <item m="1" x="821"/>
        <item m="1" x="2068"/>
        <item m="1" x="1489"/>
        <item m="1" x="1490"/>
        <item m="1" x="1491"/>
        <item m="1" x="2430"/>
        <item m="1" x="1684"/>
        <item m="1" x="1379"/>
        <item m="1" x="1730"/>
        <item m="1" x="1800"/>
        <item m="1" x="162"/>
        <item m="1" x="1314"/>
        <item m="1" x="694"/>
        <item m="1" x="1493"/>
        <item m="1" x="1435"/>
        <item m="1" x="611"/>
        <item m="1" x="1018"/>
        <item m="1" x="2384"/>
        <item m="1" x="2616"/>
        <item m="1" x="2561"/>
        <item m="1" x="1290"/>
        <item m="1" x="1156"/>
        <item m="1" x="401"/>
        <item m="1" x="2142"/>
        <item m="1" x="383"/>
        <item m="1" x="2433"/>
        <item m="1" x="380"/>
        <item m="1" x="2434"/>
        <item m="1" x="1986"/>
        <item m="1" x="695"/>
        <item m="1" x="1688"/>
        <item m="1" x="907"/>
        <item m="1" x="2387"/>
        <item m="1" x="310"/>
        <item m="1" x="168"/>
        <item m="1" x="954"/>
        <item m="1" x="1342"/>
        <item m="1" x="328"/>
        <item m="1" x="822"/>
        <item m="1" x="403"/>
        <item m="1" x="1486"/>
        <item m="1" x="339"/>
        <item m="1" x="823"/>
        <item m="1" x="2435"/>
        <item m="1" x="502"/>
        <item m="1" x="565"/>
        <item m="1" x="1501"/>
        <item m="1" x="1023"/>
        <item m="1" x="2436"/>
        <item sd="0" m="1" x="2733"/>
        <item m="1" x="1217"/>
        <item m="1" x="800"/>
        <item m="1" x="1467"/>
        <item m="1" x="389"/>
        <item m="1" x="2063"/>
        <item m="1" x="2437"/>
        <item m="1" x="1064"/>
        <item m="1" x="853"/>
        <item m="1" x="936"/>
        <item m="1" x="1596"/>
        <item m="1" x="1502"/>
        <item m="1" x="2438"/>
        <item m="1" x="2129"/>
        <item m="1" x="174"/>
        <item m="1" x="2064"/>
        <item m="1" x="161"/>
        <item m="1" x="931"/>
        <item m="1" x="2584"/>
        <item m="1" x="923"/>
        <item m="1" x="2439"/>
        <item m="1" x="227"/>
        <item m="1" x="1517"/>
        <item m="1" x="2440"/>
        <item x="25"/>
        <item m="1" x="392"/>
        <item m="1" x="824"/>
        <item m="1" x="886"/>
        <item m="1" x="1396"/>
        <item m="1" x="1480"/>
        <item m="1" x="2065"/>
        <item m="1" x="1680"/>
        <item m="1" x="1511"/>
        <item m="1" x="393"/>
        <item m="1" x="2441"/>
        <item m="1" x="1792"/>
        <item m="1" x="172"/>
        <item m="1" x="1967"/>
        <item m="1" x="1512"/>
        <item m="1" x="825"/>
        <item m="1" x="71"/>
        <item m="1" x="1944"/>
        <item m="1" x="2594"/>
        <item m="1" x="2382"/>
        <item m="1" x="1665"/>
        <item m="1" x="2442"/>
        <item m="1" x="375"/>
        <item m="1" x="985"/>
        <item m="1" x="257"/>
        <item m="1" x="1119"/>
        <item m="1" x="2443"/>
        <item m="1" x="721"/>
        <item m="1" x="2444"/>
        <item m="1" x="1376"/>
        <item m="1" x="670"/>
        <item m="1" x="1768"/>
        <item m="1" x="2445"/>
        <item m="1" x="1943"/>
        <item m="1" x="67"/>
        <item m="1" x="1222"/>
        <item m="1" x="2070"/>
        <item m="1" x="180"/>
        <item m="1" x="124"/>
        <item m="1" x="1968"/>
        <item m="1" x="396"/>
        <item m="1" x="1525"/>
        <item m="1" x="1295"/>
        <item m="1" x="340"/>
        <item m="1" x="2447"/>
        <item m="1" x="422"/>
        <item m="1" x="2448"/>
        <item m="1" x="563"/>
        <item m="1" x="893"/>
        <item m="1" x="894"/>
        <item m="1" x="696"/>
        <item m="1" x="2450"/>
        <item m="1" x="1066"/>
        <item m="1" x="2066"/>
        <item m="1" x="2646"/>
        <item m="1" x="2570"/>
        <item m="1" x="1443"/>
        <item m="1" x="226"/>
        <item m="1" x="157"/>
        <item m="1" x="1383"/>
        <item m="1" x="940"/>
        <item m="1" x="2014"/>
        <item m="1" x="697"/>
        <item m="1" x="698"/>
        <item m="1" x="587"/>
        <item m="1" x="2451"/>
        <item m="1" x="1580"/>
        <item m="1" x="2532"/>
        <item m="1" x="253"/>
        <item m="1" x="1814"/>
        <item m="1" x="1118"/>
        <item m="1" x="1180"/>
        <item m="1" x="827"/>
        <item m="1" x="2121"/>
        <item m="1" x="1619"/>
        <item m="1" x="1035"/>
        <item m="1" x="2723"/>
        <item m="1" x="2639"/>
        <item m="1" x="2009"/>
        <item m="1" x="119"/>
        <item m="1" x="1534"/>
        <item m="1" x="2452"/>
        <item m="1" x="1291"/>
        <item m="1" x="398"/>
        <item m="1" x="1728"/>
        <item m="1" x="2316"/>
        <item m="1" x="1560"/>
        <item m="1" x="2619"/>
        <item m="1" x="469"/>
        <item m="1" x="1769"/>
        <item m="1" x="1889"/>
        <item m="1" x="699"/>
        <item sd="0" m="1" x="2732"/>
        <item m="1" x="569"/>
        <item m="1" x="803"/>
        <item x="17"/>
        <item m="1" x="2453"/>
        <item m="1" x="1995"/>
        <item m="1" x="2454"/>
        <item m="1" x="1296"/>
        <item m="1" x="1866"/>
        <item m="1" x="1731"/>
        <item m="1" x="1537"/>
        <item m="1" x="1609"/>
        <item m="1" x="2574"/>
        <item m="1" x="1538"/>
        <item m="1" x="483"/>
        <item m="1" x="1603"/>
        <item m="1" x="178"/>
        <item m="1" x="1791"/>
        <item m="1" x="1840"/>
        <item m="1" x="958"/>
        <item m="1" x="402"/>
        <item m="1" x="258"/>
        <item sd="0" m="1" x="2725"/>
        <item m="1" x="1033"/>
        <item m="1" x="1798"/>
        <item m="1" x="1013"/>
        <item m="1" x="186"/>
        <item m="1" x="1916"/>
        <item m="1" x="968"/>
        <item m="1" x="2599"/>
        <item m="1" x="2140"/>
        <item m="1" x="796"/>
        <item m="1" x="1540"/>
        <item m="1" x="1541"/>
        <item m="1" x="701"/>
        <item m="1" x="1856"/>
        <item m="1" x="897"/>
        <item m="1" x="1857"/>
        <item m="1" x="2455"/>
        <item m="1" x="2660"/>
        <item m="1" x="1115"/>
        <item m="1" x="2471"/>
        <item m="1" x="1896"/>
        <item m="1" x="680"/>
        <item m="1" x="705"/>
        <item m="1" x="446"/>
        <item m="1" x="1350"/>
        <item m="1" x="600"/>
        <item m="1" x="1001"/>
        <item m="1" x="702"/>
        <item m="1" x="1545"/>
        <item x="2"/>
        <item m="1" x="531"/>
        <item m="1" x="634"/>
        <item m="1" x="814"/>
        <item m="1" x="556"/>
        <item x="21"/>
        <item m="1" x="2679"/>
        <item sd="0" m="1" x="1190"/>
        <item m="1" x="1823"/>
        <item m="1" x="790"/>
        <item m="1" x="2696"/>
        <item m="1" x="1127"/>
        <item m="1" x="845"/>
        <item m="1" x="347"/>
        <item m="1" x="1559"/>
        <item m="1" x="1116"/>
        <item m="1" x="1839"/>
        <item m="1" x="1721"/>
        <item m="1" x="1144"/>
        <item m="1" x="1107"/>
        <item m="1" x="888"/>
        <item m="1" x="1332"/>
        <item m="1" x="1845"/>
        <item sd="0" m="1" x="522"/>
        <item m="1" x="1714"/>
        <item m="1" x="1841"/>
        <item m="1" x="627"/>
        <item m="1" x="409"/>
        <item m="1" x="1040"/>
        <item m="1" x="1862"/>
        <item m="1" x="1969"/>
        <item m="1" x="379"/>
        <item m="1" x="1988"/>
        <item m="1" x="703"/>
        <item m="1" x="187"/>
        <item m="1" x="470"/>
        <item m="1" x="2122"/>
        <item m="1" x="1838"/>
        <item m="1" x="1564"/>
        <item m="1" x="198"/>
        <item x="39"/>
        <item m="1" x="913"/>
        <item m="1" x="1867"/>
        <item m="1" x="2458"/>
        <item m="1" x="1529"/>
        <item m="1" x="2459"/>
        <item m="1" x="2460"/>
        <item m="1" x="2462"/>
        <item m="1" x="830"/>
        <item m="1" x="704"/>
        <item m="1" x="2609"/>
        <item m="1" x="305"/>
        <item m="1" x="953"/>
        <item m="1" x="977"/>
        <item m="1" x="2463"/>
        <item m="1" x="2591"/>
        <item m="1" x="2299"/>
        <item m="1" x="189"/>
        <item m="1" x="2381"/>
        <item m="1" x="2662"/>
        <item m="1" x="228"/>
        <item m="1" x="2457"/>
        <item m="1" x="2032"/>
        <item m="1" x="961"/>
        <item m="1" x="1610"/>
        <item m="1" x="229"/>
        <item m="1" x="1772"/>
        <item m="1" x="1567"/>
        <item m="1" x="362"/>
        <item m="1" x="1029"/>
        <item m="1" x="829"/>
        <item m="1" x="1582"/>
        <item m="1" x="447"/>
        <item m="1" x="1150"/>
        <item sd="0" m="1" x="2736"/>
        <item m="1" x="1178"/>
        <item m="1" x="1514"/>
        <item m="1" x="1583"/>
        <item m="1" x="1584"/>
        <item m="1" x="1134"/>
        <item m="1" x="707"/>
        <item m="1" x="1561"/>
        <item m="1" x="2472"/>
        <item m="1" x="2011"/>
        <item m="1" x="1585"/>
        <item m="1" x="1338"/>
        <item m="1" x="909"/>
        <item m="1" x="700"/>
        <item m="1" x="77"/>
        <item m="1" x="2562"/>
        <item m="1" x="1586"/>
        <item m="1" x="2473"/>
        <item m="1" x="1685"/>
        <item m="1" x="564"/>
        <item m="1" x="1110"/>
        <item x="30"/>
        <item m="1" x="2474"/>
        <item m="1" x="2576"/>
        <item m="1" x="2610"/>
        <item m="1" x="1696"/>
        <item m="1" x="1051"/>
        <item m="1" x="2475"/>
        <item m="1" x="2476"/>
        <item m="1" x="1629"/>
        <item m="1" x="2477"/>
        <item m="1" x="1922"/>
        <item m="1" x="2479"/>
        <item m="1" x="2478"/>
        <item m="1" x="1676"/>
        <item m="1" x="1965"/>
        <item m="1" x="2695"/>
        <item m="1" x="496"/>
        <item m="1" x="1990"/>
        <item m="1" x="2689"/>
        <item m="1" x="1590"/>
        <item m="1" x="1155"/>
        <item m="1" x="881"/>
        <item m="1" x="2480"/>
        <item x="11"/>
        <item m="1" x="1960"/>
        <item m="1" x="2481"/>
        <item m="1" x="520"/>
        <item m="1" x="1028"/>
        <item m="1" x="352"/>
        <item m="1" x="2482"/>
        <item m="1" x="504"/>
        <item m="1" x="1496"/>
        <item m="1" x="928"/>
        <item m="1" x="2468"/>
        <item m="1" x="1024"/>
        <item m="1" x="1854"/>
        <item m="1" x="2483"/>
        <item m="1" x="1593"/>
        <item m="1" x="2680"/>
        <item m="1" x="1061"/>
        <item m="1" x="243"/>
        <item m="1" x="191"/>
        <item m="1" x="1579"/>
        <item m="1" x="1595"/>
        <item m="1" x="192"/>
        <item m="1" x="298"/>
        <item m="1" x="1601"/>
        <item m="1" x="962"/>
        <item m="1" x="2485"/>
        <item m="1" x="2124"/>
        <item m="1" x="1421"/>
        <item m="1" x="2005"/>
        <item m="1" x="1648"/>
        <item m="1" x="2125"/>
        <item m="1" x="1184"/>
        <item m="1" x="2676"/>
        <item m="1" x="1604"/>
        <item m="1" x="1558"/>
        <item m="1" x="194"/>
        <item m="1" x="2126"/>
        <item m="1" x="307"/>
        <item m="1" x="588"/>
        <item m="1" x="1168"/>
        <item m="1" x="193"/>
        <item m="1" x="972"/>
        <item m="1" x="413"/>
        <item m="1" x="414"/>
        <item m="1" x="415"/>
        <item m="1" x="169"/>
        <item m="1" x="416"/>
        <item m="1" x="1445"/>
        <item m="1" x="833"/>
        <item m="1" x="2486"/>
        <item m="1" x="1570"/>
        <item m="1" x="855"/>
        <item m="1" x="1533"/>
        <item m="1" x="2487"/>
        <item m="1" x="1842"/>
        <item m="1" x="1773"/>
        <item m="1" x="2488"/>
        <item m="1" x="1563"/>
        <item m="1" x="902"/>
        <item m="1" x="435"/>
        <item m="1" x="860"/>
        <item m="1" x="1121"/>
        <item m="1" x="708"/>
        <item m="1" x="2490"/>
        <item m="1" x="542"/>
        <item m="1" x="1607"/>
        <item m="1" x="1608"/>
        <item m="1" x="1335"/>
        <item sd="0" m="1" x="2719"/>
        <item m="1" x="1864"/>
        <item m="1" x="742"/>
        <item m="1" x="2368"/>
        <item m="1" x="832"/>
        <item m="1" x="1117"/>
        <item m="1" x="239"/>
        <item m="1" x="1426"/>
        <item m="1" x="2492"/>
        <item m="1" x="2493"/>
        <item m="1" x="196"/>
        <item m="1" x="2494"/>
        <item m="1" x="278"/>
        <item sd="0" m="1" x="2740"/>
        <item m="1" x="2069"/>
        <item m="1" x="1797"/>
        <item m="1" x="143"/>
        <item m="1" x="1611"/>
        <item x="42"/>
        <item m="1" x="608"/>
        <item m="1" x="1848"/>
        <item m="1" x="602"/>
        <item m="1" x="1858"/>
        <item m="1" x="1849"/>
        <item m="1" x="1976"/>
        <item m="1" x="1929"/>
        <item m="1" x="603"/>
        <item m="1" x="770"/>
        <item m="1" x="1850"/>
        <item m="1" x="601"/>
        <item m="1" x="606"/>
        <item m="1" x="610"/>
        <item m="1" x="1852"/>
        <item m="1" x="515"/>
        <item sd="0" x="29"/>
        <item m="1" x="1661"/>
        <item x="41"/>
        <item m="1" x="596"/>
        <item m="1" x="1662"/>
        <item m="1" x="514"/>
        <item m="1" x="595"/>
        <item m="1" x="1977"/>
        <item m="1" x="1358"/>
        <item m="1" x="1847"/>
        <item m="1" x="605"/>
        <item m="1" x="1846"/>
        <item m="1" x="609"/>
        <item sd="0" m="1" x="604"/>
        <item x="28"/>
        <item sd="0" m="1" x="2730"/>
        <item sd="0" m="1" x="2735"/>
        <item sd="0" x="26"/>
        <item m="1" x="857"/>
        <item m="1" x="1861"/>
        <item m="1" x="2027"/>
        <item m="1" x="2035"/>
        <item m="1" x="1881"/>
        <item m="1" x="92"/>
        <item m="1" x="1666"/>
        <item m="1" x="1974"/>
        <item m="1" x="1017"/>
        <item m="1" x="805"/>
        <item m="1" x="2699"/>
        <item m="1" x="2427"/>
        <item m="1" x="2446"/>
        <item m="1" x="151"/>
        <item m="1" x="709"/>
        <item m="1" x="1659"/>
        <item m="1" x="421"/>
        <item m="1" x="2067"/>
        <item m="1" x="2495"/>
        <item m="1" x="921"/>
        <item m="1" x="2238"/>
        <item sd="0" m="1" x="2738"/>
        <item m="1" x="1423"/>
        <item m="1" x="582"/>
        <item m="1" x="2123"/>
        <item m="1" x="70"/>
        <item m="1" x="2497"/>
        <item m="1" x="325"/>
        <item m="1" x="2156"/>
        <item m="1" x="2498"/>
        <item m="1" x="2461"/>
        <item m="1" x="1234"/>
        <item m="1" x="934"/>
        <item m="1" x="2672"/>
        <item m="1" x="1067"/>
        <item m="1" x="2256"/>
        <item m="1" x="1308"/>
        <item m="1" x="1669"/>
        <item m="1" x="1446"/>
        <item m="1" x="1154"/>
        <item m="1" x="2127"/>
        <item m="1" x="423"/>
        <item m="1" x="1400"/>
        <item m="1" x="424"/>
        <item m="1" x="1958"/>
        <item m="1" x="197"/>
        <item m="1" x="2499"/>
        <item m="1" x="1673"/>
        <item m="1" x="517"/>
        <item m="1" x="1477"/>
        <item m="1" x="2500"/>
        <item m="1" x="1808"/>
        <item m="1" x="892"/>
        <item m="1" x="1138"/>
        <item m="1" x="275"/>
        <item m="1" x="834"/>
        <item m="1" x="79"/>
        <item m="1" x="910"/>
        <item m="1" x="136"/>
        <item m="1" x="203"/>
        <item m="1" x="2575"/>
        <item m="1" x="2585"/>
        <item m="1" x="939"/>
        <item m="1" x="1366"/>
        <item m="1" x="1136"/>
        <item m="1" x="1605"/>
        <item m="1" x="1226"/>
        <item m="1" x="484"/>
        <item m="1" x="1677"/>
        <item m="1" x="2714"/>
        <item m="1" x="993"/>
        <item m="1" x="1387"/>
        <item m="1" x="1678"/>
        <item m="1" x="1895"/>
        <item m="1" x="1365"/>
        <item m="1" x="1649"/>
        <item m="1" x="1620"/>
        <item m="1" x="1599"/>
        <item m="1" x="1122"/>
        <item m="1" x="489"/>
        <item m="1" x="1352"/>
        <item m="1" x="1616"/>
        <item m="1" x="835"/>
        <item m="1" x="2515"/>
        <item m="1" x="230"/>
        <item m="1" x="533"/>
        <item m="1" x="2501"/>
        <item m="1" x="261"/>
        <item m="1" x="201"/>
        <item m="1" x="285"/>
        <item m="1" x="2502"/>
        <item m="1" x="1187"/>
        <item m="1" x="552"/>
        <item m="1" x="2503"/>
        <item m="1" x="630"/>
        <item m="1" x="859"/>
        <item m="1" x="1975"/>
        <item m="1" x="2504"/>
        <item m="1" x="2713"/>
        <item m="1" x="2694"/>
        <item m="1" x="1076"/>
        <item m="1" x="905"/>
        <item m="1" x="2514"/>
        <item m="1" x="1828"/>
        <item m="1" x="1164"/>
        <item m="1" x="1415"/>
        <item m="1" x="2587"/>
        <item m="1" x="2698"/>
        <item m="1" x="1697"/>
        <item m="1" x="1401"/>
        <item m="1" x="1292"/>
        <item m="1" x="2505"/>
        <item m="1" x="2702"/>
        <item m="1" x="280"/>
        <item m="1" x="879"/>
        <item m="1" x="937"/>
        <item x="34"/>
        <item m="1" x="365"/>
        <item m="1" x="1566"/>
        <item m="1" x="710"/>
        <item m="1" x="490"/>
        <item sd="0" m="1" x="493"/>
        <item m="1" x="711"/>
        <item m="1" x="400"/>
        <item m="1" x="2507"/>
        <item m="1" x="2624"/>
        <item m="1" x="632"/>
        <item m="1" x="2189"/>
        <item m="1" x="1631"/>
        <item m="1" x="2706"/>
        <item m="1" x="729"/>
        <item m="1" x="2617"/>
        <item x="24"/>
        <item m="1" x="1331"/>
        <item m="1" x="838"/>
        <item m="1" x="2022"/>
        <item m="1" x="1689"/>
        <item m="1" x="1690"/>
        <item m="1" x="2308"/>
        <item m="1" x="1794"/>
        <item m="1" x="1173"/>
        <item m="1" x="651"/>
        <item m="1" x="2652"/>
        <item m="1" x="1101"/>
        <item m="1" x="2128"/>
        <item m="1" x="613"/>
        <item m="1" x="137"/>
        <item m="1" x="813"/>
        <item m="1" x="2603"/>
        <item m="1" x="1343"/>
        <item m="1" x="2509"/>
        <item m="1" x="839"/>
        <item m="1" x="1691"/>
        <item m="1" x="121"/>
        <item m="1" x="425"/>
        <item m="1" x="2431"/>
        <item m="1" x="1890"/>
        <item m="1" x="1776"/>
        <item m="1" x="1904"/>
        <item m="1" x="2144"/>
        <item m="1" x="62"/>
        <item m="1" x="1055"/>
        <item m="1" x="840"/>
        <item m="1" x="2383"/>
        <item m="1" x="1578"/>
        <item m="1" x="2510"/>
        <item m="1" x="1660"/>
        <item m="1" x="485"/>
        <item m="1" x="1207"/>
        <item m="1" x="1693"/>
        <item m="1" x="1663"/>
        <item m="1" x="1657"/>
        <item m="1" x="858"/>
        <item m="1" x="2511"/>
        <item m="1" x="2001"/>
        <item m="1" x="841"/>
        <item m="1" x="1411"/>
        <item m="1" x="837"/>
        <item m="1" x="2597"/>
        <item m="1" x="1694"/>
        <item m="1" x="1801"/>
        <item m="1" x="1695"/>
        <item m="1" x="1681"/>
        <item m="1" x="1587"/>
        <item m="1" x="1160"/>
        <item m="1" x="1569"/>
        <item m="1" x="998"/>
        <item m="1" x="856"/>
        <item m="1" x="1166"/>
        <item m="1" x="2512"/>
        <item m="1" x="150"/>
        <item m="1" x="2149"/>
        <item m="1" x="1223"/>
        <item m="1" x="212"/>
        <item m="1" x="918"/>
        <item m="1" x="1989"/>
        <item m="1" x="1979"/>
        <item m="1" x="2268"/>
        <item m="1" x="56"/>
        <item m="1" x="1562"/>
        <item m="1" x="1581"/>
        <item m="1" x="2390"/>
        <item m="1" x="969"/>
        <item m="1" x="473"/>
        <item m="1" x="843"/>
        <item m="1" x="1625"/>
        <item m="1" x="935"/>
        <item m="1" x="2023"/>
        <item m="1" x="1462"/>
        <item m="1" x="2666"/>
        <item m="1" x="2024"/>
        <item x="9"/>
        <item m="1" x="1698"/>
        <item m="1" x="1375"/>
        <item m="1" x="1699"/>
        <item m="1" x="179"/>
        <item m="1" x="2148"/>
        <item m="1" x="589"/>
        <item m="1" x="558"/>
        <item m="1" x="1019"/>
        <item m="1" x="69"/>
        <item m="1" x="199"/>
        <item m="1" x="844"/>
        <item m="1" x="714"/>
        <item m="1" x="2449"/>
        <item m="1" x="715"/>
        <item m="1" x="1670"/>
        <item m="1" x="1407"/>
        <item m="1" x="2130"/>
        <item m="1" x="1702"/>
        <item m="1" x="427"/>
        <item m="1" x="190"/>
        <item m="1" x="1479"/>
        <item m="1" x="679"/>
        <item m="1" x="716"/>
        <item m="1" x="65"/>
        <item m="1" x="1703"/>
        <item m="1" x="1851"/>
        <item m="1" x="717"/>
        <item m="1" x="486"/>
        <item m="1" x="231"/>
        <item m="1" x="2079"/>
        <item m="1" x="2131"/>
        <item m="1" x="1626"/>
        <item m="1" x="2516"/>
        <item m="1" x="1374"/>
        <item m="1" x="1280"/>
        <item m="1" x="927"/>
        <item m="1" x="299"/>
        <item sd="0" m="1" x="2734"/>
        <item m="1" x="1843"/>
        <item m="1" x="1991"/>
        <item m="1" x="200"/>
        <item m="1" x="1859"/>
        <item m="1" x="86"/>
        <item m="1" x="1268"/>
        <item m="1" x="1417"/>
        <item m="1" x="1706"/>
        <item m="1" x="1269"/>
        <item m="1" x="2132"/>
        <item m="1" x="989"/>
        <item m="1" x="1704"/>
        <item m="1" x="637"/>
        <item m="1" x="706"/>
        <item sd="0" m="1" x="640"/>
        <item m="1" x="842"/>
        <item m="1" x="105"/>
        <item m="1" x="173"/>
        <item m="1" x="1495"/>
        <item m="1" x="896"/>
        <item m="1" x="2517"/>
        <item m="1" x="2518"/>
        <item m="1" x="982"/>
        <item m="1" x="2519"/>
        <item m="1" x="718"/>
        <item m="1" x="1705"/>
        <item m="1" x="1519"/>
        <item m="1" x="2644"/>
        <item m="1" x="2640"/>
        <item m="1" x="2520"/>
        <item m="1" x="1025"/>
        <item m="1" x="1182"/>
        <item m="1" x="1946"/>
        <item m="1" x="1635"/>
        <item m="1" x="984"/>
        <item m="1" x="1274"/>
        <item m="1" x="2521"/>
        <item m="1" x="1633"/>
        <item m="1" x="2522"/>
        <item m="1" x="861"/>
        <item m="1" x="1707"/>
        <item m="1" x="1834"/>
        <item m="1" x="1634"/>
        <item m="1" x="2700"/>
        <item m="1" x="127"/>
        <item m="1" x="1032"/>
        <item m="1" x="2203"/>
        <item m="1" x="1404"/>
        <item m="1" x="1494"/>
        <item m="1" x="1770"/>
        <item m="1" x="1983"/>
        <item m="1" x="2523"/>
        <item m="1" x="1709"/>
        <item m="1" x="1777"/>
        <item m="1" x="2525"/>
        <item m="1" x="719"/>
        <item m="1" x="1927"/>
        <item m="1" x="1996"/>
        <item m="1" x="846"/>
        <item m="1" x="2526"/>
        <item m="1" x="2392"/>
        <item m="1" x="519"/>
        <item m="1" x="1086"/>
        <item m="1" x="2059"/>
        <item m="1" x="598"/>
        <item m="1" x="757"/>
        <item m="1" x="535"/>
        <item m="1" x="2133"/>
        <item m="1" x="2527"/>
        <item m="1" x="204"/>
        <item m="1" x="720"/>
        <item x="35"/>
        <item m="1" x="1713"/>
        <item m="1" x="1014"/>
        <item m="1" x="1424"/>
        <item m="1" x="941"/>
        <item m="1" x="2712"/>
        <item m="1" x="420"/>
        <item m="1" x="2528"/>
        <item m="1" x="1391"/>
        <item m="1" x="2012"/>
        <item m="1" x="2573"/>
        <item m="1" x="938"/>
        <item m="1" x="2134"/>
        <item m="1" x="267"/>
        <item m="1" x="2529"/>
        <item m="1" x="1293"/>
        <item m="1" x="614"/>
        <item sd="0" m="1" x="2722"/>
        <item m="1" x="2593"/>
        <item m="1" x="1416"/>
        <item m="1" x="324"/>
        <item m="1" x="428"/>
        <item m="1" x="2530"/>
        <item m="1" x="2029"/>
        <item m="1" x="723"/>
        <item m="1" x="2259"/>
        <item m="1" x="541"/>
        <item m="1" x="1618"/>
        <item m="1" x="1674"/>
        <item m="1" x="1778"/>
        <item m="1" x="911"/>
        <item m="1" x="2531"/>
        <item m="1" x="847"/>
        <item x="23"/>
        <item m="1" x="478"/>
        <item m="1" x="848"/>
        <item m="1" x="929"/>
        <item m="1" x="1844"/>
        <item m="1" x="1715"/>
        <item m="1" x="1710"/>
        <item m="1" x="1004"/>
        <item m="1" x="726"/>
        <item m="1" x="2135"/>
        <item m="1" x="1353"/>
        <item m="1" x="1717"/>
        <item m="1" x="1779"/>
        <item sd="0" m="1" x="465"/>
        <item m="1" x="1260"/>
        <item m="1" x="974"/>
        <item m="1" x="2533"/>
        <item m="1" x="188"/>
        <item m="1" x="2647"/>
        <item m="1" x="2686"/>
        <item m="1" x="866"/>
        <item m="1" x="1811"/>
        <item m="1" x="812"/>
        <item x="43"/>
        <item m="1" x="1718"/>
        <item m="1" x="1719"/>
        <item m="1" x="1398"/>
        <item m="1" x="1720"/>
        <item sd="0" m="1" x="2728"/>
        <item m="1" x="128"/>
        <item m="1" x="205"/>
        <item m="1" x="686"/>
        <item m="1" x="2622"/>
        <item m="1" x="1780"/>
        <item m="1" x="685"/>
        <item m="1" x="2416"/>
        <item m="1" x="2705"/>
        <item m="1" x="1333"/>
        <item m="1" x="1667"/>
        <item m="1" x="2136"/>
        <item m="1" x="1781"/>
        <item m="1" x="329"/>
        <item m="1" x="1724"/>
        <item m="1" x="206"/>
        <item m="1" x="153"/>
        <item m="1" x="2643"/>
        <item m="1" x="849"/>
        <item m="1" x="854"/>
        <item m="1" x="2631"/>
        <item m="1" x="471"/>
        <item m="1" x="2535"/>
        <item m="1" x="1902"/>
        <item m="1" x="722"/>
        <item m="1" x="540"/>
        <item m="1" x="2255"/>
        <item m="1" x="850"/>
        <item m="1" x="183"/>
        <item m="1" x="693"/>
        <item m="1" x="644"/>
        <item m="1" x="1726"/>
        <item m="1" x="967"/>
        <item sd="0" m="1" x="2117"/>
        <item m="1" x="397"/>
        <item m="1" x="1504"/>
        <item x="40"/>
        <item sd="0" m="1" x="2729"/>
        <item m="1" x="1273"/>
        <item m="1" x="2536"/>
        <item m="1" x="2470"/>
        <item m="1" x="429"/>
        <item m="1" x="2537"/>
        <item m="1" x="2538"/>
        <item m="1" x="2569"/>
        <item m="1" x="2539"/>
        <item m="1" x="1460"/>
        <item m="1" x="2058"/>
        <item m="1" x="2540"/>
        <item m="1" x="942"/>
        <item m="1" x="2031"/>
        <item m="1" x="1597"/>
        <item m="1" x="2541"/>
        <item m="1" x="1325"/>
        <item m="1" x="2071"/>
        <item m="1" x="828"/>
        <item m="1" x="430"/>
        <item m="1" x="1356"/>
        <item m="1" x="1031"/>
        <item x="16"/>
        <item m="1" x="1957"/>
        <item m="1" x="1434"/>
        <item m="1" x="874"/>
        <item m="1" x="2542"/>
        <item m="1" x="2543"/>
        <item m="1" x="249"/>
        <item m="1" x="207"/>
        <item m="1" x="2544"/>
        <item m="1" x="2545"/>
        <item m="1" x="2137"/>
        <item m="1" x="2138"/>
        <item m="1" x="1002"/>
        <item m="1" x="134"/>
        <item m="1" x="1732"/>
        <item m="1" x="1326"/>
        <item m="1" x="155"/>
        <item m="1" x="211"/>
        <item m="1" x="1161"/>
        <item x="36"/>
        <item m="1" x="141"/>
        <item m="1" x="2548"/>
        <item m="1" x="508"/>
        <item m="1" x="930"/>
        <item m="1" x="571"/>
        <item m="1" x="2372"/>
        <item m="1" x="2357"/>
        <item m="1" x="241"/>
        <item m="1" x="1733"/>
        <item m="1" x="1734"/>
        <item m="1" x="431"/>
        <item m="1" x="851"/>
        <item m="1" x="2546"/>
        <item m="1" x="532"/>
        <item m="1" x="1521"/>
        <item m="1" x="1554"/>
        <item m="1" x="2547"/>
        <item m="1" x="1782"/>
        <item m="1" x="1903"/>
        <item m="1" x="2549"/>
        <item m="1" x="1735"/>
        <item m="1" x="1650"/>
        <item m="1" x="1736"/>
        <item m="1" x="2708"/>
        <item t="default" sd="0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4"/>
    <field x="0"/>
  </rowFields>
  <rowItems count="1">
    <i t="grand">
      <x/>
    </i>
  </rowItems>
  <colItems count="1">
    <i/>
  </colItems>
  <pageFields count="1">
    <pageField fld="3" hier="-1"/>
  </pageFields>
  <dataFields count="1">
    <dataField name="Total" fld="9" baseField="0" baseItem="0" numFmtId="44"/>
  </dataFields>
  <formats count="9">
    <format dxfId="74">
      <pivotArea collapsedLevelsAreSubtotals="1" fieldPosition="0">
        <references count="1">
          <reference field="4" count="1">
            <x v="275"/>
          </reference>
        </references>
      </pivotArea>
    </format>
    <format dxfId="73">
      <pivotArea collapsedLevelsAreSubtotals="1" fieldPosition="0">
        <references count="1">
          <reference field="4" count="1">
            <x v="664"/>
          </reference>
        </references>
      </pivotArea>
    </format>
    <format dxfId="72">
      <pivotArea collapsedLevelsAreSubtotals="1" fieldPosition="0">
        <references count="1">
          <reference field="4" count="1">
            <x v="789"/>
          </reference>
        </references>
      </pivotArea>
    </format>
    <format dxfId="71">
      <pivotArea collapsedLevelsAreSubtotals="1" fieldPosition="0">
        <references count="1">
          <reference field="4" count="1">
            <x v="1446"/>
          </reference>
        </references>
      </pivotArea>
    </format>
    <format dxfId="70">
      <pivotArea collapsedLevelsAreSubtotals="1" fieldPosition="0">
        <references count="1">
          <reference field="4" count="1">
            <x v="1688"/>
          </reference>
        </references>
      </pivotArea>
    </format>
    <format dxfId="69">
      <pivotArea collapsedLevelsAreSubtotals="1" fieldPosition="0">
        <references count="1">
          <reference field="4" count="1">
            <x v="1989"/>
          </reference>
        </references>
      </pivotArea>
    </format>
    <format dxfId="68">
      <pivotArea dataOnly="0" labelOnly="1" fieldPosition="0">
        <references count="1">
          <reference field="4" count="6">
            <x v="275"/>
            <x v="664"/>
            <x v="789"/>
            <x v="1446"/>
            <x v="1688"/>
            <x v="1989"/>
          </reference>
        </references>
      </pivotArea>
    </format>
    <format dxfId="67">
      <pivotArea field="4" type="button" dataOnly="0" labelOnly="1" outline="0" axis="axisRow" fieldPosition="0"/>
    </format>
    <format dxfId="66">
      <pivotArea dataOnly="0" labelOnly="1" outline="0" axis="axisValues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27995E-4F84-E64C-8A46-B0FC7E2EB486}" name="PivotTable5" cacheId="4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A4:B5" firstHeaderRow="1" firstDataRow="1" firstDataCol="1" rowPageCount="1" colPageCount="1"/>
  <pivotFields count="15">
    <pivotField axis="axisRow" showAll="0">
      <items count="71">
        <item x="56"/>
        <item x="64"/>
        <item x="57"/>
        <item x="65"/>
        <item x="25"/>
        <item x="34"/>
        <item x="36"/>
        <item x="30"/>
        <item x="21"/>
        <item x="52"/>
        <item x="13"/>
        <item x="44"/>
        <item x="14"/>
        <item x="22"/>
        <item x="16"/>
        <item x="29"/>
        <item x="2"/>
        <item x="8"/>
        <item x="51"/>
        <item x="20"/>
        <item x="26"/>
        <item x="35"/>
        <item x="19"/>
        <item x="6"/>
        <item x="61"/>
        <item x="4"/>
        <item x="43"/>
        <item x="11"/>
        <item x="54"/>
        <item x="33"/>
        <item x="38"/>
        <item x="39"/>
        <item x="63"/>
        <item x="17"/>
        <item x="55"/>
        <item x="0"/>
        <item x="1"/>
        <item m="1" x="67"/>
        <item x="46"/>
        <item x="45"/>
        <item x="24"/>
        <item x="18"/>
        <item x="50"/>
        <item x="58"/>
        <item x="59"/>
        <item x="7"/>
        <item x="47"/>
        <item x="31"/>
        <item x="53"/>
        <item x="48"/>
        <item x="23"/>
        <item x="27"/>
        <item x="32"/>
        <item x="37"/>
        <item x="49"/>
        <item m="1" x="68"/>
        <item m="1" x="69"/>
        <item x="3"/>
        <item x="9"/>
        <item x="60"/>
        <item x="28"/>
        <item x="10"/>
        <item x="66"/>
        <item x="62"/>
        <item x="40"/>
        <item x="41"/>
        <item x="42"/>
        <item x="12"/>
        <item x="15"/>
        <item x="5"/>
        <item t="default"/>
      </items>
    </pivotField>
    <pivotField showAll="0"/>
    <pivotField showAll="0"/>
    <pivotField axis="axisPage" multipleItemSelectionAllowed="1" showAll="0">
      <items count="49">
        <item h="1" x="10"/>
        <item h="1" x="15"/>
        <item h="1" x="17"/>
        <item h="1" x="5"/>
        <item h="1" x="7"/>
        <item h="1" m="1" x="18"/>
        <item h="1" x="6"/>
        <item h="1" x="12"/>
        <item h="1" x="14"/>
        <item h="1" m="1" x="36"/>
        <item h="1" x="3"/>
        <item h="1" x="8"/>
        <item h="1" x="9"/>
        <item h="1" m="1" x="41"/>
        <item m="1" x="42"/>
        <item h="1" x="13"/>
        <item h="1" x="0"/>
        <item h="1" m="1" x="23"/>
        <item h="1" m="1" x="45"/>
        <item h="1" m="1" x="47"/>
        <item h="1" x="1"/>
        <item h="1" m="1" x="39"/>
        <item h="1" x="4"/>
        <item h="1" m="1" x="44"/>
        <item h="1" m="1" x="46"/>
        <item h="1" x="2"/>
        <item h="1" m="1" x="40"/>
        <item h="1" x="11"/>
        <item h="1" m="1" x="34"/>
        <item h="1" m="1" x="21"/>
        <item h="1" m="1" x="31"/>
        <item h="1" m="1" x="33"/>
        <item h="1" m="1" x="22"/>
        <item h="1" m="1" x="20"/>
        <item h="1" m="1" x="26"/>
        <item h="1" m="1" x="27"/>
        <item h="1" m="1" x="19"/>
        <item h="1" x="16"/>
        <item h="1" m="1" x="43"/>
        <item h="1" m="1" x="24"/>
        <item h="1" m="1" x="25"/>
        <item h="1" m="1" x="28"/>
        <item h="1" m="1" x="29"/>
        <item h="1" m="1" x="30"/>
        <item h="1" m="1" x="32"/>
        <item h="1" m="1" x="35"/>
        <item h="1" m="1" x="37"/>
        <item h="1" m="1" x="38"/>
        <item t="default"/>
      </items>
    </pivotField>
    <pivotField axis="axisRow" showAll="0" sortType="ascending">
      <items count="2742">
        <item m="1" x="956"/>
        <item m="1" x="1464"/>
        <item m="1" x="2141"/>
        <item m="1" x="272"/>
        <item m="1" x="870"/>
        <item m="1" x="575"/>
        <item m="1" x="2057"/>
        <item m="1" x="1442"/>
        <item m="1" x="361"/>
        <item m="1" x="118"/>
        <item m="1" x="1346"/>
        <item m="1" x="725"/>
        <item m="1" x="1254"/>
        <item m="1" x="282"/>
        <item m="1" x="2036"/>
        <item m="1" x="2157"/>
        <item m="1" x="1796"/>
        <item m="1" x="951"/>
        <item m="1" x="1887"/>
        <item m="1" x="1870"/>
        <item m="1" x="2717"/>
        <item x="5"/>
        <item m="1" x="491"/>
        <item m="1" x="1549"/>
        <item m="1" x="1484"/>
        <item m="1" x="727"/>
        <item m="1" x="1288"/>
        <item m="1" x="1739"/>
        <item m="1" x="804"/>
        <item m="1" x="451"/>
        <item m="1" x="1888"/>
        <item x="12"/>
        <item m="1" x="2159"/>
        <item m="1" x="1623"/>
        <item m="1" x="2037"/>
        <item m="1" x="78"/>
        <item m="1" x="2611"/>
        <item m="1" x="1378"/>
        <item m="1" x="1556"/>
        <item m="1" x="959"/>
        <item m="1" x="177"/>
        <item m="1" x="2038"/>
        <item m="1" x="1737"/>
        <item m="1" x="2160"/>
        <item m="1" x="2161"/>
        <item m="1" x="357"/>
        <item m="1" x="1142"/>
        <item m="1" x="1003"/>
        <item m="1" x="2688"/>
        <item m="1" x="2162"/>
        <item m="1" x="1096"/>
        <item m="1" x="1016"/>
        <item m="1" x="2039"/>
        <item m="1" x="88"/>
        <item m="1" x="1738"/>
        <item m="1" x="2163"/>
        <item m="1" x="1459"/>
        <item m="1" x="2164"/>
        <item m="1" x="2153"/>
        <item m="1" x="89"/>
        <item m="1" x="2165"/>
        <item m="1" x="730"/>
        <item m="1" x="1630"/>
        <item m="1" x="1005"/>
        <item m="1" x="2166"/>
        <item m="1" x="1348"/>
        <item m="1" x="1006"/>
        <item m="1" x="731"/>
        <item m="1" x="1651"/>
        <item m="1" x="2167"/>
        <item m="1" x="1008"/>
        <item m="1" x="2168"/>
        <item m="1" x="1367"/>
        <item m="1" x="2146"/>
        <item m="1" x="90"/>
        <item m="1" x="2169"/>
        <item m="1" x="266"/>
        <item m="1" x="922"/>
        <item m="1" x="442"/>
        <item m="1" x="364"/>
        <item m="1" x="732"/>
        <item m="1" x="1555"/>
        <item m="1" x="2170"/>
        <item m="1" x="418"/>
        <item m="1" x="887"/>
        <item m="1" x="265"/>
        <item m="1" x="292"/>
        <item m="1" x="2171"/>
        <item m="1" x="68"/>
        <item m="1" x="521"/>
        <item m="1" x="616"/>
        <item m="1" x="2484"/>
        <item m="1" x="617"/>
        <item m="1" x="284"/>
        <item m="1" x="2172"/>
        <item m="1" x="2659"/>
        <item m="1" x="1617"/>
        <item m="1" x="1363"/>
        <item m="1" x="2173"/>
        <item m="1" x="232"/>
        <item m="1" x="2174"/>
        <item m="1" x="2175"/>
        <item m="1" x="2176"/>
        <item m="1" x="2040"/>
        <item m="1" x="562"/>
        <item m="1" x="1476"/>
        <item m="1" x="242"/>
        <item m="1" x="181"/>
        <item m="1" x="1465"/>
        <item m="1" x="2678"/>
        <item m="1" x="1482"/>
        <item m="1" x="815"/>
        <item m="1" x="1128"/>
        <item m="1" x="2489"/>
        <item m="1" x="2177"/>
        <item m="1" x="2385"/>
        <item m="1" x="1129"/>
        <item m="1" x="2178"/>
        <item m="1" x="2181"/>
        <item m="1" x="1012"/>
        <item m="1" x="890"/>
        <item m="1" x="2182"/>
        <item m="1" x="1874"/>
        <item m="1" x="2183"/>
        <item m="1" x="1727"/>
        <item m="1" x="2184"/>
        <item m="1" x="1408"/>
        <item m="1" x="238"/>
        <item m="1" x="2185"/>
        <item m="1" x="93"/>
        <item m="1" x="1041"/>
        <item m="1" x="734"/>
        <item m="1" x="1042"/>
        <item m="1" x="1309"/>
        <item m="1" x="1399"/>
        <item m="1" x="1547"/>
        <item m="1" x="2186"/>
        <item m="1" x="344"/>
        <item m="1" x="94"/>
        <item m="1" x="2187"/>
        <item m="1" x="2188"/>
        <item m="1" x="983"/>
        <item m="1" x="2041"/>
        <item m="1" x="547"/>
        <item m="1" x="1359"/>
        <item m="1" x="1303"/>
        <item m="1" x="1552"/>
        <item m="1" x="981"/>
        <item m="1" x="54"/>
        <item m="1" x="255"/>
        <item m="1" x="497"/>
        <item m="1" x="2190"/>
        <item m="1" x="2191"/>
        <item m="1" x="2192"/>
        <item m="1" x="2650"/>
        <item m="1" x="621"/>
        <item m="1" x="1045"/>
        <item m="1" x="880"/>
        <item m="1" x="1046"/>
        <item m="1" x="274"/>
        <item m="1" x="1047"/>
        <item m="1" x="2193"/>
        <item m="1" x="1049"/>
        <item m="1" x="1050"/>
        <item m="1" x="1962"/>
        <item m="1" x="735"/>
        <item m="1" x="2194"/>
        <item m="1" x="2083"/>
        <item m="1" x="2682"/>
        <item m="1" x="287"/>
        <item m="1" x="432"/>
        <item m="1" x="472"/>
        <item m="1" x="1868"/>
        <item m="1" x="419"/>
        <item m="1" x="2389"/>
        <item m="1" x="1052"/>
        <item m="1" x="1053"/>
        <item m="1" x="2618"/>
        <item m="1" x="2637"/>
        <item m="1" x="2641"/>
        <item m="1" x="366"/>
        <item m="1" x="296"/>
        <item m="1" x="1218"/>
        <item m="1" x="1151"/>
        <item m="1" x="620"/>
        <item m="1" x="1344"/>
        <item m="1" x="1203"/>
        <item m="1" x="2195"/>
        <item m="1" x="736"/>
        <item m="1" x="538"/>
        <item m="1" x="2196"/>
        <item m="1" x="1200"/>
        <item m="1" x="1873"/>
        <item m="1" x="1744"/>
        <item m="1" x="2197"/>
        <item m="1" x="1505"/>
        <item m="1" x="622"/>
        <item m="1" x="2261"/>
        <item m="1" x="2000"/>
        <item m="1" x="374"/>
        <item m="1" x="1741"/>
        <item m="1" x="1948"/>
        <item m="1" x="1056"/>
        <item m="1" x="304"/>
        <item m="1" x="498"/>
        <item m="1" x="737"/>
        <item m="1" x="2042"/>
        <item m="1" x="2198"/>
        <item m="1" x="1643"/>
        <item m="1" x="1475"/>
        <item m="1" x="738"/>
        <item m="1" x="1058"/>
        <item m="1" x="1863"/>
        <item m="1" x="2635"/>
        <item m="1" x="97"/>
        <item m="1" x="739"/>
        <item m="1" x="516"/>
        <item m="1" x="807"/>
        <item m="1" x="2651"/>
        <item m="1" x="2115"/>
        <item m="1" x="625"/>
        <item m="1" x="1978"/>
        <item m="1" x="2043"/>
        <item m="1" x="895"/>
        <item m="1" x="626"/>
        <item m="1" x="1063"/>
        <item m="1" x="1253"/>
        <item m="1" x="1393"/>
        <item m="1" x="1020"/>
        <item m="1" x="492"/>
        <item m="1" x="1804"/>
        <item m="1" x="2085"/>
        <item m="1" x="1900"/>
        <item m="1" x="1886"/>
        <item m="1" x="573"/>
        <item m="1" x="2638"/>
        <item m="1" x="628"/>
        <item m="1" x="2508"/>
        <item m="1" x="464"/>
        <item m="1" x="1224"/>
        <item m="1" x="2002"/>
        <item m="1" x="1500"/>
        <item m="1" x="2199"/>
        <item m="1" x="448"/>
        <item m="1" x="412"/>
        <item m="1" x="98"/>
        <item m="1" x="1575"/>
        <item m="1" x="2601"/>
        <item m="1" x="1508"/>
        <item m="1" x="741"/>
        <item m="1" x="2200"/>
        <item m="1" x="175"/>
        <item m="1" x="1349"/>
        <item m="1" x="1622"/>
        <item m="1" x="2080"/>
        <item m="1" x="806"/>
        <item m="1" x="1981"/>
        <item m="1" x="594"/>
        <item m="1" x="2201"/>
        <item m="1" x="1947"/>
        <item m="1" x="1069"/>
        <item sd="0" m="1" x="47"/>
        <item m="1" x="1382"/>
        <item m="1" x="1701"/>
        <item m="1" x="2681"/>
        <item m="1" x="1355"/>
        <item m="1" x="2202"/>
        <item m="1" x="1364"/>
        <item m="1" x="743"/>
        <item m="1" x="1072"/>
        <item m="1" x="1327"/>
        <item m="1" x="1240"/>
        <item m="1" x="250"/>
        <item m="1" x="2704"/>
        <item m="1" x="301"/>
        <item sd="0" m="1" x="2726"/>
        <item m="1" x="2572"/>
        <item m="1" x="744"/>
        <item m="1" x="2018"/>
        <item m="1" x="1073"/>
        <item m="1" x="745"/>
        <item m="1" x="746"/>
        <item m="1" x="2204"/>
        <item m="1" x="1137"/>
        <item m="1" x="2205"/>
        <item m="1" x="529"/>
        <item m="1" x="577"/>
        <item m="1" x="215"/>
        <item m="1" x="499"/>
        <item m="1" x="1418"/>
        <item m="1" x="1940"/>
        <item m="1" x="474"/>
        <item m="1" x="986"/>
        <item m="1" x="72"/>
        <item m="1" x="1388"/>
        <item m="1" x="2206"/>
        <item m="1" x="99"/>
        <item m="1" x="1330"/>
        <item m="1" x="1237"/>
        <item m="1" x="1282"/>
        <item m="1" x="1294"/>
        <item m="1" x="2207"/>
        <item m="1" x="2208"/>
        <item m="1" x="811"/>
        <item m="1" x="747"/>
        <item m="1" x="1310"/>
        <item m="1" x="2081"/>
        <item m="1" x="1771"/>
        <item m="1" x="449"/>
        <item m="1" x="1341"/>
        <item m="1" x="1878"/>
        <item m="1" x="159"/>
        <item m="1" x="576"/>
        <item m="1" x="551"/>
        <item m="1" x="2209"/>
        <item m="1" x="2003"/>
        <item m="1" x="1078"/>
        <item m="1" x="2210"/>
        <item m="1" x="1453"/>
        <item m="1" x="1935"/>
        <item m="1" x="251"/>
        <item m="1" x="1574"/>
        <item m="1" x="1306"/>
        <item m="1" x="1905"/>
        <item m="1" x="1652"/>
        <item m="1" x="313"/>
        <item m="1" x="631"/>
        <item m="1" x="1079"/>
        <item m="1" x="526"/>
        <item m="1" x="1757"/>
        <item m="1" x="2211"/>
        <item m="1" x="1037"/>
        <item m="1" x="561"/>
        <item m="1" x="926"/>
        <item m="1" x="2577"/>
        <item m="1" x="2212"/>
        <item m="1" x="1360"/>
        <item m="1" x="2086"/>
        <item m="1" x="1377"/>
        <item m="1" x="2213"/>
        <item m="1" x="100"/>
        <item m="1" x="476"/>
        <item m="1" x="1336"/>
        <item m="1" x="1907"/>
        <item m="1" x="1956"/>
        <item m="1" x="1909"/>
        <item m="1" x="452"/>
        <item m="1" x="109"/>
        <item m="1" x="399"/>
        <item m="1" x="1083"/>
        <item m="1" x="2214"/>
        <item m="1" x="1085"/>
        <item m="1" x="748"/>
        <item m="1" x="2215"/>
        <item m="1" x="2589"/>
        <item m="1" x="1087"/>
        <item m="1" x="254"/>
        <item m="1" x="2563"/>
        <item m="1" x="749"/>
        <item m="1" x="1088"/>
        <item m="1" x="2581"/>
        <item m="1" x="81"/>
        <item m="1" x="1095"/>
        <item m="1" x="158"/>
        <item m="1" x="950"/>
        <item m="1" x="979"/>
        <item m="1" x="1098"/>
        <item sd="0" m="1" x="2571"/>
        <item m="1" x="1084"/>
        <item x="38"/>
        <item m="1" x="2630"/>
        <item m="1" x="103"/>
        <item m="1" x="2716"/>
        <item m="1" x="633"/>
        <item m="1" x="1438"/>
        <item m="1" x="1147"/>
        <item m="1" x="1520"/>
        <item m="1" x="1149"/>
        <item m="1" x="102"/>
        <item m="1" x="1091"/>
        <item m="1" x="115"/>
        <item sd="0" m="1" x="116"/>
        <item m="1" x="1152"/>
        <item m="1" x="618"/>
        <item m="1" x="1380"/>
        <item m="1" x="117"/>
        <item m="1" x="649"/>
        <item m="1" x="648"/>
        <item m="1" x="1089"/>
        <item m="1" x="2670"/>
        <item m="1" x="2216"/>
        <item m="1" x="1090"/>
        <item m="1" x="2004"/>
        <item m="1" x="1021"/>
        <item m="1" x="523"/>
        <item m="1" x="578"/>
        <item m="1" x="1764"/>
        <item m="1" x="908"/>
        <item m="1" x="2560"/>
        <item m="1" x="1803"/>
        <item m="1" x="2242"/>
        <item m="1" x="49"/>
        <item m="1" x="2044"/>
        <item m="1" x="1397"/>
        <item m="1" x="2649"/>
        <item m="1" x="2217"/>
        <item m="1" x="1163"/>
        <item m="1" x="148"/>
        <item m="1" x="2596"/>
        <item m="1" x="167"/>
        <item m="1" x="970"/>
        <item m="1" x="1094"/>
        <item m="1" x="2218"/>
        <item m="1" x="1898"/>
        <item m="1" x="2219"/>
        <item m="1" x="883"/>
        <item m="1" x="873"/>
        <item m="1" x="2600"/>
        <item m="1" x="2380"/>
        <item m="1" x="1932"/>
        <item m="1" x="1062"/>
        <item m="1" x="2220"/>
        <item m="1" x="1952"/>
        <item m="1" x="1082"/>
        <item m="1" x="1289"/>
        <item sd="0" m="1" x="2721"/>
        <item m="1" x="106"/>
        <item m="1" x="360"/>
        <item m="1" x="1998"/>
        <item m="1" x="2339"/>
        <item m="1" x="2667"/>
        <item m="1" x="545"/>
        <item m="1" x="2087"/>
        <item m="1" x="751"/>
        <item m="1" x="107"/>
        <item m="1" x="509"/>
        <item m="1" x="259"/>
        <item m="1" x="1097"/>
        <item m="1" x="1080"/>
        <item x="10"/>
        <item m="1" x="2559"/>
        <item m="1" x="1621"/>
        <item m="1" x="753"/>
        <item m="1" x="331"/>
        <item m="1" x="932"/>
        <item x="22"/>
        <item x="1"/>
        <item m="1" x="2221"/>
        <item m="1" x="2222"/>
        <item m="1" x="369"/>
        <item m="1" x="453"/>
        <item m="1" x="58"/>
        <item m="1" x="437"/>
        <item m="1" x="1687"/>
        <item m="1" x="1099"/>
        <item m="1" x="2224"/>
        <item m="1" x="2045"/>
        <item m="1" x="2608"/>
        <item m="1" x="1783"/>
        <item m="1" x="1885"/>
        <item m="1" x="636"/>
        <item m="1" x="108"/>
        <item m="1" x="52"/>
        <item m="1" x="1103"/>
        <item x="18"/>
        <item m="1" x="1993"/>
        <item m="1" x="2016"/>
        <item m="1" x="1911"/>
        <item m="1" x="593"/>
        <item m="1" x="754"/>
        <item m="1" x="755"/>
        <item m="1" x="407"/>
        <item m="1" x="356"/>
        <item m="1" x="1104"/>
        <item m="1" x="2225"/>
        <item m="1" x="1105"/>
        <item m="1" x="756"/>
        <item m="1" x="2158"/>
        <item m="1" x="752"/>
        <item m="1" x="2046"/>
        <item m="1" x="2226"/>
        <item m="1" x="1913"/>
        <item m="1" x="2150"/>
        <item m="1" x="919"/>
        <item m="1" x="2020"/>
        <item m="1" x="208"/>
        <item m="1" x="1708"/>
        <item m="1" x="1111"/>
        <item m="1" x="454"/>
        <item m="1" x="1112"/>
        <item m="1" x="309"/>
        <item m="1" x="1869"/>
        <item m="1" x="302"/>
        <item m="1" x="852"/>
        <item m="1" x="1205"/>
        <item m="1" x="1113"/>
        <item m="1" x="713"/>
        <item m="1" x="638"/>
        <item m="1" x="1210"/>
        <item m="1" x="1070"/>
        <item m="1" x="1805"/>
        <item m="1" x="1806"/>
        <item m="1" x="216"/>
        <item m="1" x="1809"/>
        <item m="1" x="875"/>
        <item m="1" x="2669"/>
        <item m="1" x="1126"/>
        <item m="1" x="110"/>
        <item m="1" x="1054"/>
        <item m="1" x="1830"/>
        <item m="1" x="1832"/>
        <item m="1" x="1818"/>
        <item m="1" x="1106"/>
        <item x="19"/>
        <item m="1" x="1043"/>
        <item m="1" x="1712"/>
        <item x="33"/>
        <item m="1" x="1615"/>
        <item m="1" x="1810"/>
        <item m="1" x="1114"/>
        <item m="1" x="1143"/>
        <item m="1" x="1535"/>
        <item m="1" x="1812"/>
        <item m="1" x="2088"/>
        <item m="1" x="1813"/>
        <item m="1" x="111"/>
        <item m="1" x="2228"/>
        <item m="1" x="1000"/>
        <item m="1" x="2229"/>
        <item m="1" x="2578"/>
        <item m="1" x="2230"/>
        <item m="1" x="1030"/>
        <item m="1" x="2564"/>
        <item m="1" x="946"/>
        <item m="1" x="2231"/>
        <item m="1" x="50"/>
        <item m="1" x="378"/>
        <item m="1" x="2232"/>
        <item m="1" x="2456"/>
        <item m="1" x="276"/>
        <item m="1" x="758"/>
        <item m="1" x="1010"/>
        <item m="1" x="1120"/>
        <item m="1" x="900"/>
        <item m="1" x="2663"/>
        <item m="1" x="2233"/>
        <item m="1" x="1015"/>
        <item m="1" x="1026"/>
        <item m="1" x="641"/>
        <item m="1" x="642"/>
        <item m="1" x="597"/>
        <item m="1" x="2606"/>
        <item m="1" x="643"/>
        <item m="1" x="1918"/>
        <item m="1" x="635"/>
        <item m="1" x="1123"/>
        <item m="1" x="2234"/>
        <item m="1" x="112"/>
        <item m="1" x="1742"/>
        <item m="1" x="878"/>
        <item m="1" x="2235"/>
        <item m="1" x="1984"/>
        <item m="1" x="2007"/>
        <item m="1" x="2236"/>
        <item m="1" x="759"/>
        <item m="1" x="933"/>
        <item m="1" x="436"/>
        <item m="1" x="2664"/>
        <item m="1" x="2078"/>
        <item m="1" x="1775"/>
        <item m="1" x="2586"/>
        <item m="1" x="475"/>
        <item m="1" x="1109"/>
        <item m="1" x="2674"/>
        <item m="1" x="2657"/>
        <item m="1" x="1700"/>
        <item m="1" x="539"/>
        <item m="1" x="455"/>
        <item m="1" x="952"/>
        <item m="1" x="315"/>
        <item m="1" x="408"/>
        <item m="1" x="867"/>
        <item m="1" x="2506"/>
        <item m="1" x="114"/>
        <item m="1" x="2237"/>
        <item m="1" x="1402"/>
        <item m="1" x="164"/>
        <item m="1" x="645"/>
        <item m="1" x="1638"/>
        <item m="1" x="1139"/>
        <item m="1" x="1146"/>
        <item m="1" x="554"/>
        <item m="1" x="2634"/>
        <item m="1" x="994"/>
        <item m="1" x="2465"/>
        <item m="1" x="1406"/>
        <item m="1" x="1236"/>
        <item m="1" x="1959"/>
        <item m="1" x="1247"/>
        <item m="1" x="1481"/>
        <item m="1" x="1876"/>
        <item m="1" x="1141"/>
        <item m="1" x="1065"/>
        <item m="1" x="646"/>
        <item sd="0" m="1" x="2731"/>
        <item m="1" x="1573"/>
        <item m="1" x="647"/>
        <item m="1" x="2239"/>
        <item m="1" x="126"/>
        <item m="1" x="96"/>
        <item m="1" x="1329"/>
        <item m="1" x="760"/>
        <item m="1" x="1270"/>
        <item m="1" x="2558"/>
        <item m="1" x="869"/>
        <item m="1" x="1145"/>
        <item m="1" x="1510"/>
        <item x="20"/>
        <item m="1" x="1175"/>
        <item m="1" x="1795"/>
        <item m="1" x="1124"/>
        <item m="1" x="1802"/>
        <item sd="0" x="7"/>
        <item x="37"/>
        <item m="1" x="1298"/>
        <item m="1" x="1339"/>
        <item m="1" x="1816"/>
        <item m="1" x="1762"/>
        <item m="1" x="1532"/>
        <item m="1" x="2240"/>
        <item m="1" x="871"/>
        <item m="1" x="2718"/>
        <item m="1" x="91"/>
        <item m="1" x="2241"/>
        <item m="1" x="2030"/>
        <item m="1" x="1672"/>
        <item m="1" x="761"/>
        <item m="1" x="2089"/>
        <item m="1" x="2227"/>
        <item m="1" x="762"/>
        <item m="1" x="1148"/>
        <item m="1" x="316"/>
        <item m="1" x="2633"/>
        <item m="1" x="1242"/>
        <item m="1" x="260"/>
        <item m="1" x="1412"/>
        <item m="1" x="1384"/>
        <item m="1" x="763"/>
        <item m="1" x="1682"/>
        <item m="1" x="385"/>
        <item m="1" x="591"/>
        <item m="1" x="1565"/>
        <item m="1" x="2243"/>
        <item m="1" x="1153"/>
        <item m="1" x="500"/>
        <item m="1" x="2552"/>
        <item m="1" x="217"/>
        <item m="1" x="1229"/>
        <item m="1" x="373"/>
        <item m="1" x="433"/>
        <item m="1" x="2632"/>
        <item m="1" x="1092"/>
        <item m="1" x="1241"/>
        <item m="1" x="1743"/>
        <item sd="0" m="1" x="244"/>
        <item m="1" x="444"/>
        <item m="1" x="2047"/>
        <item m="1" x="1403"/>
        <item m="1" x="1644"/>
        <item m="1" x="1158"/>
        <item m="1" x="1612"/>
        <item m="1" x="372"/>
        <item m="1" x="2588"/>
        <item m="1" x="1872"/>
        <item m="1" x="1478"/>
        <item m="1" x="2244"/>
        <item m="1" x="1865"/>
        <item m="1" x="319"/>
        <item m="1" x="303"/>
        <item m="1" x="1879"/>
        <item m="1" x="2351"/>
        <item m="1" x="1875"/>
        <item sd="0" m="1" x="2090"/>
        <item m="1" x="2245"/>
        <item m="1" x="2072"/>
        <item m="1" x="2374"/>
        <item m="1" x="2091"/>
        <item m="1" x="311"/>
        <item m="1" x="2246"/>
        <item m="1" x="2247"/>
        <item m="1" x="333"/>
        <item m="1" x="765"/>
        <item m="1" x="1318"/>
        <item m="1" x="2248"/>
        <item m="1" x="1276"/>
        <item m="1" x="650"/>
        <item m="1" x="2557"/>
        <item m="1" x="997"/>
        <item m="1" x="1130"/>
        <item m="1" x="2249"/>
        <item m="1" x="1362"/>
        <item m="1" x="1836"/>
        <item m="1" x="131"/>
        <item m="1" x="202"/>
        <item m="1" x="2250"/>
        <item m="1" x="321"/>
        <item m="1" x="146"/>
        <item m="1" x="2697"/>
        <item m="1" x="652"/>
        <item m="1" x="740"/>
        <item m="1" x="920"/>
        <item m="1" x="291"/>
        <item m="1" x="1170"/>
        <item m="1" x="513"/>
        <item m="1" x="2251"/>
        <item m="1" x="1899"/>
        <item m="1" x="766"/>
        <item sd="0" m="1" x="456"/>
        <item m="1" x="1171"/>
        <item m="1" x="2687"/>
        <item m="1" x="1172"/>
        <item m="1" x="1439"/>
        <item m="1" x="2252"/>
        <item m="1" x="1544"/>
        <item m="1" x="2143"/>
        <item m="1" x="653"/>
        <item m="1" x="615"/>
        <item m="1" x="2615"/>
        <item m="1" x="550"/>
        <item m="1" x="1174"/>
        <item m="1" x="2253"/>
        <item m="1" x="2254"/>
        <item sd="0" m="1" x="445"/>
        <item m="1" x="290"/>
        <item m="1" x="1305"/>
        <item m="1" x="1930"/>
        <item m="1" x="767"/>
        <item m="1" x="992"/>
        <item m="1" x="2565"/>
        <item m="1" x="2658"/>
        <item m="1" x="1915"/>
        <item m="1" x="1221"/>
        <item m="1" x="411"/>
        <item m="1" x="2257"/>
        <item m="1" x="1211"/>
        <item m="1" x="2258"/>
        <item m="1" x="1931"/>
        <item m="1" x="84"/>
        <item m="1" x="1745"/>
        <item m="1" x="1135"/>
        <item m="1" x="2092"/>
        <item m="1" x="654"/>
        <item m="1" x="1413"/>
        <item m="1" x="1131"/>
        <item m="1" x="1215"/>
        <item m="1" x="947"/>
        <item m="1" x="1668"/>
        <item m="1" x="1179"/>
        <item m="1" x="85"/>
        <item m="1" x="553"/>
        <item m="1" x="768"/>
        <item m="1" x="1194"/>
        <item sd="0" x="31"/>
        <item m="1" x="1140"/>
        <item m="1" x="655"/>
        <item m="1" x="233"/>
        <item m="1" x="769"/>
        <item x="27"/>
        <item m="1" x="1627"/>
        <item m="1" x="945"/>
        <item m="1" x="1746"/>
        <item m="1" x="322"/>
        <item m="1" x="1747"/>
        <item m="1" x="1664"/>
        <item m="1" x="1515"/>
        <item m="1" x="1600"/>
        <item m="1" x="1181"/>
        <item m="1" x="1877"/>
        <item m="1" x="2073"/>
        <item m="1" x="891"/>
        <item m="1" x="574"/>
        <item m="1" x="2262"/>
        <item m="1" x="1748"/>
        <item m="1" x="570"/>
        <item m="1" x="2093"/>
        <item m="1" x="2263"/>
        <item m="1" x="1183"/>
        <item m="1" x="2642"/>
        <item m="1" x="171"/>
        <item sd="0" m="1" x="256"/>
        <item m="1" x="1405"/>
        <item m="1" x="1531"/>
        <item m="1" x="488"/>
        <item m="1" x="443"/>
        <item m="1" x="122"/>
        <item m="1" x="1186"/>
        <item m="1" x="2264"/>
        <item m="1" x="326"/>
        <item m="1" x="2265"/>
        <item m="1" x="327"/>
        <item m="1" x="978"/>
        <item m="1" x="2266"/>
        <item m="1" x="248"/>
        <item m="1" x="534"/>
        <item m="1" x="1506"/>
        <item m="1" x="2077"/>
        <item m="1" x="1498"/>
        <item m="1" x="1287"/>
        <item m="1" x="156"/>
        <item m="1" x="394"/>
        <item m="1" x="1361"/>
        <item m="1" x="1592"/>
        <item m="1" x="1492"/>
        <item m="1" x="1468"/>
        <item m="1" x="2580"/>
        <item m="1" x="1568"/>
        <item m="1" x="2026"/>
        <item m="1" x="664"/>
        <item m="1" x="1955"/>
        <item m="1" x="2267"/>
        <item m="1" x="295"/>
        <item m="1" x="1191"/>
        <item m="1" x="1729"/>
        <item m="1" x="771"/>
        <item m="1" x="1195"/>
        <item m="1" x="1571"/>
        <item m="1" x="2094"/>
        <item m="1" x="2015"/>
        <item m="1" x="2524"/>
        <item m="1" x="2271"/>
        <item m="1" x="1789"/>
        <item m="1" x="306"/>
        <item m="1" x="1954"/>
        <item m="1" x="865"/>
        <item m="1" x="1835"/>
        <item m="1" x="801"/>
        <item m="1" x="1790"/>
        <item m="1" x="2272"/>
        <item m="1" x="1774"/>
        <item m="1" x="1653"/>
        <item m="1" x="1441"/>
        <item m="1" x="2095"/>
        <item m="1" x="2274"/>
        <item m="1" x="1793"/>
        <item m="1" x="990"/>
        <item m="1" x="2273"/>
        <item m="1" x="1819"/>
        <item m="1" x="2275"/>
        <item m="1" x="2076"/>
        <item m="1" x="2276"/>
        <item m="1" x="1204"/>
        <item m="1" x="1526"/>
        <item m="1" x="2145"/>
        <item m="1" x="1503"/>
        <item m="1" x="560"/>
        <item m="1" x="1550"/>
        <item m="1" x="872"/>
        <item m="1" x="2277"/>
        <item m="1" x="1425"/>
        <item m="1" x="1340"/>
        <item m="1" x="1167"/>
        <item m="1" x="2278"/>
        <item m="1" x="2279"/>
        <item m="1" x="772"/>
        <item m="1" x="728"/>
        <item m="1" x="658"/>
        <item m="1" x="1176"/>
        <item m="1" x="1315"/>
        <item m="1" x="2096"/>
        <item m="1" x="123"/>
        <item m="1" x="1337"/>
        <item m="1" x="270"/>
        <item m="1" x="2280"/>
        <item m="1" x="125"/>
        <item m="1" x="2074"/>
        <item m="1" x="2281"/>
        <item m="1" x="2282"/>
        <item m="1" x="659"/>
        <item m="1" x="1450"/>
        <item m="1" x="2283"/>
        <item m="1" x="925"/>
        <item m="1" x="1470"/>
        <item m="1" x="1209"/>
        <item m="1" x="660"/>
        <item m="1" x="2550"/>
        <item m="1" x="2648"/>
        <item m="1" x="2345"/>
        <item m="1" x="2097"/>
        <item m="1" x="2048"/>
        <item x="0"/>
        <item m="1" x="1497"/>
        <item m="1" x="2627"/>
        <item m="1" x="1763"/>
        <item m="1" x="1212"/>
        <item m="1" x="410"/>
        <item m="1" x="1961"/>
        <item m="1" x="917"/>
        <item m="1" x="988"/>
        <item m="1" x="1197"/>
        <item m="1" x="2284"/>
        <item m="1" x="1213"/>
        <item m="1" x="773"/>
        <item m="1" x="1214"/>
        <item m="1" x="1686"/>
        <item m="1" x="218"/>
        <item m="1" x="1509"/>
        <item m="1" x="724"/>
        <item m="1" x="1557"/>
        <item m="1" x="330"/>
        <item m="1" x="1216"/>
        <item m="1" x="457"/>
        <item m="1" x="1162"/>
        <item m="1" x="2285"/>
        <item m="1" x="2155"/>
        <item m="1" x="2286"/>
        <item m="1" x="2579"/>
        <item m="1" x="1219"/>
        <item m="1" x="2287"/>
        <item m="1" x="2098"/>
        <item m="1" x="2288"/>
        <item m="1" x="1466"/>
        <item m="1" x="2612"/>
        <item m="1" x="2049"/>
        <item m="1" x="176"/>
        <item m="1" x="1749"/>
        <item m="1" x="1455"/>
        <item m="1" x="458"/>
        <item m="1" x="1933"/>
        <item m="1" x="1658"/>
        <item m="1" x="775"/>
        <item m="1" x="459"/>
        <item m="1" x="129"/>
        <item m="1" x="219"/>
        <item m="1" x="2180"/>
        <item m="1" x="750"/>
        <item m="1" x="1044"/>
        <item m="1" x="661"/>
        <item m="1" x="663"/>
        <item m="1" x="809"/>
        <item m="1" x="130"/>
        <item m="1" x="585"/>
        <item m="1" x="1624"/>
        <item m="1" x="943"/>
        <item m="1" x="80"/>
        <item m="1" x="1817"/>
        <item m="1" x="2289"/>
        <item m="1" x="1997"/>
        <item m="1" x="960"/>
        <item m="1" x="665"/>
        <item m="1" x="505"/>
        <item m="1" x="2100"/>
        <item m="1" x="332"/>
        <item m="1" x="776"/>
        <item m="1" x="2290"/>
        <item m="1" x="2291"/>
        <item m="1" x="1169"/>
        <item m="1" x="1022"/>
        <item m="1" x="2101"/>
        <item m="1" x="2710"/>
        <item m="1" x="2292"/>
        <item m="1" x="182"/>
        <item m="1" x="48"/>
        <item m="1" x="2269"/>
        <item m="1" x="607"/>
        <item m="1" x="2388"/>
        <item m="1" x="252"/>
        <item m="1" x="2692"/>
        <item m="1" x="320"/>
        <item m="1" x="863"/>
        <item m="1" x="2293"/>
        <item m="1" x="1436"/>
        <item m="1" x="2102"/>
        <item m="1" x="376"/>
        <item m="1" x="2513"/>
        <item m="1" x="359"/>
        <item m="1" x="2147"/>
        <item m="1" x="2154"/>
        <item m="1" x="662"/>
        <item m="1" x="334"/>
        <item m="1" x="235"/>
        <item m="1" x="2103"/>
        <item m="1" x="76"/>
        <item m="1" x="1919"/>
        <item m="1" x="405"/>
        <item m="1" x="2534"/>
        <item m="1" x="2104"/>
        <item m="1" x="2294"/>
        <item m="1" x="1972"/>
        <item m="1" x="1228"/>
        <item m="1" x="1788"/>
        <item x="46"/>
        <item m="1" x="1189"/>
        <item m="1" x="462"/>
        <item m="1" x="1901"/>
        <item m="1" x="777"/>
        <item m="1" x="2592"/>
        <item m="1" x="335"/>
        <item m="1" x="2295"/>
        <item m="1" x="2296"/>
        <item m="1" x="612"/>
        <item m="1" x="1027"/>
        <item m="1" x="363"/>
        <item m="1" x="1750"/>
        <item m="1" x="1230"/>
        <item m="1" x="1799"/>
        <item m="1" x="1231"/>
        <item m="1" x="2297"/>
        <item m="1" x="1936"/>
        <item m="1" x="579"/>
        <item m="1" x="220"/>
        <item m="1" x="666"/>
        <item m="1" x="391"/>
        <item m="1" x="2724"/>
        <item m="1" x="2701"/>
        <item m="1" x="2656"/>
        <item m="1" x="778"/>
        <item m="1" x="1675"/>
        <item m="1" x="2298"/>
        <item m="1" x="53"/>
        <item m="1" x="1820"/>
        <item m="1" x="1232"/>
        <item m="1" x="1853"/>
        <item m="1" x="1469"/>
        <item m="1" x="61"/>
        <item m="1" x="1884"/>
        <item m="1" x="1941"/>
        <item m="1" x="623"/>
        <item m="1" x="2386"/>
        <item m="1" x="1263"/>
        <item m="1" x="1971"/>
        <item m="1" x="1039"/>
        <item m="1" x="1233"/>
        <item m="1" x="530"/>
        <item m="1" x="1892"/>
        <item m="1" x="2300"/>
        <item m="1" x="1165"/>
        <item m="1" x="1507"/>
        <item m="1" x="779"/>
        <item m="1" x="2645"/>
        <item m="1" x="2106"/>
        <item m="1" x="358"/>
        <item m="1" x="2301"/>
        <item m="1" x="1386"/>
        <item m="1" x="1822"/>
        <item m="1" x="1235"/>
        <item m="1" x="318"/>
        <item m="1" x="2302"/>
        <item m="1" x="1009"/>
        <item m="1" x="1108"/>
        <item m="1" x="2303"/>
        <item m="1" x="2304"/>
        <item m="1" x="1437"/>
        <item m="1" x="581"/>
        <item m="1" x="1100"/>
        <item m="1" x="1071"/>
        <item m="1" x="2305"/>
        <item m="1" x="370"/>
        <item m="1" x="1259"/>
        <item m="1" x="59"/>
        <item m="1" x="1683"/>
        <item m="1" x="336"/>
        <item m="1" x="60"/>
        <item m="1" x="337"/>
        <item m="1" x="2306"/>
        <item m="1" x="1245"/>
        <item m="1" x="2307"/>
        <item m="1" x="268"/>
        <item m="1" x="512"/>
        <item m="1" x="1177"/>
        <item m="1" x="868"/>
        <item m="1" x="667"/>
        <item m="1" x="1516"/>
        <item m="1" x="494"/>
        <item m="1" x="1238"/>
        <item m="1" x="388"/>
        <item m="1" x="283"/>
        <item m="1" x="104"/>
        <item m="1" x="1513"/>
        <item m="1" x="2107"/>
        <item m="1" x="1539"/>
        <item m="1" x="537"/>
        <item m="1" x="1752"/>
        <item m="1" x="101"/>
        <item m="1" x="195"/>
        <item m="1" x="338"/>
        <item m="1" x="668"/>
        <item m="1" x="1193"/>
        <item m="1" x="438"/>
        <item m="1" x="221"/>
        <item x="32"/>
        <item m="1" x="2309"/>
        <item m="1" x="2310"/>
        <item m="1" x="1679"/>
        <item m="1" x="2311"/>
        <item m="1" x="948"/>
        <item m="1" x="1928"/>
        <item m="1" x="1551"/>
        <item m="1" x="288"/>
        <item m="1" x="273"/>
        <item m="1" x="1711"/>
        <item m="1" x="185"/>
        <item m="1" x="1461"/>
        <item m="1" x="1239"/>
        <item m="1" x="1937"/>
        <item m="1" x="903"/>
        <item m="1" x="692"/>
        <item m="1" x="506"/>
        <item m="1" x="2312"/>
        <item m="1" x="2313"/>
        <item m="1" x="669"/>
        <item m="1" x="876"/>
        <item m="1" x="2314"/>
        <item m="1" x="1244"/>
        <item m="1" x="2108"/>
        <item m="1" x="1420"/>
        <item m="1" x="2315"/>
        <item m="1" x="1992"/>
        <item m="1" x="826"/>
        <item m="1" x="2567"/>
        <item m="1" x="774"/>
        <item m="1" x="75"/>
        <item m="1" x="1246"/>
        <item m="1" x="2317"/>
        <item m="1" x="2318"/>
        <item m="1" x="672"/>
        <item m="1" x="2319"/>
        <item m="1" x="1645"/>
        <item m="1" x="2017"/>
        <item m="1" x="1248"/>
        <item m="1" x="1249"/>
        <item m="1" x="781"/>
        <item m="1" x="1250"/>
        <item m="1" x="1060"/>
        <item m="1" x="671"/>
        <item m="1" x="1252"/>
        <item m="1" x="1880"/>
        <item m="1" x="1286"/>
        <item x="6"/>
        <item m="1" x="348"/>
        <item m="1" x="2320"/>
        <item m="1" x="1243"/>
        <item m="1" x="354"/>
        <item m="1" x="2179"/>
        <item m="1" x="2321"/>
        <item m="1" x="1440"/>
        <item m="1" x="884"/>
        <item m="1" x="629"/>
        <item m="1" x="2152"/>
        <item m="1" x="764"/>
        <item m="1" x="782"/>
        <item m="1" x="2322"/>
        <item m="1" x="783"/>
        <item m="1" x="1371"/>
        <item m="1" x="2323"/>
        <item m="1" x="971"/>
        <item m="1" x="1304"/>
        <item m="1" x="2324"/>
        <item m="1" x="1921"/>
        <item m="1" x="368"/>
        <item m="1" x="279"/>
        <item m="1" x="57"/>
        <item m="1" x="2325"/>
        <item m="1" x="240"/>
        <item m="1" x="286"/>
        <item m="1" x="1589"/>
        <item m="1" x="1271"/>
        <item m="1" x="294"/>
        <item m="1" x="549"/>
        <item m="1" x="784"/>
        <item m="1" x="1602"/>
        <item m="1" x="2326"/>
        <item m="1" x="1546"/>
        <item m="1" x="1487"/>
        <item m="1" x="1419"/>
        <item m="1" x="281"/>
        <item m="1" x="566"/>
        <item m="1" x="341"/>
        <item m="1" x="2554"/>
        <item m="1" x="1740"/>
        <item m="1" x="460"/>
        <item m="1" x="1897"/>
        <item m="1" x="1255"/>
        <item m="1" x="785"/>
        <item m="1" x="786"/>
        <item m="1" x="2598"/>
        <item m="1" x="477"/>
        <item m="1" x="1753"/>
        <item m="1" x="2056"/>
        <item m="1" x="417"/>
        <item x="4"/>
        <item m="1" x="2075"/>
        <item m="1" x="1093"/>
        <item sd="0" m="1" x="2737"/>
        <item m="1" x="590"/>
        <item m="1" x="2707"/>
        <item m="1" x="1057"/>
        <item m="1" x="599"/>
        <item m="1" x="1654"/>
        <item m="1" x="1257"/>
        <item m="1" x="788"/>
        <item m="1" x="1754"/>
        <item m="1" x="536"/>
        <item m="1" x="1258"/>
        <item m="1" x="2327"/>
        <item m="1" x="789"/>
        <item m="1" x="567"/>
        <item m="1" x="2328"/>
        <item m="1" x="2329"/>
        <item m="1" x="439"/>
        <item m="1" x="406"/>
        <item m="1" x="269"/>
        <item m="1" x="1208"/>
        <item m="1" x="1261"/>
        <item m="1" x="1262"/>
        <item m="1" x="592"/>
        <item m="1" x="1522"/>
        <item m="1" x="791"/>
        <item m="1" x="1614"/>
        <item m="1" x="1871"/>
        <item m="1" x="2109"/>
        <item m="1" x="1825"/>
        <item m="1" x="559"/>
        <item m="1" x="1591"/>
        <item m="1" x="580"/>
        <item m="1" x="1369"/>
        <item m="1" x="548"/>
        <item m="1" x="1192"/>
        <item sd="0" m="1" x="2105"/>
        <item m="1" x="1256"/>
        <item m="1" x="673"/>
        <item m="1" x="899"/>
        <item m="1" x="1264"/>
        <item m="1" x="1265"/>
        <item m="1" x="1824"/>
        <item m="1" x="2110"/>
        <item x="8"/>
        <item m="1" x="511"/>
        <item m="1" x="546"/>
        <item m="1" x="64"/>
        <item m="1" x="1201"/>
        <item m="1" x="1266"/>
        <item m="1" x="792"/>
        <item m="1" x="1982"/>
        <item x="44"/>
        <item m="1" x="1577"/>
        <item m="1" x="1613"/>
        <item m="1" x="2330"/>
        <item m="1" x="793"/>
        <item m="1" x="2464"/>
        <item m="1" x="2084"/>
        <item m="1" x="794"/>
        <item m="1" x="583"/>
        <item m="1" x="1433"/>
        <item m="1" x="1640"/>
        <item m="1" x="2614"/>
        <item m="1" x="503"/>
        <item m="1" x="1267"/>
        <item m="1" x="1036"/>
        <item m="1" x="1302"/>
        <item m="1" x="1225"/>
        <item m="1" x="404"/>
        <item m="1" x="1251"/>
        <item m="1" x="2013"/>
        <item m="1" x="510"/>
        <item m="1" x="555"/>
        <item m="1" x="1671"/>
        <item m="1" x="1906"/>
        <item m="1" x="2111"/>
        <item m="1" x="1125"/>
        <item m="1" x="461"/>
        <item m="1" x="1351"/>
        <item m="1" x="518"/>
        <item m="1" x="2331"/>
        <item m="1" x="1368"/>
        <item m="1" x="222"/>
        <item m="1" x="2332"/>
        <item m="1" x="795"/>
        <item m="1" x="674"/>
        <item m="1" x="1132"/>
        <item m="1" x="584"/>
        <item m="1" x="1826"/>
        <item m="1" x="2605"/>
        <item m="1" x="1317"/>
        <item m="1" x="1980"/>
        <item m="1" x="1939"/>
        <item m="1" x="1272"/>
        <item m="1" x="675"/>
        <item m="1" x="676"/>
        <item m="1" x="1951"/>
        <item m="1" x="2625"/>
        <item x="13"/>
        <item m="1" x="1474"/>
        <item m="1" x="2333"/>
        <item m="1" x="1277"/>
        <item m="1" x="1572"/>
        <item m="1" x="1278"/>
        <item m="1" x="2334"/>
        <item m="1" x="2335"/>
        <item m="1" x="1784"/>
        <item m="1" x="300"/>
        <item m="1" x="1723"/>
        <item m="1" x="1279"/>
        <item m="1" x="1410"/>
        <item m="1" x="152"/>
        <item m="1" x="1594"/>
        <item m="1" x="277"/>
        <item m="1" x="1074"/>
        <item m="1" x="132"/>
        <item m="1" x="1934"/>
        <item m="1" x="236"/>
        <item m="1" x="1283"/>
        <item m="1" x="2337"/>
        <item m="1" x="426"/>
        <item m="1" x="1606"/>
        <item m="1" x="1966"/>
        <item m="1" x="2391"/>
        <item m="1" x="2338"/>
        <item m="1" x="1354"/>
        <item m="1" x="1463"/>
        <item m="1" x="2340"/>
        <item m="1" x="657"/>
        <item m="1" x="2668"/>
        <item m="1" x="906"/>
        <item m="1" x="2341"/>
        <item sd="0" m="1" x="2739"/>
        <item x="45"/>
        <item m="1" x="463"/>
        <item m="1" x="924"/>
        <item m="1" x="1925"/>
        <item m="1" x="2342"/>
        <item m="1" x="2343"/>
        <item m="1" x="2344"/>
        <item m="1" x="963"/>
        <item m="1" x="2033"/>
        <item m="1" x="2346"/>
        <item sd="0" m="1" x="2223"/>
        <item m="1" x="2715"/>
        <item m="1" x="2613"/>
        <item m="1" x="677"/>
        <item m="1" x="1598"/>
        <item m="1" x="2021"/>
        <item m="1" x="2347"/>
        <item m="1" x="2348"/>
        <item m="1" x="1297"/>
        <item m="1" x="343"/>
        <item m="1" x="2551"/>
        <item m="1" x="353"/>
        <item m="1" x="1964"/>
        <item m="1" x="441"/>
        <item m="1" x="2050"/>
        <item m="1" x="901"/>
        <item m="1" x="1499"/>
        <item m="1" x="450"/>
        <item m="1" x="2654"/>
        <item m="1" x="1646"/>
        <item m="1" x="2466"/>
        <item m="1" x="1860"/>
        <item m="1" x="1299"/>
        <item m="1" x="2028"/>
        <item m="1" x="904"/>
        <item m="1" x="2350"/>
        <item m="1" x="135"/>
        <item m="1" x="2336"/>
        <item m="1" x="2349"/>
        <item m="1" x="2582"/>
        <item m="1" x="234"/>
        <item m="1" x="1524"/>
        <item m="1" x="1414"/>
        <item m="1" x="1301"/>
        <item m="1" x="133"/>
        <item m="1" x="507"/>
        <item m="1" x="527"/>
        <item m="1" x="2112"/>
        <item m="1" x="214"/>
        <item m="1" x="213"/>
        <item m="1" x="1999"/>
        <item m="1" x="2352"/>
        <item m="1" x="1185"/>
        <item m="1" x="74"/>
        <item m="1" x="1311"/>
        <item m="1" x="2607"/>
        <item m="1" x="2151"/>
        <item m="1" x="1755"/>
        <item m="1" x="184"/>
        <item m="1" x="525"/>
        <item m="1" x="1312"/>
        <item m="1" x="1313"/>
        <item m="1" x="543"/>
        <item m="1" x="495"/>
        <item m="1" x="2008"/>
        <item m="1" x="1855"/>
        <item m="1" x="944"/>
        <item m="1" x="1081"/>
        <item m="1" x="223"/>
        <item m="1" x="2353"/>
        <item m="1" x="138"/>
        <item m="1" x="139"/>
        <item m="1" x="73"/>
        <item m="1" x="1007"/>
        <item m="1" x="2354"/>
        <item m="1" x="898"/>
        <item m="1" x="1756"/>
        <item m="1" x="2355"/>
        <item m="1" x="2356"/>
        <item m="1" x="1970"/>
        <item m="1" x="1985"/>
        <item m="1" x="1381"/>
        <item m="1" x="345"/>
        <item m="1" x="797"/>
        <item m="1" x="678"/>
        <item m="1" x="2358"/>
        <item m="1" x="2496"/>
        <item m="1" x="346"/>
        <item m="1" x="2661"/>
        <item m="1" x="237"/>
        <item m="1" x="1628"/>
        <item m="1" x="2359"/>
        <item m="1" x="140"/>
        <item m="1" x="1647"/>
        <item m="1" x="1316"/>
        <item m="1" x="1655"/>
        <item m="1" x="1632"/>
        <item m="1" x="1553"/>
        <item m="1" x="1942"/>
        <item m="1" x="1917"/>
        <item m="1" x="2683"/>
        <item m="1" x="836"/>
        <item m="1" x="2360"/>
        <item m="1" x="1949"/>
        <item m="1" x="712"/>
        <item m="1" x="2113"/>
        <item m="1" x="1285"/>
        <item m="1" x="271"/>
        <item m="1" x="1319"/>
        <item m="1" x="1011"/>
        <item m="1" x="2361"/>
        <item m="1" x="1357"/>
        <item m="1" x="349"/>
        <item m="1" x="2051"/>
        <item x="3"/>
        <item m="1" x="1963"/>
        <item m="1" x="619"/>
        <item m="1" x="2362"/>
        <item m="1" x="877"/>
        <item m="1" x="1893"/>
        <item m="1" x="1827"/>
        <item sd="0" m="1" x="245"/>
        <item m="1" x="996"/>
        <item m="1" x="384"/>
        <item m="1" x="2363"/>
        <item m="1" x="980"/>
        <item m="1" x="1548"/>
        <item m="1" x="2720"/>
        <item m="1" x="949"/>
        <item m="1" x="1102"/>
        <item m="1" x="689"/>
        <item m="1" x="639"/>
        <item m="1" x="1639"/>
        <item m="1" x="1321"/>
        <item m="1" x="1322"/>
        <item m="1" x="2366"/>
        <item m="1" x="528"/>
        <item m="1" x="1973"/>
        <item m="1" x="2553"/>
        <item m="1" x="2590"/>
        <item m="1" x="2583"/>
        <item m="1" x="342"/>
        <item m="1" x="1323"/>
        <item m="1" x="2052"/>
        <item m="1" x="1523"/>
        <item m="1" x="1786"/>
        <item m="1" x="1641"/>
        <item m="1" x="1829"/>
        <item m="1" x="681"/>
        <item m="1" x="350"/>
        <item m="1" x="2711"/>
        <item m="1" x="1324"/>
        <item m="1" x="390"/>
        <item m="1" x="1725"/>
        <item m="1" x="780"/>
        <item m="1" x="2621"/>
        <item m="1" x="955"/>
        <item m="1" x="1924"/>
        <item m="1" x="1950"/>
        <item m="1" x="787"/>
        <item sd="0" x="15"/>
        <item m="1" x="798"/>
        <item m="1" x="323"/>
        <item m="1" x="2364"/>
        <item m="1" x="973"/>
        <item m="1" x="142"/>
        <item m="1" x="2365"/>
        <item m="1" x="82"/>
        <item m="1" x="1372"/>
        <item m="1" x="1987"/>
        <item m="1" x="1831"/>
        <item m="1" x="1198"/>
        <item m="1" x="916"/>
        <item m="1" x="2685"/>
        <item m="1" x="1953"/>
        <item m="1" x="2703"/>
        <item m="1" x="682"/>
        <item m="1" x="264"/>
        <item m="1" x="2367"/>
        <item m="1" x="524"/>
        <item m="1" x="1328"/>
        <item m="1" x="1389"/>
        <item m="1" x="2369"/>
        <item m="1" x="1758"/>
        <item m="1" x="1821"/>
        <item m="1" x="965"/>
        <item m="1" x="1334"/>
        <item m="1" x="544"/>
        <item m="1" x="2053"/>
        <item m="1" x="2655"/>
        <item m="1" x="1807"/>
        <item m="1" x="2114"/>
        <item m="1" x="1345"/>
        <item m="1" x="2467"/>
        <item m="1" x="2370"/>
        <item m="1" x="964"/>
        <item m="1" x="209"/>
        <item m="1" x="2628"/>
        <item m="1" x="1588"/>
        <item m="1" x="1908"/>
        <item m="1" x="1385"/>
        <item m="1" x="1759"/>
        <item m="1" x="51"/>
        <item m="1" x="2371"/>
        <item m="1" x="1275"/>
        <item sd="0" m="1" x="2677"/>
        <item m="1" x="987"/>
        <item m="1" x="2010"/>
        <item m="1" x="683"/>
        <item m="1" x="1760"/>
        <item m="1" x="2373"/>
        <item m="1" x="864"/>
        <item m="1" x="2054"/>
        <item m="1" x="1945"/>
        <item m="1" x="684"/>
        <item m="1" x="572"/>
        <item m="1" x="145"/>
        <item m="1" x="479"/>
        <item m="1" x="1188"/>
        <item m="1" x="799"/>
        <item m="1" x="1833"/>
        <item m="1" x="2375"/>
        <item m="1" x="1761"/>
        <item m="1" x="1883"/>
        <item m="1" x="1048"/>
        <item m="1" x="2568"/>
        <item m="1" x="1891"/>
        <item m="1" x="2376"/>
        <item m="1" x="1716"/>
        <item m="1" x="1642"/>
        <item m="1" x="2377"/>
        <item m="1" x="2432"/>
        <item m="1" x="1542"/>
        <item m="1" x="2691"/>
        <item m="1" x="1370"/>
        <item m="1" x="1133"/>
        <item m="1" x="1636"/>
        <item m="1" x="1815"/>
        <item m="1" x="2665"/>
        <item m="1" x="1320"/>
        <item m="1" x="1447"/>
        <item m="1" x="466"/>
        <item m="1" x="1431"/>
        <item m="1" x="481"/>
        <item m="1" x="1307"/>
        <item m="1" x="1527"/>
        <item m="1" x="1077"/>
        <item m="1" x="297"/>
        <item m="1" x="2006"/>
        <item m="1" x="147"/>
        <item m="1" x="2378"/>
        <item m="1" x="1199"/>
        <item m="1" x="1452"/>
        <item m="1" x="999"/>
        <item m="1" x="2379"/>
        <item m="1" x="113"/>
        <item m="1" x="355"/>
        <item m="1" x="1196"/>
        <item m="1" x="1075"/>
        <item m="1" x="831"/>
        <item m="1" x="802"/>
        <item m="1" x="1202"/>
        <item m="1" x="2055"/>
        <item m="1" x="1536"/>
        <item m="1" x="568"/>
        <item m="1" x="1038"/>
        <item m="1" x="2025"/>
        <item m="1" x="317"/>
        <item m="1" x="1157"/>
        <item m="1" x="154"/>
        <item m="1" x="1300"/>
        <item m="1" x="1485"/>
        <item m="1" x="975"/>
        <item m="1" x="2555"/>
        <item m="1" x="2393"/>
        <item m="1" x="687"/>
        <item m="1" x="293"/>
        <item m="1" x="262"/>
        <item m="1" x="2673"/>
        <item m="1" x="1068"/>
        <item m="1" x="2394"/>
        <item m="1" x="2604"/>
        <item m="1" x="1059"/>
        <item m="1" x="2626"/>
        <item m="1" x="976"/>
        <item m="1" x="2620"/>
        <item m="1" x="1926"/>
        <item m="1" x="2395"/>
        <item m="1" x="2396"/>
        <item m="1" x="224"/>
        <item m="1" x="263"/>
        <item m="1" x="1530"/>
        <item m="1" x="1692"/>
        <item m="1" x="1227"/>
        <item m="1" x="83"/>
        <item m="1" x="2629"/>
        <item m="1" x="2397"/>
        <item m="1" x="2595"/>
        <item m="1" x="1427"/>
        <item m="1" x="1920"/>
        <item m="1" x="808"/>
        <item m="1" x="1428"/>
        <item m="1" x="810"/>
        <item m="1" x="2116"/>
        <item m="1" x="225"/>
        <item m="1" x="2398"/>
        <item m="1" x="1429"/>
        <item m="1" x="2399"/>
        <item m="1" x="688"/>
        <item m="1" x="377"/>
        <item m="1" x="2400"/>
        <item m="1" x="1430"/>
        <item m="1" x="1637"/>
        <item m="1" x="1488"/>
        <item m="1" x="1432"/>
        <item m="1" x="2401"/>
        <item m="1" x="2402"/>
        <item m="1" x="247"/>
        <item m="1" x="480"/>
        <item m="1" x="2623"/>
        <item m="1" x="1765"/>
        <item m="1" x="1518"/>
        <item m="1" x="957"/>
        <item m="1" x="2403"/>
        <item m="1" x="885"/>
        <item m="1" x="2405"/>
        <item m="1" x="2082"/>
        <item m="1" x="2060"/>
        <item m="1" x="467"/>
        <item m="1" x="1373"/>
        <item m="1" x="2406"/>
        <item m="1" x="1837"/>
        <item m="1" x="912"/>
        <item m="1" x="1576"/>
        <item m="1" x="1394"/>
        <item m="1" x="1448"/>
        <item m="1" x="1422"/>
        <item m="1" x="889"/>
        <item m="1" x="1449"/>
        <item m="1" x="1159"/>
        <item m="1" x="66"/>
        <item m="1" x="1894"/>
        <item m="1" x="314"/>
        <item m="1" x="163"/>
        <item m="1" x="1451"/>
        <item m="1" x="2491"/>
        <item m="1" x="381"/>
        <item m="1" x="2407"/>
        <item m="1" x="2408"/>
        <item m="1" x="2410"/>
        <item m="1" x="2675"/>
        <item m="1" x="1751"/>
        <item m="1" x="2409"/>
        <item m="1" x="382"/>
        <item m="1" x="1483"/>
        <item m="1" x="246"/>
        <item m="1" x="1454"/>
        <item m="1" x="1766"/>
        <item m="1" x="55"/>
        <item m="1" x="468"/>
        <item m="1" x="1220"/>
        <item m="1" x="395"/>
        <item m="1" x="1206"/>
        <item sd="0" m="1" x="2727"/>
        <item m="1" x="308"/>
        <item m="1" x="1910"/>
        <item m="1" x="1457"/>
        <item m="1" x="1456"/>
        <item m="1" x="1458"/>
        <item m="1" x="624"/>
        <item m="1" x="1444"/>
        <item m="1" x="1787"/>
        <item m="1" x="2566"/>
        <item m="1" x="2411"/>
        <item m="1" x="367"/>
        <item m="1" x="2412"/>
        <item m="1" x="289"/>
        <item m="1" x="2413"/>
        <item m="1" x="1543"/>
        <item m="1" x="2414"/>
        <item m="1" x="1722"/>
        <item m="1" x="170"/>
        <item m="1" x="2404"/>
        <item m="1" x="160"/>
        <item m="1" x="1392"/>
        <item m="1" x="2693"/>
        <item m="1" x="2556"/>
        <item m="1" x="2415"/>
        <item m="1" x="733"/>
        <item m="1" x="1656"/>
        <item x="14"/>
        <item m="1" x="1912"/>
        <item m="1" x="1528"/>
        <item m="1" x="1284"/>
        <item m="1" x="165"/>
        <item m="1" x="2270"/>
        <item m="1" x="1914"/>
        <item m="1" x="2653"/>
        <item m="1" x="2118"/>
        <item m="1" x="1390"/>
        <item m="1" x="2034"/>
        <item m="1" x="816"/>
        <item m="1" x="166"/>
        <item m="1" x="1281"/>
        <item m="1" x="1395"/>
        <item m="1" x="1471"/>
        <item m="1" x="144"/>
        <item m="1" x="2019"/>
        <item m="1" x="586"/>
        <item m="1" x="2602"/>
        <item m="1" x="2417"/>
        <item m="1" x="2418"/>
        <item m="1" x="817"/>
        <item m="1" x="2636"/>
        <item m="1" x="1409"/>
        <item m="1" x="1472"/>
        <item m="1" x="690"/>
        <item m="1" x="1473"/>
        <item m="1" x="2419"/>
        <item m="1" x="2420"/>
        <item m="1" x="915"/>
        <item m="1" x="2421"/>
        <item m="1" x="2709"/>
        <item m="1" x="2422"/>
        <item m="1" x="2423"/>
        <item m="1" x="2260"/>
        <item m="1" x="862"/>
        <item m="1" x="2684"/>
        <item m="1" x="882"/>
        <item m="1" x="2424"/>
        <item m="1" x="1882"/>
        <item m="1" x="1347"/>
        <item m="1" x="691"/>
        <item m="1" x="2690"/>
        <item m="1" x="351"/>
        <item m="1" x="2139"/>
        <item m="1" x="2469"/>
        <item m="1" x="1034"/>
        <item m="1" x="501"/>
        <item m="1" x="818"/>
        <item m="1" x="819"/>
        <item m="1" x="914"/>
        <item m="1" x="63"/>
        <item m="1" x="2119"/>
        <item m="1" x="656"/>
        <item m="1" x="2425"/>
        <item m="1" x="149"/>
        <item m="1" x="387"/>
        <item m="1" x="557"/>
        <item m="1" x="1785"/>
        <item m="1" x="2061"/>
        <item m="1" x="440"/>
        <item m="1" x="2099"/>
        <item m="1" x="2426"/>
        <item m="1" x="995"/>
        <item m="1" x="1767"/>
        <item m="1" x="991"/>
        <item m="1" x="386"/>
        <item m="1" x="434"/>
        <item m="1" x="2428"/>
        <item m="1" x="2120"/>
        <item m="1" x="820"/>
        <item m="1" x="1994"/>
        <item m="1" x="487"/>
        <item m="1" x="95"/>
        <item m="1" x="482"/>
        <item m="1" x="87"/>
        <item m="1" x="1938"/>
        <item m="1" x="2062"/>
        <item m="1" x="371"/>
        <item m="1" x="210"/>
        <item m="1" x="2671"/>
        <item m="1" x="312"/>
        <item m="1" x="1923"/>
        <item m="1" x="120"/>
        <item m="1" x="2429"/>
        <item m="1" x="966"/>
        <item m="1" x="821"/>
        <item m="1" x="2068"/>
        <item m="1" x="1489"/>
        <item m="1" x="1490"/>
        <item m="1" x="1491"/>
        <item m="1" x="2430"/>
        <item m="1" x="1684"/>
        <item m="1" x="1379"/>
        <item m="1" x="1730"/>
        <item m="1" x="1800"/>
        <item m="1" x="162"/>
        <item m="1" x="1314"/>
        <item m="1" x="694"/>
        <item m="1" x="1493"/>
        <item m="1" x="1435"/>
        <item m="1" x="611"/>
        <item m="1" x="1018"/>
        <item m="1" x="2384"/>
        <item m="1" x="2616"/>
        <item m="1" x="2561"/>
        <item m="1" x="1290"/>
        <item m="1" x="1156"/>
        <item m="1" x="401"/>
        <item m="1" x="2142"/>
        <item m="1" x="383"/>
        <item m="1" x="2433"/>
        <item m="1" x="380"/>
        <item m="1" x="2434"/>
        <item m="1" x="1986"/>
        <item m="1" x="695"/>
        <item m="1" x="1688"/>
        <item m="1" x="907"/>
        <item m="1" x="2387"/>
        <item m="1" x="310"/>
        <item m="1" x="168"/>
        <item m="1" x="954"/>
        <item m="1" x="1342"/>
        <item m="1" x="328"/>
        <item m="1" x="822"/>
        <item m="1" x="403"/>
        <item m="1" x="1486"/>
        <item m="1" x="339"/>
        <item m="1" x="823"/>
        <item m="1" x="2435"/>
        <item m="1" x="502"/>
        <item m="1" x="565"/>
        <item m="1" x="1501"/>
        <item m="1" x="1023"/>
        <item m="1" x="2436"/>
        <item sd="0" m="1" x="2733"/>
        <item m="1" x="1217"/>
        <item m="1" x="800"/>
        <item m="1" x="1467"/>
        <item m="1" x="389"/>
        <item m="1" x="2063"/>
        <item m="1" x="2437"/>
        <item m="1" x="1064"/>
        <item m="1" x="853"/>
        <item m="1" x="936"/>
        <item m="1" x="1596"/>
        <item m="1" x="1502"/>
        <item m="1" x="2438"/>
        <item m="1" x="2129"/>
        <item m="1" x="174"/>
        <item m="1" x="2064"/>
        <item m="1" x="161"/>
        <item m="1" x="931"/>
        <item m="1" x="2584"/>
        <item m="1" x="923"/>
        <item m="1" x="2439"/>
        <item m="1" x="227"/>
        <item m="1" x="1517"/>
        <item m="1" x="2440"/>
        <item x="25"/>
        <item m="1" x="392"/>
        <item m="1" x="824"/>
        <item m="1" x="886"/>
        <item m="1" x="1396"/>
        <item m="1" x="1480"/>
        <item m="1" x="2065"/>
        <item m="1" x="1680"/>
        <item m="1" x="1511"/>
        <item m="1" x="393"/>
        <item m="1" x="2441"/>
        <item m="1" x="1792"/>
        <item m="1" x="172"/>
        <item m="1" x="1967"/>
        <item m="1" x="1512"/>
        <item m="1" x="825"/>
        <item m="1" x="71"/>
        <item m="1" x="1944"/>
        <item m="1" x="2594"/>
        <item m="1" x="2382"/>
        <item m="1" x="1665"/>
        <item m="1" x="2442"/>
        <item m="1" x="375"/>
        <item m="1" x="985"/>
        <item m="1" x="257"/>
        <item m="1" x="1119"/>
        <item m="1" x="2443"/>
        <item m="1" x="721"/>
        <item m="1" x="2444"/>
        <item m="1" x="1376"/>
        <item m="1" x="670"/>
        <item m="1" x="1768"/>
        <item m="1" x="2445"/>
        <item m="1" x="1943"/>
        <item m="1" x="67"/>
        <item m="1" x="1222"/>
        <item m="1" x="2070"/>
        <item m="1" x="180"/>
        <item m="1" x="124"/>
        <item m="1" x="1968"/>
        <item m="1" x="396"/>
        <item m="1" x="1525"/>
        <item m="1" x="1295"/>
        <item m="1" x="340"/>
        <item m="1" x="2447"/>
        <item m="1" x="422"/>
        <item m="1" x="2448"/>
        <item m="1" x="563"/>
        <item m="1" x="893"/>
        <item m="1" x="894"/>
        <item m="1" x="696"/>
        <item m="1" x="2450"/>
        <item m="1" x="1066"/>
        <item m="1" x="2066"/>
        <item m="1" x="2646"/>
        <item m="1" x="2570"/>
        <item m="1" x="1443"/>
        <item m="1" x="226"/>
        <item m="1" x="157"/>
        <item m="1" x="1383"/>
        <item m="1" x="940"/>
        <item m="1" x="2014"/>
        <item m="1" x="697"/>
        <item m="1" x="698"/>
        <item m="1" x="587"/>
        <item m="1" x="2451"/>
        <item m="1" x="1580"/>
        <item m="1" x="2532"/>
        <item m="1" x="253"/>
        <item m="1" x="1814"/>
        <item m="1" x="1118"/>
        <item m="1" x="1180"/>
        <item m="1" x="827"/>
        <item m="1" x="2121"/>
        <item m="1" x="1619"/>
        <item m="1" x="1035"/>
        <item m="1" x="2723"/>
        <item m="1" x="2639"/>
        <item m="1" x="2009"/>
        <item m="1" x="119"/>
        <item m="1" x="1534"/>
        <item m="1" x="2452"/>
        <item m="1" x="1291"/>
        <item m="1" x="398"/>
        <item m="1" x="1728"/>
        <item m="1" x="2316"/>
        <item m="1" x="1560"/>
        <item m="1" x="2619"/>
        <item m="1" x="469"/>
        <item m="1" x="1769"/>
        <item m="1" x="1889"/>
        <item m="1" x="699"/>
        <item sd="0" m="1" x="2732"/>
        <item m="1" x="569"/>
        <item m="1" x="803"/>
        <item x="17"/>
        <item m="1" x="2453"/>
        <item m="1" x="1995"/>
        <item m="1" x="2454"/>
        <item m="1" x="1296"/>
        <item m="1" x="1866"/>
        <item m="1" x="1731"/>
        <item m="1" x="1537"/>
        <item m="1" x="1609"/>
        <item m="1" x="2574"/>
        <item m="1" x="1538"/>
        <item m="1" x="483"/>
        <item m="1" x="1603"/>
        <item m="1" x="178"/>
        <item m="1" x="1791"/>
        <item m="1" x="1840"/>
        <item m="1" x="958"/>
        <item m="1" x="402"/>
        <item m="1" x="258"/>
        <item sd="0" m="1" x="2725"/>
        <item m="1" x="1033"/>
        <item m="1" x="1798"/>
        <item m="1" x="1013"/>
        <item m="1" x="186"/>
        <item m="1" x="1916"/>
        <item m="1" x="968"/>
        <item m="1" x="2599"/>
        <item m="1" x="2140"/>
        <item m="1" x="796"/>
        <item m="1" x="1540"/>
        <item m="1" x="1541"/>
        <item m="1" x="701"/>
        <item m="1" x="1856"/>
        <item m="1" x="897"/>
        <item m="1" x="1857"/>
        <item m="1" x="2455"/>
        <item m="1" x="2660"/>
        <item m="1" x="1115"/>
        <item m="1" x="2471"/>
        <item m="1" x="1896"/>
        <item m="1" x="680"/>
        <item m="1" x="705"/>
        <item m="1" x="446"/>
        <item m="1" x="1350"/>
        <item m="1" x="600"/>
        <item m="1" x="1001"/>
        <item m="1" x="702"/>
        <item m="1" x="1545"/>
        <item x="2"/>
        <item m="1" x="531"/>
        <item m="1" x="634"/>
        <item m="1" x="814"/>
        <item m="1" x="556"/>
        <item x="21"/>
        <item m="1" x="2679"/>
        <item sd="0" m="1" x="1190"/>
        <item m="1" x="1823"/>
        <item m="1" x="790"/>
        <item m="1" x="2696"/>
        <item m="1" x="1127"/>
        <item m="1" x="845"/>
        <item m="1" x="347"/>
        <item m="1" x="1559"/>
        <item m="1" x="1116"/>
        <item m="1" x="1839"/>
        <item m="1" x="1721"/>
        <item m="1" x="1144"/>
        <item m="1" x="1107"/>
        <item m="1" x="888"/>
        <item m="1" x="1332"/>
        <item m="1" x="1845"/>
        <item sd="0" m="1" x="522"/>
        <item m="1" x="1714"/>
        <item m="1" x="1841"/>
        <item m="1" x="627"/>
        <item m="1" x="409"/>
        <item m="1" x="1040"/>
        <item m="1" x="1862"/>
        <item m="1" x="1969"/>
        <item m="1" x="379"/>
        <item m="1" x="1988"/>
        <item m="1" x="703"/>
        <item m="1" x="187"/>
        <item m="1" x="470"/>
        <item m="1" x="2122"/>
        <item m="1" x="1838"/>
        <item m="1" x="1564"/>
        <item m="1" x="198"/>
        <item x="39"/>
        <item m="1" x="913"/>
        <item m="1" x="1867"/>
        <item m="1" x="2458"/>
        <item m="1" x="1529"/>
        <item m="1" x="2459"/>
        <item m="1" x="2460"/>
        <item m="1" x="2462"/>
        <item m="1" x="830"/>
        <item m="1" x="704"/>
        <item m="1" x="2609"/>
        <item m="1" x="305"/>
        <item m="1" x="953"/>
        <item m="1" x="977"/>
        <item m="1" x="2463"/>
        <item m="1" x="2591"/>
        <item m="1" x="2299"/>
        <item m="1" x="189"/>
        <item m="1" x="2381"/>
        <item m="1" x="2662"/>
        <item m="1" x="228"/>
        <item m="1" x="2457"/>
        <item m="1" x="2032"/>
        <item m="1" x="961"/>
        <item m="1" x="1610"/>
        <item m="1" x="229"/>
        <item m="1" x="1772"/>
        <item m="1" x="1567"/>
        <item m="1" x="362"/>
        <item m="1" x="1029"/>
        <item m="1" x="829"/>
        <item m="1" x="1582"/>
        <item m="1" x="447"/>
        <item m="1" x="1150"/>
        <item sd="0" m="1" x="2736"/>
        <item m="1" x="1178"/>
        <item m="1" x="1514"/>
        <item m="1" x="1583"/>
        <item m="1" x="1584"/>
        <item m="1" x="1134"/>
        <item m="1" x="707"/>
        <item m="1" x="1561"/>
        <item m="1" x="2472"/>
        <item m="1" x="2011"/>
        <item m="1" x="1585"/>
        <item m="1" x="1338"/>
        <item m="1" x="909"/>
        <item m="1" x="700"/>
        <item m="1" x="77"/>
        <item sd="0" m="1" x="2562"/>
        <item m="1" x="1586"/>
        <item m="1" x="2473"/>
        <item m="1" x="1685"/>
        <item m="1" x="564"/>
        <item m="1" x="1110"/>
        <item x="30"/>
        <item m="1" x="2474"/>
        <item m="1" x="2576"/>
        <item m="1" x="2610"/>
        <item m="1" x="1696"/>
        <item m="1" x="1051"/>
        <item m="1" x="2475"/>
        <item m="1" x="2476"/>
        <item m="1" x="1629"/>
        <item m="1" x="2477"/>
        <item m="1" x="1922"/>
        <item m="1" x="2479"/>
        <item m="1" x="2478"/>
        <item m="1" x="1676"/>
        <item m="1" x="1965"/>
        <item m="1" x="2695"/>
        <item m="1" x="496"/>
        <item m="1" x="1990"/>
        <item m="1" x="2689"/>
        <item m="1" x="1590"/>
        <item m="1" x="1155"/>
        <item m="1" x="881"/>
        <item m="1" x="2480"/>
        <item x="11"/>
        <item m="1" x="1960"/>
        <item m="1" x="2481"/>
        <item m="1" x="520"/>
        <item m="1" x="1028"/>
        <item m="1" x="352"/>
        <item m="1" x="2482"/>
        <item m="1" x="504"/>
        <item m="1" x="1496"/>
        <item m="1" x="928"/>
        <item m="1" x="2468"/>
        <item m="1" x="1024"/>
        <item m="1" x="1854"/>
        <item m="1" x="2483"/>
        <item m="1" x="1593"/>
        <item m="1" x="2680"/>
        <item m="1" x="1061"/>
        <item m="1" x="243"/>
        <item m="1" x="191"/>
        <item m="1" x="1579"/>
        <item m="1" x="1595"/>
        <item m="1" x="192"/>
        <item m="1" x="298"/>
        <item m="1" x="1601"/>
        <item m="1" x="962"/>
        <item m="1" x="2485"/>
        <item m="1" x="2124"/>
        <item m="1" x="1421"/>
        <item m="1" x="2005"/>
        <item m="1" x="1648"/>
        <item m="1" x="2125"/>
        <item m="1" x="1184"/>
        <item m="1" x="2676"/>
        <item m="1" x="1604"/>
        <item m="1" x="1558"/>
        <item m="1" x="194"/>
        <item m="1" x="2126"/>
        <item m="1" x="307"/>
        <item m="1" x="588"/>
        <item m="1" x="1168"/>
        <item m="1" x="193"/>
        <item m="1" x="972"/>
        <item m="1" x="413"/>
        <item m="1" x="414"/>
        <item m="1" x="415"/>
        <item m="1" x="169"/>
        <item m="1" x="416"/>
        <item m="1" x="1445"/>
        <item m="1" x="833"/>
        <item m="1" x="2486"/>
        <item m="1" x="1570"/>
        <item m="1" x="855"/>
        <item m="1" x="1533"/>
        <item m="1" x="2487"/>
        <item m="1" x="1842"/>
        <item m="1" x="1773"/>
        <item m="1" x="2488"/>
        <item m="1" x="1563"/>
        <item m="1" x="902"/>
        <item m="1" x="435"/>
        <item m="1" x="860"/>
        <item m="1" x="1121"/>
        <item m="1" x="708"/>
        <item m="1" x="2490"/>
        <item m="1" x="542"/>
        <item m="1" x="1607"/>
        <item m="1" x="1608"/>
        <item m="1" x="1335"/>
        <item sd="0" m="1" x="2719"/>
        <item m="1" x="1864"/>
        <item m="1" x="742"/>
        <item m="1" x="2368"/>
        <item m="1" x="832"/>
        <item m="1" x="1117"/>
        <item m="1" x="239"/>
        <item m="1" x="1426"/>
        <item m="1" x="2492"/>
        <item m="1" x="2493"/>
        <item m="1" x="196"/>
        <item m="1" x="2494"/>
        <item m="1" x="278"/>
        <item sd="0" m="1" x="2740"/>
        <item m="1" x="2069"/>
        <item m="1" x="1797"/>
        <item m="1" x="143"/>
        <item m="1" x="1611"/>
        <item x="42"/>
        <item m="1" x="608"/>
        <item m="1" x="1848"/>
        <item m="1" x="602"/>
        <item m="1" x="1858"/>
        <item m="1" x="1849"/>
        <item m="1" x="1976"/>
        <item m="1" x="1929"/>
        <item m="1" x="603"/>
        <item m="1" x="770"/>
        <item m="1" x="1850"/>
        <item m="1" x="601"/>
        <item m="1" x="606"/>
        <item m="1" x="610"/>
        <item m="1" x="1852"/>
        <item m="1" x="515"/>
        <item sd="0" x="29"/>
        <item m="1" x="1661"/>
        <item x="41"/>
        <item m="1" x="596"/>
        <item m="1" x="1662"/>
        <item m="1" x="514"/>
        <item m="1" x="595"/>
        <item m="1" x="1977"/>
        <item m="1" x="1358"/>
        <item m="1" x="1847"/>
        <item m="1" x="605"/>
        <item m="1" x="1846"/>
        <item m="1" x="609"/>
        <item sd="0" m="1" x="604"/>
        <item x="28"/>
        <item sd="0" m="1" x="2730"/>
        <item sd="0" m="1" x="2735"/>
        <item sd="0" x="26"/>
        <item m="1" x="857"/>
        <item m="1" x="1861"/>
        <item m="1" x="2027"/>
        <item m="1" x="2035"/>
        <item m="1" x="1881"/>
        <item m="1" x="92"/>
        <item m="1" x="1666"/>
        <item m="1" x="1974"/>
        <item m="1" x="1017"/>
        <item m="1" x="805"/>
        <item m="1" x="2699"/>
        <item m="1" x="2427"/>
        <item m="1" x="2446"/>
        <item m="1" x="151"/>
        <item m="1" x="709"/>
        <item m="1" x="1659"/>
        <item m="1" x="421"/>
        <item m="1" x="2067"/>
        <item m="1" x="2495"/>
        <item m="1" x="921"/>
        <item m="1" x="2238"/>
        <item sd="0" m="1" x="2738"/>
        <item m="1" x="1423"/>
        <item m="1" x="582"/>
        <item m="1" x="2123"/>
        <item m="1" x="70"/>
        <item m="1" x="2497"/>
        <item m="1" x="325"/>
        <item m="1" x="2156"/>
        <item m="1" x="2498"/>
        <item m="1" x="2461"/>
        <item m="1" x="1234"/>
        <item m="1" x="934"/>
        <item m="1" x="2672"/>
        <item m="1" x="1067"/>
        <item m="1" x="2256"/>
        <item m="1" x="1308"/>
        <item m="1" x="1669"/>
        <item m="1" x="1446"/>
        <item m="1" x="1154"/>
        <item m="1" x="2127"/>
        <item m="1" x="423"/>
        <item m="1" x="1400"/>
        <item m="1" x="424"/>
        <item m="1" x="1958"/>
        <item m="1" x="197"/>
        <item m="1" x="2499"/>
        <item m="1" x="1673"/>
        <item m="1" x="517"/>
        <item m="1" x="1477"/>
        <item m="1" x="2500"/>
        <item m="1" x="1808"/>
        <item m="1" x="892"/>
        <item m="1" x="1138"/>
        <item m="1" x="275"/>
        <item m="1" x="834"/>
        <item m="1" x="79"/>
        <item m="1" x="910"/>
        <item m="1" x="136"/>
        <item m="1" x="203"/>
        <item m="1" x="2575"/>
        <item m="1" x="2585"/>
        <item m="1" x="939"/>
        <item m="1" x="1366"/>
        <item m="1" x="1136"/>
        <item m="1" x="1605"/>
        <item m="1" x="1226"/>
        <item m="1" x="484"/>
        <item m="1" x="1677"/>
        <item m="1" x="2714"/>
        <item m="1" x="993"/>
        <item m="1" x="1387"/>
        <item m="1" x="1678"/>
        <item m="1" x="1895"/>
        <item m="1" x="1365"/>
        <item m="1" x="1649"/>
        <item m="1" x="1620"/>
        <item m="1" x="1599"/>
        <item m="1" x="1122"/>
        <item m="1" x="489"/>
        <item m="1" x="1352"/>
        <item m="1" x="1616"/>
        <item m="1" x="835"/>
        <item m="1" x="2515"/>
        <item m="1" x="230"/>
        <item m="1" x="533"/>
        <item m="1" x="2501"/>
        <item m="1" x="261"/>
        <item m="1" x="201"/>
        <item m="1" x="285"/>
        <item m="1" x="2502"/>
        <item m="1" x="1187"/>
        <item m="1" x="552"/>
        <item m="1" x="2503"/>
        <item m="1" x="630"/>
        <item m="1" x="859"/>
        <item m="1" x="1975"/>
        <item m="1" x="2504"/>
        <item m="1" x="2713"/>
        <item m="1" x="2694"/>
        <item m="1" x="1076"/>
        <item m="1" x="905"/>
        <item m="1" x="2514"/>
        <item m="1" x="1828"/>
        <item m="1" x="1164"/>
        <item m="1" x="1415"/>
        <item m="1" x="2587"/>
        <item m="1" x="2698"/>
        <item m="1" x="1697"/>
        <item m="1" x="1401"/>
        <item m="1" x="1292"/>
        <item m="1" x="2505"/>
        <item m="1" x="2702"/>
        <item m="1" x="280"/>
        <item m="1" x="879"/>
        <item m="1" x="937"/>
        <item x="34"/>
        <item m="1" x="365"/>
        <item m="1" x="1566"/>
        <item m="1" x="710"/>
        <item m="1" x="490"/>
        <item sd="0" m="1" x="493"/>
        <item m="1" x="711"/>
        <item m="1" x="400"/>
        <item m="1" x="2507"/>
        <item m="1" x="2624"/>
        <item m="1" x="632"/>
        <item m="1" x="2189"/>
        <item m="1" x="1631"/>
        <item m="1" x="2706"/>
        <item m="1" x="729"/>
        <item m="1" x="2617"/>
        <item x="24"/>
        <item m="1" x="1331"/>
        <item m="1" x="838"/>
        <item m="1" x="2022"/>
        <item m="1" x="1689"/>
        <item m="1" x="1690"/>
        <item m="1" x="2308"/>
        <item m="1" x="1794"/>
        <item m="1" x="1173"/>
        <item m="1" x="651"/>
        <item m="1" x="2652"/>
        <item m="1" x="1101"/>
        <item m="1" x="2128"/>
        <item m="1" x="613"/>
        <item m="1" x="137"/>
        <item m="1" x="813"/>
        <item m="1" x="2603"/>
        <item m="1" x="1343"/>
        <item m="1" x="2509"/>
        <item m="1" x="839"/>
        <item m="1" x="1691"/>
        <item m="1" x="121"/>
        <item m="1" x="425"/>
        <item m="1" x="2431"/>
        <item m="1" x="1890"/>
        <item m="1" x="1776"/>
        <item m="1" x="1904"/>
        <item m="1" x="2144"/>
        <item m="1" x="62"/>
        <item m="1" x="1055"/>
        <item m="1" x="840"/>
        <item m="1" x="2383"/>
        <item m="1" x="1578"/>
        <item m="1" x="2510"/>
        <item m="1" x="1660"/>
        <item m="1" x="485"/>
        <item m="1" x="1207"/>
        <item m="1" x="1693"/>
        <item m="1" x="1663"/>
        <item m="1" x="1657"/>
        <item m="1" x="858"/>
        <item m="1" x="2511"/>
        <item m="1" x="2001"/>
        <item m="1" x="841"/>
        <item m="1" x="1411"/>
        <item m="1" x="837"/>
        <item m="1" x="2597"/>
        <item m="1" x="1694"/>
        <item m="1" x="1801"/>
        <item m="1" x="1695"/>
        <item m="1" x="1681"/>
        <item m="1" x="1587"/>
        <item m="1" x="1160"/>
        <item m="1" x="1569"/>
        <item m="1" x="998"/>
        <item m="1" x="856"/>
        <item m="1" x="1166"/>
        <item m="1" x="2512"/>
        <item m="1" x="150"/>
        <item m="1" x="2149"/>
        <item m="1" x="1223"/>
        <item m="1" x="212"/>
        <item m="1" x="918"/>
        <item m="1" x="1989"/>
        <item m="1" x="1979"/>
        <item m="1" x="2268"/>
        <item m="1" x="56"/>
        <item m="1" x="1562"/>
        <item m="1" x="1581"/>
        <item m="1" x="2390"/>
        <item m="1" x="969"/>
        <item m="1" x="473"/>
        <item m="1" x="843"/>
        <item m="1" x="1625"/>
        <item m="1" x="935"/>
        <item m="1" x="2023"/>
        <item m="1" x="1462"/>
        <item m="1" x="2666"/>
        <item m="1" x="2024"/>
        <item x="9"/>
        <item m="1" x="1698"/>
        <item m="1" x="1375"/>
        <item m="1" x="1699"/>
        <item m="1" x="179"/>
        <item m="1" x="2148"/>
        <item m="1" x="589"/>
        <item m="1" x="558"/>
        <item m="1" x="1019"/>
        <item m="1" x="69"/>
        <item m="1" x="199"/>
        <item m="1" x="844"/>
        <item m="1" x="714"/>
        <item m="1" x="2449"/>
        <item m="1" x="715"/>
        <item m="1" x="1670"/>
        <item m="1" x="1407"/>
        <item m="1" x="2130"/>
        <item m="1" x="1702"/>
        <item m="1" x="427"/>
        <item m="1" x="190"/>
        <item m="1" x="1479"/>
        <item m="1" x="679"/>
        <item m="1" x="716"/>
        <item m="1" x="65"/>
        <item m="1" x="1703"/>
        <item m="1" x="1851"/>
        <item m="1" x="717"/>
        <item m="1" x="486"/>
        <item m="1" x="231"/>
        <item m="1" x="2079"/>
        <item m="1" x="2131"/>
        <item m="1" x="1626"/>
        <item m="1" x="2516"/>
        <item m="1" x="1374"/>
        <item m="1" x="1280"/>
        <item m="1" x="927"/>
        <item m="1" x="299"/>
        <item sd="0" m="1" x="2734"/>
        <item m="1" x="1843"/>
        <item m="1" x="1991"/>
        <item m="1" x="200"/>
        <item m="1" x="1859"/>
        <item m="1" x="86"/>
        <item m="1" x="1268"/>
        <item m="1" x="1417"/>
        <item m="1" x="1706"/>
        <item m="1" x="1269"/>
        <item m="1" x="2132"/>
        <item m="1" x="989"/>
        <item m="1" x="1704"/>
        <item m="1" x="637"/>
        <item m="1" x="706"/>
        <item sd="0" m="1" x="640"/>
        <item m="1" x="842"/>
        <item m="1" x="105"/>
        <item m="1" x="173"/>
        <item m="1" x="1495"/>
        <item m="1" x="896"/>
        <item m="1" x="2517"/>
        <item m="1" x="2518"/>
        <item m="1" x="982"/>
        <item m="1" x="2519"/>
        <item m="1" x="718"/>
        <item m="1" x="1705"/>
        <item m="1" x="1519"/>
        <item m="1" x="2644"/>
        <item m="1" x="2640"/>
        <item m="1" x="2520"/>
        <item m="1" x="1025"/>
        <item m="1" x="1182"/>
        <item m="1" x="1946"/>
        <item m="1" x="1635"/>
        <item m="1" x="984"/>
        <item m="1" x="1274"/>
        <item m="1" x="2521"/>
        <item m="1" x="1633"/>
        <item m="1" x="2522"/>
        <item m="1" x="861"/>
        <item m="1" x="1707"/>
        <item m="1" x="1834"/>
        <item m="1" x="1634"/>
        <item m="1" x="2700"/>
        <item m="1" x="127"/>
        <item m="1" x="1032"/>
        <item m="1" x="2203"/>
        <item m="1" x="1404"/>
        <item m="1" x="1494"/>
        <item m="1" x="1770"/>
        <item m="1" x="1983"/>
        <item m="1" x="2523"/>
        <item m="1" x="1709"/>
        <item m="1" x="1777"/>
        <item m="1" x="2525"/>
        <item m="1" x="719"/>
        <item m="1" x="1927"/>
        <item m="1" x="1996"/>
        <item m="1" x="846"/>
        <item m="1" x="2526"/>
        <item m="1" x="2392"/>
        <item m="1" x="519"/>
        <item m="1" x="1086"/>
        <item m="1" x="2059"/>
        <item m="1" x="598"/>
        <item m="1" x="757"/>
        <item m="1" x="535"/>
        <item m="1" x="2133"/>
        <item m="1" x="2527"/>
        <item m="1" x="204"/>
        <item m="1" x="720"/>
        <item x="35"/>
        <item m="1" x="1713"/>
        <item m="1" x="1014"/>
        <item m="1" x="1424"/>
        <item m="1" x="941"/>
        <item m="1" x="2712"/>
        <item m="1" x="420"/>
        <item m="1" x="2528"/>
        <item m="1" x="1391"/>
        <item m="1" x="2012"/>
        <item m="1" x="2573"/>
        <item m="1" x="938"/>
        <item m="1" x="2134"/>
        <item m="1" x="267"/>
        <item m="1" x="2529"/>
        <item m="1" x="1293"/>
        <item m="1" x="614"/>
        <item sd="0" m="1" x="2722"/>
        <item m="1" x="2593"/>
        <item m="1" x="1416"/>
        <item m="1" x="324"/>
        <item m="1" x="428"/>
        <item m="1" x="2530"/>
        <item m="1" x="2029"/>
        <item m="1" x="723"/>
        <item m="1" x="2259"/>
        <item m="1" x="541"/>
        <item m="1" x="1618"/>
        <item m="1" x="1674"/>
        <item m="1" x="1778"/>
        <item m="1" x="911"/>
        <item m="1" x="2531"/>
        <item m="1" x="847"/>
        <item x="23"/>
        <item m="1" x="478"/>
        <item m="1" x="848"/>
        <item m="1" x="929"/>
        <item m="1" x="1844"/>
        <item m="1" x="1715"/>
        <item m="1" x="1710"/>
        <item m="1" x="1004"/>
        <item m="1" x="726"/>
        <item m="1" x="2135"/>
        <item m="1" x="1353"/>
        <item m="1" x="1717"/>
        <item m="1" x="1779"/>
        <item sd="0" m="1" x="465"/>
        <item m="1" x="1260"/>
        <item m="1" x="974"/>
        <item m="1" x="2533"/>
        <item m="1" x="188"/>
        <item m="1" x="2647"/>
        <item m="1" x="2686"/>
        <item m="1" x="866"/>
        <item m="1" x="1811"/>
        <item m="1" x="812"/>
        <item x="43"/>
        <item m="1" x="1718"/>
        <item m="1" x="1719"/>
        <item m="1" x="1398"/>
        <item m="1" x="1720"/>
        <item sd="0" m="1" x="2728"/>
        <item m="1" x="128"/>
        <item m="1" x="205"/>
        <item m="1" x="686"/>
        <item m="1" x="2622"/>
        <item m="1" x="1780"/>
        <item m="1" x="685"/>
        <item m="1" x="2416"/>
        <item m="1" x="2705"/>
        <item m="1" x="1333"/>
        <item m="1" x="1667"/>
        <item m="1" x="2136"/>
        <item m="1" x="1781"/>
        <item m="1" x="329"/>
        <item m="1" x="1724"/>
        <item m="1" x="206"/>
        <item m="1" x="153"/>
        <item m="1" x="2643"/>
        <item m="1" x="849"/>
        <item m="1" x="854"/>
        <item m="1" x="2631"/>
        <item m="1" x="471"/>
        <item m="1" x="2535"/>
        <item m="1" x="1902"/>
        <item m="1" x="722"/>
        <item m="1" x="540"/>
        <item m="1" x="2255"/>
        <item m="1" x="850"/>
        <item m="1" x="183"/>
        <item m="1" x="693"/>
        <item m="1" x="644"/>
        <item m="1" x="1726"/>
        <item m="1" x="967"/>
        <item sd="0" m="1" x="2117"/>
        <item m="1" x="397"/>
        <item m="1" x="1504"/>
        <item x="40"/>
        <item sd="0" m="1" x="2729"/>
        <item m="1" x="1273"/>
        <item m="1" x="2536"/>
        <item m="1" x="2470"/>
        <item m="1" x="429"/>
        <item m="1" x="2537"/>
        <item m="1" x="2538"/>
        <item m="1" x="2569"/>
        <item m="1" x="2539"/>
        <item m="1" x="1460"/>
        <item m="1" x="2058"/>
        <item m="1" x="2540"/>
        <item m="1" x="942"/>
        <item m="1" x="2031"/>
        <item m="1" x="1597"/>
        <item m="1" x="2541"/>
        <item m="1" x="1325"/>
        <item m="1" x="2071"/>
        <item m="1" x="828"/>
        <item m="1" x="430"/>
        <item m="1" x="1356"/>
        <item m="1" x="1031"/>
        <item x="16"/>
        <item m="1" x="1957"/>
        <item m="1" x="1434"/>
        <item m="1" x="874"/>
        <item m="1" x="2542"/>
        <item m="1" x="2543"/>
        <item m="1" x="249"/>
        <item m="1" x="207"/>
        <item m="1" x="2544"/>
        <item m="1" x="2545"/>
        <item m="1" x="2137"/>
        <item m="1" x="2138"/>
        <item m="1" x="1002"/>
        <item m="1" x="134"/>
        <item m="1" x="1732"/>
        <item m="1" x="1326"/>
        <item m="1" x="155"/>
        <item m="1" x="211"/>
        <item m="1" x="1161"/>
        <item x="36"/>
        <item m="1" x="141"/>
        <item m="1" x="2548"/>
        <item m="1" x="508"/>
        <item m="1" x="930"/>
        <item m="1" x="571"/>
        <item m="1" x="2372"/>
        <item m="1" x="2357"/>
        <item m="1" x="241"/>
        <item m="1" x="1733"/>
        <item m="1" x="1734"/>
        <item m="1" x="431"/>
        <item m="1" x="851"/>
        <item m="1" x="2546"/>
        <item m="1" x="532"/>
        <item m="1" x="1521"/>
        <item m="1" x="1554"/>
        <item m="1" x="2547"/>
        <item m="1" x="1782"/>
        <item m="1" x="1903"/>
        <item m="1" x="2549"/>
        <item m="1" x="1735"/>
        <item m="1" x="1650"/>
        <item m="1" x="1736"/>
        <item m="1" x="2708"/>
        <item t="default" sd="0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4"/>
    <field x="0"/>
  </rowFields>
  <rowItems count="1">
    <i t="grand">
      <x/>
    </i>
  </rowItems>
  <colItems count="1">
    <i/>
  </colItems>
  <pageFields count="1">
    <pageField fld="3" hier="-1"/>
  </pageFields>
  <dataFields count="1">
    <dataField name="Total" fld="9" baseField="0" baseItem="0" numFmtId="44"/>
  </dataFields>
  <formats count="9">
    <format dxfId="61">
      <pivotArea collapsedLevelsAreSubtotals="1" fieldPosition="0">
        <references count="1">
          <reference field="4" count="1">
            <x v="275"/>
          </reference>
        </references>
      </pivotArea>
    </format>
    <format dxfId="60">
      <pivotArea collapsedLevelsAreSubtotals="1" fieldPosition="0">
        <references count="1">
          <reference field="4" count="1">
            <x v="664"/>
          </reference>
        </references>
      </pivotArea>
    </format>
    <format dxfId="59">
      <pivotArea collapsedLevelsAreSubtotals="1" fieldPosition="0">
        <references count="1">
          <reference field="4" count="1">
            <x v="789"/>
          </reference>
        </references>
      </pivotArea>
    </format>
    <format dxfId="58">
      <pivotArea collapsedLevelsAreSubtotals="1" fieldPosition="0">
        <references count="1">
          <reference field="4" count="1">
            <x v="1446"/>
          </reference>
        </references>
      </pivotArea>
    </format>
    <format dxfId="57">
      <pivotArea collapsedLevelsAreSubtotals="1" fieldPosition="0">
        <references count="1">
          <reference field="4" count="1">
            <x v="1688"/>
          </reference>
        </references>
      </pivotArea>
    </format>
    <format dxfId="56">
      <pivotArea collapsedLevelsAreSubtotals="1" fieldPosition="0">
        <references count="1">
          <reference field="4" count="1">
            <x v="1989"/>
          </reference>
        </references>
      </pivotArea>
    </format>
    <format dxfId="55">
      <pivotArea dataOnly="0" labelOnly="1" fieldPosition="0">
        <references count="1">
          <reference field="4" count="6">
            <x v="275"/>
            <x v="664"/>
            <x v="789"/>
            <x v="1446"/>
            <x v="1688"/>
            <x v="1989"/>
          </reference>
        </references>
      </pivotArea>
    </format>
    <format dxfId="54">
      <pivotArea field="4" type="button" dataOnly="0" labelOnly="1" outline="0" axis="axisRow" fieldPosition="0"/>
    </format>
    <format dxfId="53">
      <pivotArea dataOnly="0" labelOnly="1" outline="0" axis="axisValues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1AB27F-D2A7-9946-904E-FA81005ACDAE}" name="PivotTable6" cacheId="42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D4:E16" firstHeaderRow="1" firstDataRow="1" firstDataCol="1" rowPageCount="1" colPageCount="1"/>
  <pivotFields count="15">
    <pivotField showAll="0"/>
    <pivotField numFmtId="165" showAll="0"/>
    <pivotField axis="axisRow" showAll="0" measureFilter="1" sortType="ascending">
      <items count="537">
        <item m="1" x="433"/>
        <item x="0"/>
        <item x="1"/>
        <item x="2"/>
        <item m="1" x="209"/>
        <item x="3"/>
        <item m="1" x="352"/>
        <item m="1" x="358"/>
        <item m="1" x="215"/>
        <item m="1" x="182"/>
        <item m="1" x="297"/>
        <item m="1" x="373"/>
        <item m="1" x="192"/>
        <item m="1" x="381"/>
        <item m="1" x="202"/>
        <item m="1" x="303"/>
        <item x="4"/>
        <item x="5"/>
        <item x="6"/>
        <item m="1" x="533"/>
        <item m="1" x="295"/>
        <item m="1" x="184"/>
        <item m="1" x="488"/>
        <item x="7"/>
        <item m="1" x="510"/>
        <item x="8"/>
        <item x="9"/>
        <item x="10"/>
        <item m="1" x="426"/>
        <item x="11"/>
        <item x="12"/>
        <item x="13"/>
        <item x="14"/>
        <item m="1" x="413"/>
        <item m="1" x="518"/>
        <item m="1" x="385"/>
        <item m="1" x="392"/>
        <item x="15"/>
        <item x="16"/>
        <item m="1" x="504"/>
        <item x="17"/>
        <item m="1" x="447"/>
        <item m="1" x="481"/>
        <item x="18"/>
        <item x="19"/>
        <item m="1" x="347"/>
        <item m="1" x="354"/>
        <item m="1" x="411"/>
        <item m="1" x="418"/>
        <item m="1" x="186"/>
        <item x="20"/>
        <item m="1" x="277"/>
        <item m="1" x="214"/>
        <item x="21"/>
        <item m="1" x="479"/>
        <item m="1" x="436"/>
        <item x="22"/>
        <item m="1" x="367"/>
        <item m="1" x="267"/>
        <item x="23"/>
        <item m="1" x="219"/>
        <item x="24"/>
        <item m="1" x="265"/>
        <item m="1" x="357"/>
        <item x="25"/>
        <item x="26"/>
        <item x="27"/>
        <item m="1" x="228"/>
        <item m="1" x="485"/>
        <item x="28"/>
        <item m="1" x="469"/>
        <item m="1" x="394"/>
        <item x="29"/>
        <item m="1" x="435"/>
        <item x="30"/>
        <item m="1" x="248"/>
        <item x="31"/>
        <item x="32"/>
        <item x="33"/>
        <item x="34"/>
        <item x="35"/>
        <item m="1" x="482"/>
        <item x="36"/>
        <item m="1" x="226"/>
        <item m="1" x="235"/>
        <item x="37"/>
        <item m="1" x="283"/>
        <item x="38"/>
        <item m="1" x="213"/>
        <item m="1" x="274"/>
        <item m="1" x="425"/>
        <item m="1" x="205"/>
        <item m="1" x="345"/>
        <item m="1" x="532"/>
        <item m="1" x="346"/>
        <item m="1" x="443"/>
        <item m="1" x="331"/>
        <item m="1" x="396"/>
        <item m="1" x="253"/>
        <item x="39"/>
        <item m="1" x="501"/>
        <item m="1" x="387"/>
        <item x="40"/>
        <item m="1" x="355"/>
        <item x="41"/>
        <item x="42"/>
        <item x="43"/>
        <item x="44"/>
        <item x="45"/>
        <item m="1" x="289"/>
        <item m="1" x="475"/>
        <item m="1" x="521"/>
        <item m="1" x="200"/>
        <item m="1" x="376"/>
        <item m="1" x="221"/>
        <item m="1" x="270"/>
        <item x="46"/>
        <item m="1" x="431"/>
        <item m="1" x="292"/>
        <item m="1" x="414"/>
        <item m="1" x="375"/>
        <item m="1" x="471"/>
        <item x="47"/>
        <item m="1" x="393"/>
        <item x="48"/>
        <item m="1" x="494"/>
        <item x="49"/>
        <item x="50"/>
        <item m="1" x="183"/>
        <item x="51"/>
        <item m="1" x="416"/>
        <item x="52"/>
        <item m="1" x="290"/>
        <item m="1" x="341"/>
        <item m="1" x="439"/>
        <item m="1" x="257"/>
        <item m="1" x="340"/>
        <item m="1" x="256"/>
        <item x="53"/>
        <item m="1" x="203"/>
        <item x="54"/>
        <item x="55"/>
        <item x="56"/>
        <item m="1" x="529"/>
        <item x="57"/>
        <item m="1" x="461"/>
        <item m="1" x="415"/>
        <item x="58"/>
        <item m="1" x="238"/>
        <item x="59"/>
        <item x="60"/>
        <item m="1" x="452"/>
        <item m="1" x="457"/>
        <item x="61"/>
        <item m="1" x="508"/>
        <item m="1" x="208"/>
        <item m="1" x="321"/>
        <item m="1" x="390"/>
        <item x="62"/>
        <item m="1" x="293"/>
        <item m="1" x="232"/>
        <item m="1" x="366"/>
        <item m="1" x="310"/>
        <item x="63"/>
        <item m="1" x="400"/>
        <item m="1" x="446"/>
        <item m="1" x="251"/>
        <item x="64"/>
        <item x="65"/>
        <item m="1" x="349"/>
        <item x="66"/>
        <item x="67"/>
        <item m="1" x="259"/>
        <item m="1" x="519"/>
        <item x="68"/>
        <item m="1" x="490"/>
        <item x="69"/>
        <item m="1" x="344"/>
        <item m="1" x="255"/>
        <item x="70"/>
        <item x="71"/>
        <item m="1" x="406"/>
        <item x="72"/>
        <item m="1" x="458"/>
        <item x="73"/>
        <item m="1" x="196"/>
        <item m="1" x="314"/>
        <item m="1" x="419"/>
        <item x="74"/>
        <item x="75"/>
        <item x="76"/>
        <item m="1" x="404"/>
        <item m="1" x="302"/>
        <item m="1" x="372"/>
        <item m="1" x="316"/>
        <item x="77"/>
        <item m="1" x="279"/>
        <item m="1" x="276"/>
        <item m="1" x="361"/>
        <item m="1" x="468"/>
        <item m="1" x="371"/>
        <item m="1" x="258"/>
        <item m="1" x="260"/>
        <item m="1" x="430"/>
        <item m="1" x="187"/>
        <item x="78"/>
        <item x="79"/>
        <item x="80"/>
        <item m="1" x="227"/>
        <item m="1" x="427"/>
        <item x="81"/>
        <item m="1" x="395"/>
        <item m="1" x="407"/>
        <item m="1" x="473"/>
        <item m="1" x="445"/>
        <item m="1" x="405"/>
        <item m="1" x="252"/>
        <item m="1" x="464"/>
        <item x="82"/>
        <item m="1" x="230"/>
        <item x="83"/>
        <item m="1" x="514"/>
        <item m="1" x="456"/>
        <item m="1" x="517"/>
        <item m="1" x="325"/>
        <item m="1" x="422"/>
        <item m="1" x="505"/>
        <item m="1" x="241"/>
        <item x="84"/>
        <item m="1" x="195"/>
        <item m="1" x="233"/>
        <item x="85"/>
        <item m="1" x="286"/>
        <item m="1" x="250"/>
        <item x="86"/>
        <item m="1" x="189"/>
        <item m="1" x="470"/>
        <item x="87"/>
        <item x="88"/>
        <item x="89"/>
        <item m="1" x="465"/>
        <item x="90"/>
        <item x="91"/>
        <item m="1" x="489"/>
        <item m="1" x="268"/>
        <item m="1" x="300"/>
        <item m="1" x="360"/>
        <item x="92"/>
        <item m="1" x="315"/>
        <item m="1" x="263"/>
        <item m="1" x="278"/>
        <item m="1" x="199"/>
        <item m="1" x="486"/>
        <item m="1" x="454"/>
        <item m="1" x="211"/>
        <item m="1" x="317"/>
        <item x="93"/>
        <item m="1" x="298"/>
        <item m="1" x="288"/>
        <item x="94"/>
        <item m="1" x="448"/>
        <item x="95"/>
        <item m="1" x="307"/>
        <item m="1" x="294"/>
        <item m="1" x="450"/>
        <item m="1" x="190"/>
        <item m="1" x="512"/>
        <item x="96"/>
        <item x="97"/>
        <item x="98"/>
        <item m="1" x="516"/>
        <item m="1" x="365"/>
        <item m="1" x="242"/>
        <item m="1" x="377"/>
        <item m="1" x="491"/>
        <item x="99"/>
        <item m="1" x="472"/>
        <item x="100"/>
        <item m="1" x="384"/>
        <item x="101"/>
        <item x="102"/>
        <item m="1" x="309"/>
        <item m="1" x="311"/>
        <item x="103"/>
        <item x="104"/>
        <item m="1" x="291"/>
        <item m="1" x="338"/>
        <item m="1" x="285"/>
        <item m="1" x="306"/>
        <item x="105"/>
        <item m="1" x="386"/>
        <item m="1" x="197"/>
        <item m="1" x="528"/>
        <item m="1" x="223"/>
        <item m="1" x="275"/>
        <item m="1" x="194"/>
        <item x="106"/>
        <item m="1" x="403"/>
        <item m="1" x="525"/>
        <item m="1" x="324"/>
        <item m="1" x="201"/>
        <item m="1" x="243"/>
        <item x="107"/>
        <item m="1" x="434"/>
        <item m="1" x="362"/>
        <item x="108"/>
        <item m="1" x="363"/>
        <item m="1" x="437"/>
        <item m="1" x="339"/>
        <item m="1" x="329"/>
        <item m="1" x="284"/>
        <item m="1" x="441"/>
        <item x="109"/>
        <item m="1" x="244"/>
        <item x="110"/>
        <item m="1" x="225"/>
        <item m="1" x="442"/>
        <item m="1" x="402"/>
        <item m="1" x="333"/>
        <item m="1" x="224"/>
        <item x="111"/>
        <item m="1" x="217"/>
        <item m="1" x="188"/>
        <item x="112"/>
        <item m="1" x="383"/>
        <item x="113"/>
        <item m="1" x="212"/>
        <item m="1" x="313"/>
        <item x="114"/>
        <item m="1" x="507"/>
        <item x="115"/>
        <item x="116"/>
        <item m="1" x="493"/>
        <item x="117"/>
        <item m="1" x="330"/>
        <item m="1" x="389"/>
        <item m="1" x="234"/>
        <item m="1" x="408"/>
        <item x="118"/>
        <item x="119"/>
        <item m="1" x="220"/>
        <item m="1" x="506"/>
        <item m="1" x="391"/>
        <item x="120"/>
        <item m="1" x="266"/>
        <item m="1" x="509"/>
        <item m="1" x="374"/>
        <item x="121"/>
        <item m="1" x="359"/>
        <item m="1" x="305"/>
        <item m="1" x="282"/>
        <item x="122"/>
        <item m="1" x="280"/>
        <item x="123"/>
        <item x="124"/>
        <item m="1" x="356"/>
        <item m="1" x="327"/>
        <item m="1" x="398"/>
        <item m="1" x="246"/>
        <item m="1" x="498"/>
        <item x="125"/>
        <item x="126"/>
        <item m="1" x="451"/>
        <item x="127"/>
        <item m="1" x="530"/>
        <item m="1" x="388"/>
        <item x="128"/>
        <item m="1" x="206"/>
        <item m="1" x="191"/>
        <item m="1" x="322"/>
        <item x="129"/>
        <item m="1" x="417"/>
        <item m="1" x="308"/>
        <item m="1" x="534"/>
        <item m="1" x="440"/>
        <item m="1" x="254"/>
        <item x="130"/>
        <item m="1" x="455"/>
        <item m="1" x="523"/>
        <item x="131"/>
        <item m="1" x="296"/>
        <item x="132"/>
        <item x="133"/>
        <item m="1" x="474"/>
        <item m="1" x="334"/>
        <item m="1" x="531"/>
        <item m="1" x="229"/>
        <item x="134"/>
        <item x="135"/>
        <item m="1" x="535"/>
        <item m="1" x="476"/>
        <item x="136"/>
        <item x="137"/>
        <item m="1" x="239"/>
        <item m="1" x="478"/>
        <item x="138"/>
        <item x="139"/>
        <item x="140"/>
        <item m="1" x="423"/>
        <item m="1" x="401"/>
        <item m="1" x="193"/>
        <item x="141"/>
        <item m="1" x="397"/>
        <item m="1" x="526"/>
        <item x="142"/>
        <item m="1" x="271"/>
        <item x="143"/>
        <item m="1" x="428"/>
        <item x="144"/>
        <item x="145"/>
        <item x="146"/>
        <item x="147"/>
        <item x="148"/>
        <item m="1" x="247"/>
        <item x="149"/>
        <item m="1" x="502"/>
        <item m="1" x="207"/>
        <item m="1" x="222"/>
        <item m="1" x="462"/>
        <item m="1" x="520"/>
        <item m="1" x="410"/>
        <item m="1" x="336"/>
        <item m="1" x="511"/>
        <item m="1" x="328"/>
        <item m="1" x="424"/>
        <item m="1" x="421"/>
        <item m="1" x="499"/>
        <item m="1" x="515"/>
        <item m="1" x="527"/>
        <item m="1" x="379"/>
        <item x="150"/>
        <item m="1" x="369"/>
        <item x="151"/>
        <item m="1" x="237"/>
        <item m="1" x="323"/>
        <item x="152"/>
        <item x="153"/>
        <item x="154"/>
        <item m="1" x="348"/>
        <item m="1" x="236"/>
        <item x="155"/>
        <item x="156"/>
        <item m="1" x="483"/>
        <item m="1" x="420"/>
        <item m="1" x="503"/>
        <item m="1" x="332"/>
        <item m="1" x="204"/>
        <item m="1" x="460"/>
        <item x="157"/>
        <item x="158"/>
        <item m="1" x="326"/>
        <item m="1" x="513"/>
        <item x="159"/>
        <item m="1" x="351"/>
        <item m="1" x="216"/>
        <item m="1" x="262"/>
        <item m="1" x="320"/>
        <item m="1" x="453"/>
        <item m="1" x="272"/>
        <item m="1" x="500"/>
        <item x="160"/>
        <item m="1" x="484"/>
        <item m="1" x="231"/>
        <item m="1" x="399"/>
        <item x="161"/>
        <item m="1" x="304"/>
        <item m="1" x="382"/>
        <item m="1" x="318"/>
        <item m="1" x="319"/>
        <item m="1" x="429"/>
        <item m="1" x="378"/>
        <item m="1" x="269"/>
        <item m="1" x="496"/>
        <item m="1" x="281"/>
        <item m="1" x="495"/>
        <item m="1" x="301"/>
        <item x="162"/>
        <item x="163"/>
        <item m="1" x="353"/>
        <item m="1" x="210"/>
        <item m="1" x="343"/>
        <item m="1" x="312"/>
        <item m="1" x="497"/>
        <item m="1" x="185"/>
        <item m="1" x="350"/>
        <item m="1" x="249"/>
        <item m="1" x="368"/>
        <item m="1" x="438"/>
        <item m="1" x="264"/>
        <item m="1" x="342"/>
        <item m="1" x="198"/>
        <item m="1" x="240"/>
        <item m="1" x="467"/>
        <item x="164"/>
        <item m="1" x="337"/>
        <item m="1" x="524"/>
        <item m="1" x="299"/>
        <item x="165"/>
        <item m="1" x="459"/>
        <item m="1" x="218"/>
        <item m="1" x="466"/>
        <item m="1" x="492"/>
        <item x="166"/>
        <item m="1" x="477"/>
        <item m="1" x="449"/>
        <item m="1" x="409"/>
        <item m="1" x="480"/>
        <item x="167"/>
        <item m="1" x="522"/>
        <item x="168"/>
        <item m="1" x="261"/>
        <item m="1" x="245"/>
        <item m="1" x="412"/>
        <item m="1" x="432"/>
        <item x="169"/>
        <item m="1" x="444"/>
        <item m="1" x="370"/>
        <item x="170"/>
        <item x="171"/>
        <item x="172"/>
        <item m="1" x="287"/>
        <item m="1" x="273"/>
        <item x="173"/>
        <item m="1" x="487"/>
        <item x="174"/>
        <item m="1" x="463"/>
        <item x="175"/>
        <item m="1" x="335"/>
        <item x="176"/>
        <item m="1" x="380"/>
        <item m="1" x="364"/>
        <item x="177"/>
        <item x="178"/>
        <item x="179"/>
        <item x="180"/>
        <item m="1" x="181"/>
        <item t="default"/>
      </items>
    </pivotField>
    <pivotField axis="axisPage" multipleItemSelectionAllowed="1" showAll="0">
      <items count="41">
        <item h="1" x="2"/>
        <item h="1" x="7"/>
        <item h="1" x="3"/>
        <item h="1" m="1" x="35"/>
        <item h="1" x="20"/>
        <item h="1" m="1" x="32"/>
        <item h="1" x="5"/>
        <item h="1" x="6"/>
        <item h="1" x="11"/>
        <item h="1" x="15"/>
        <item h="1" m="1" x="30"/>
        <item h="1" x="1"/>
        <item h="1" x="16"/>
        <item h="1" x="21"/>
        <item h="1" x="19"/>
        <item h="1" x="8"/>
        <item h="1" x="0"/>
        <item h="1" x="9"/>
        <item h="1" x="13"/>
        <item h="1" x="4"/>
        <item x="10"/>
        <item h="1" m="1" x="38"/>
        <item h="1" m="1" x="33"/>
        <item h="1" m="1" x="26"/>
        <item h="1" x="12"/>
        <item h="1" m="1" x="28"/>
        <item h="1" m="1" x="36"/>
        <item h="1" m="1" x="37"/>
        <item h="1" m="1" x="29"/>
        <item h="1" m="1" x="39"/>
        <item h="1" m="1" x="23"/>
        <item h="1" m="1" x="31"/>
        <item h="1" m="1" x="25"/>
        <item h="1" x="17"/>
        <item h="1" m="1" x="34"/>
        <item h="1" x="14"/>
        <item h="1" m="1" x="24"/>
        <item h="1" m="1" x="27"/>
        <item h="1" x="18"/>
        <item h="1" x="22"/>
        <item t="default"/>
      </items>
    </pivotField>
    <pivotField showAll="0"/>
    <pivotField numFmtId="4" showAll="0"/>
    <pivotField numFmtId="4" showAll="0"/>
    <pivotField dataField="1" numFmtId="4" showAll="0"/>
    <pivotField numFmtId="4" showAll="0"/>
    <pivotField numFmtId="4" showAll="0"/>
    <pivotField numFmtId="166" showAll="0"/>
    <pivotField showAll="0"/>
    <pivotField showAll="0"/>
    <pivotField showAll="0"/>
    <pivotField showAll="0"/>
  </pivotFields>
  <rowFields count="1">
    <field x="2"/>
  </rowFields>
  <rowItems count="12">
    <i>
      <x v="40"/>
    </i>
    <i>
      <x v="64"/>
    </i>
    <i>
      <x v="65"/>
    </i>
    <i>
      <x v="106"/>
    </i>
    <i>
      <x v="323"/>
    </i>
    <i>
      <x v="408"/>
    </i>
    <i>
      <x v="493"/>
    </i>
    <i>
      <x v="502"/>
    </i>
    <i>
      <x v="517"/>
    </i>
    <i>
      <x v="518"/>
    </i>
    <i>
      <x v="524"/>
    </i>
    <i t="grand">
      <x/>
    </i>
  </rowItems>
  <colItems count="1">
    <i/>
  </colItems>
  <pageFields count="1">
    <pageField fld="3" hier="-1"/>
  </pageFields>
  <dataFields count="1">
    <dataField name="Total" fld="7" baseField="0" baseItem="0" numFmtId="44"/>
  </dataFields>
  <formats count="2">
    <format dxfId="63">
      <pivotArea field="2" type="button" dataOnly="0" labelOnly="1" outline="0" axis="axisRow" fieldPosition="0"/>
    </format>
    <format dxfId="62">
      <pivotArea dataOnly="0" labelOnly="1" outline="0" axis="axisValues" fieldPosition="0"/>
    </format>
  </formats>
  <pivotTableStyleInfo name="PivotStyleLight16" showRowHeaders="1" showColHeaders="1" showRowStripes="1" showColStripes="0" showLastColumn="1"/>
  <filters count="1">
    <filter fld="2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DBC1B-9CF4-0249-9CEB-0D842DE38807}" name="PivotTable6" cacheId="42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D4:E5" firstHeaderRow="1" firstDataRow="1" firstDataCol="1" rowPageCount="1" colPageCount="1"/>
  <pivotFields count="15">
    <pivotField showAll="0"/>
    <pivotField numFmtId="165" showAll="0"/>
    <pivotField axis="axisRow" showAll="0" measureFilter="1" sortType="ascending">
      <items count="537">
        <item m="1" x="433"/>
        <item x="0"/>
        <item x="1"/>
        <item x="2"/>
        <item m="1" x="209"/>
        <item x="3"/>
        <item m="1" x="352"/>
        <item m="1" x="358"/>
        <item m="1" x="215"/>
        <item m="1" x="182"/>
        <item m="1" x="297"/>
        <item m="1" x="373"/>
        <item m="1" x="192"/>
        <item m="1" x="381"/>
        <item m="1" x="202"/>
        <item m="1" x="303"/>
        <item x="4"/>
        <item x="5"/>
        <item x="6"/>
        <item m="1" x="533"/>
        <item m="1" x="295"/>
        <item m="1" x="184"/>
        <item m="1" x="488"/>
        <item x="7"/>
        <item m="1" x="510"/>
        <item x="8"/>
        <item x="9"/>
        <item x="10"/>
        <item m="1" x="426"/>
        <item x="11"/>
        <item x="12"/>
        <item x="13"/>
        <item x="14"/>
        <item m="1" x="413"/>
        <item m="1" x="518"/>
        <item m="1" x="385"/>
        <item m="1" x="392"/>
        <item x="15"/>
        <item x="16"/>
        <item m="1" x="504"/>
        <item x="17"/>
        <item m="1" x="447"/>
        <item m="1" x="481"/>
        <item x="18"/>
        <item x="19"/>
        <item m="1" x="347"/>
        <item m="1" x="354"/>
        <item m="1" x="411"/>
        <item m="1" x="418"/>
        <item m="1" x="186"/>
        <item x="20"/>
        <item m="1" x="277"/>
        <item m="1" x="214"/>
        <item x="21"/>
        <item m="1" x="479"/>
        <item m="1" x="436"/>
        <item x="22"/>
        <item m="1" x="367"/>
        <item m="1" x="267"/>
        <item x="23"/>
        <item m="1" x="219"/>
        <item x="24"/>
        <item m="1" x="265"/>
        <item m="1" x="357"/>
        <item x="25"/>
        <item x="26"/>
        <item x="27"/>
        <item m="1" x="228"/>
        <item m="1" x="485"/>
        <item x="28"/>
        <item m="1" x="469"/>
        <item m="1" x="394"/>
        <item x="29"/>
        <item m="1" x="435"/>
        <item x="30"/>
        <item m="1" x="248"/>
        <item x="31"/>
        <item x="32"/>
        <item x="33"/>
        <item x="34"/>
        <item x="35"/>
        <item m="1" x="482"/>
        <item x="36"/>
        <item m="1" x="226"/>
        <item m="1" x="235"/>
        <item x="37"/>
        <item m="1" x="283"/>
        <item x="38"/>
        <item m="1" x="213"/>
        <item m="1" x="274"/>
        <item m="1" x="425"/>
        <item m="1" x="205"/>
        <item m="1" x="345"/>
        <item m="1" x="532"/>
        <item m="1" x="346"/>
        <item m="1" x="443"/>
        <item m="1" x="331"/>
        <item m="1" x="396"/>
        <item m="1" x="253"/>
        <item x="39"/>
        <item m="1" x="501"/>
        <item m="1" x="387"/>
        <item x="40"/>
        <item m="1" x="355"/>
        <item x="41"/>
        <item x="42"/>
        <item x="43"/>
        <item x="44"/>
        <item x="45"/>
        <item m="1" x="289"/>
        <item m="1" x="475"/>
        <item m="1" x="521"/>
        <item m="1" x="200"/>
        <item m="1" x="376"/>
        <item m="1" x="221"/>
        <item m="1" x="270"/>
        <item x="46"/>
        <item m="1" x="431"/>
        <item m="1" x="292"/>
        <item m="1" x="414"/>
        <item m="1" x="375"/>
        <item m="1" x="471"/>
        <item x="47"/>
        <item m="1" x="393"/>
        <item x="48"/>
        <item m="1" x="494"/>
        <item x="49"/>
        <item x="50"/>
        <item m="1" x="183"/>
        <item x="51"/>
        <item m="1" x="416"/>
        <item x="52"/>
        <item m="1" x="290"/>
        <item m="1" x="341"/>
        <item m="1" x="439"/>
        <item m="1" x="257"/>
        <item m="1" x="340"/>
        <item m="1" x="256"/>
        <item x="53"/>
        <item m="1" x="203"/>
        <item x="54"/>
        <item x="55"/>
        <item x="56"/>
        <item m="1" x="529"/>
        <item x="57"/>
        <item m="1" x="461"/>
        <item m="1" x="415"/>
        <item x="58"/>
        <item m="1" x="238"/>
        <item x="59"/>
        <item x="60"/>
        <item m="1" x="452"/>
        <item m="1" x="457"/>
        <item x="61"/>
        <item m="1" x="508"/>
        <item m="1" x="208"/>
        <item m="1" x="321"/>
        <item m="1" x="390"/>
        <item x="62"/>
        <item m="1" x="293"/>
        <item m="1" x="232"/>
        <item m="1" x="366"/>
        <item m="1" x="310"/>
        <item x="63"/>
        <item m="1" x="400"/>
        <item m="1" x="446"/>
        <item m="1" x="251"/>
        <item x="64"/>
        <item x="65"/>
        <item m="1" x="349"/>
        <item x="66"/>
        <item x="67"/>
        <item m="1" x="259"/>
        <item m="1" x="519"/>
        <item x="68"/>
        <item m="1" x="490"/>
        <item x="69"/>
        <item m="1" x="344"/>
        <item m="1" x="255"/>
        <item x="70"/>
        <item x="71"/>
        <item m="1" x="406"/>
        <item x="72"/>
        <item m="1" x="458"/>
        <item x="73"/>
        <item m="1" x="196"/>
        <item m="1" x="314"/>
        <item m="1" x="419"/>
        <item x="74"/>
        <item x="75"/>
        <item x="76"/>
        <item m="1" x="404"/>
        <item m="1" x="302"/>
        <item m="1" x="372"/>
        <item m="1" x="316"/>
        <item x="77"/>
        <item m="1" x="279"/>
        <item m="1" x="276"/>
        <item m="1" x="361"/>
        <item m="1" x="468"/>
        <item m="1" x="371"/>
        <item m="1" x="258"/>
        <item m="1" x="260"/>
        <item m="1" x="430"/>
        <item m="1" x="187"/>
        <item x="78"/>
        <item x="79"/>
        <item x="80"/>
        <item m="1" x="227"/>
        <item m="1" x="427"/>
        <item x="81"/>
        <item m="1" x="395"/>
        <item m="1" x="407"/>
        <item m="1" x="473"/>
        <item m="1" x="445"/>
        <item m="1" x="405"/>
        <item m="1" x="252"/>
        <item m="1" x="464"/>
        <item x="82"/>
        <item m="1" x="230"/>
        <item x="83"/>
        <item m="1" x="514"/>
        <item m="1" x="456"/>
        <item m="1" x="517"/>
        <item m="1" x="325"/>
        <item m="1" x="422"/>
        <item m="1" x="505"/>
        <item m="1" x="241"/>
        <item x="84"/>
        <item m="1" x="195"/>
        <item m="1" x="233"/>
        <item x="85"/>
        <item m="1" x="286"/>
        <item m="1" x="250"/>
        <item x="86"/>
        <item m="1" x="189"/>
        <item m="1" x="470"/>
        <item x="87"/>
        <item x="88"/>
        <item x="89"/>
        <item m="1" x="465"/>
        <item x="90"/>
        <item x="91"/>
        <item m="1" x="489"/>
        <item m="1" x="268"/>
        <item m="1" x="300"/>
        <item m="1" x="360"/>
        <item x="92"/>
        <item m="1" x="315"/>
        <item m="1" x="263"/>
        <item m="1" x="278"/>
        <item m="1" x="199"/>
        <item m="1" x="486"/>
        <item m="1" x="454"/>
        <item m="1" x="211"/>
        <item m="1" x="317"/>
        <item x="93"/>
        <item m="1" x="298"/>
        <item m="1" x="288"/>
        <item x="94"/>
        <item m="1" x="448"/>
        <item x="95"/>
        <item m="1" x="307"/>
        <item m="1" x="294"/>
        <item m="1" x="450"/>
        <item m="1" x="190"/>
        <item m="1" x="512"/>
        <item x="96"/>
        <item x="97"/>
        <item x="98"/>
        <item m="1" x="516"/>
        <item m="1" x="365"/>
        <item m="1" x="242"/>
        <item m="1" x="377"/>
        <item m="1" x="491"/>
        <item x="99"/>
        <item m="1" x="472"/>
        <item x="100"/>
        <item m="1" x="384"/>
        <item x="101"/>
        <item x="102"/>
        <item m="1" x="309"/>
        <item m="1" x="311"/>
        <item x="103"/>
        <item x="104"/>
        <item m="1" x="291"/>
        <item m="1" x="338"/>
        <item m="1" x="285"/>
        <item m="1" x="306"/>
        <item x="105"/>
        <item m="1" x="386"/>
        <item m="1" x="197"/>
        <item m="1" x="528"/>
        <item m="1" x="223"/>
        <item m="1" x="275"/>
        <item m="1" x="194"/>
        <item x="106"/>
        <item m="1" x="403"/>
        <item m="1" x="525"/>
        <item m="1" x="324"/>
        <item m="1" x="201"/>
        <item m="1" x="243"/>
        <item x="107"/>
        <item m="1" x="434"/>
        <item m="1" x="362"/>
        <item x="108"/>
        <item m="1" x="363"/>
        <item m="1" x="437"/>
        <item m="1" x="339"/>
        <item m="1" x="329"/>
        <item m="1" x="284"/>
        <item m="1" x="441"/>
        <item x="109"/>
        <item m="1" x="244"/>
        <item x="110"/>
        <item m="1" x="225"/>
        <item m="1" x="442"/>
        <item m="1" x="402"/>
        <item m="1" x="333"/>
        <item m="1" x="224"/>
        <item x="111"/>
        <item m="1" x="217"/>
        <item m="1" x="188"/>
        <item x="112"/>
        <item m="1" x="383"/>
        <item x="113"/>
        <item m="1" x="212"/>
        <item m="1" x="313"/>
        <item x="114"/>
        <item m="1" x="507"/>
        <item x="115"/>
        <item x="116"/>
        <item m="1" x="493"/>
        <item x="117"/>
        <item m="1" x="330"/>
        <item m="1" x="389"/>
        <item m="1" x="234"/>
        <item m="1" x="408"/>
        <item x="118"/>
        <item x="119"/>
        <item m="1" x="220"/>
        <item m="1" x="506"/>
        <item m="1" x="391"/>
        <item x="120"/>
        <item m="1" x="266"/>
        <item m="1" x="509"/>
        <item m="1" x="374"/>
        <item x="121"/>
        <item m="1" x="359"/>
        <item m="1" x="305"/>
        <item m="1" x="282"/>
        <item x="122"/>
        <item m="1" x="280"/>
        <item x="123"/>
        <item x="124"/>
        <item m="1" x="356"/>
        <item m="1" x="327"/>
        <item m="1" x="398"/>
        <item m="1" x="246"/>
        <item m="1" x="498"/>
        <item x="125"/>
        <item x="126"/>
        <item m="1" x="451"/>
        <item x="127"/>
        <item m="1" x="530"/>
        <item m="1" x="388"/>
        <item x="128"/>
        <item m="1" x="206"/>
        <item m="1" x="191"/>
        <item m="1" x="322"/>
        <item x="129"/>
        <item m="1" x="417"/>
        <item m="1" x="308"/>
        <item m="1" x="534"/>
        <item m="1" x="440"/>
        <item m="1" x="254"/>
        <item x="130"/>
        <item m="1" x="455"/>
        <item m="1" x="523"/>
        <item x="131"/>
        <item m="1" x="296"/>
        <item x="132"/>
        <item x="133"/>
        <item m="1" x="474"/>
        <item m="1" x="334"/>
        <item m="1" x="531"/>
        <item m="1" x="229"/>
        <item x="134"/>
        <item x="135"/>
        <item m="1" x="535"/>
        <item m="1" x="476"/>
        <item x="136"/>
        <item x="137"/>
        <item m="1" x="239"/>
        <item m="1" x="478"/>
        <item x="138"/>
        <item x="139"/>
        <item x="140"/>
        <item m="1" x="423"/>
        <item m="1" x="401"/>
        <item m="1" x="193"/>
        <item x="141"/>
        <item m="1" x="397"/>
        <item m="1" x="526"/>
        <item x="142"/>
        <item m="1" x="271"/>
        <item x="143"/>
        <item m="1" x="428"/>
        <item x="144"/>
        <item x="145"/>
        <item x="146"/>
        <item x="147"/>
        <item x="148"/>
        <item m="1" x="247"/>
        <item x="149"/>
        <item m="1" x="502"/>
        <item m="1" x="207"/>
        <item m="1" x="222"/>
        <item m="1" x="462"/>
        <item m="1" x="520"/>
        <item m="1" x="410"/>
        <item m="1" x="336"/>
        <item m="1" x="511"/>
        <item m="1" x="328"/>
        <item m="1" x="424"/>
        <item m="1" x="421"/>
        <item m="1" x="499"/>
        <item m="1" x="515"/>
        <item m="1" x="527"/>
        <item m="1" x="379"/>
        <item x="150"/>
        <item m="1" x="369"/>
        <item x="151"/>
        <item m="1" x="237"/>
        <item m="1" x="323"/>
        <item x="152"/>
        <item x="153"/>
        <item x="154"/>
        <item m="1" x="348"/>
        <item m="1" x="236"/>
        <item x="155"/>
        <item x="156"/>
        <item m="1" x="483"/>
        <item m="1" x="420"/>
        <item m="1" x="503"/>
        <item m="1" x="332"/>
        <item m="1" x="204"/>
        <item m="1" x="460"/>
        <item x="157"/>
        <item x="158"/>
        <item m="1" x="326"/>
        <item m="1" x="513"/>
        <item x="159"/>
        <item m="1" x="351"/>
        <item m="1" x="216"/>
        <item m="1" x="262"/>
        <item m="1" x="320"/>
        <item m="1" x="453"/>
        <item m="1" x="272"/>
        <item m="1" x="500"/>
        <item x="160"/>
        <item m="1" x="484"/>
        <item m="1" x="231"/>
        <item m="1" x="399"/>
        <item x="161"/>
        <item m="1" x="304"/>
        <item m="1" x="382"/>
        <item m="1" x="318"/>
        <item m="1" x="319"/>
        <item m="1" x="429"/>
        <item m="1" x="378"/>
        <item m="1" x="269"/>
        <item m="1" x="496"/>
        <item m="1" x="281"/>
        <item m="1" x="495"/>
        <item m="1" x="301"/>
        <item x="162"/>
        <item x="163"/>
        <item m="1" x="353"/>
        <item m="1" x="210"/>
        <item m="1" x="343"/>
        <item m="1" x="312"/>
        <item m="1" x="497"/>
        <item m="1" x="185"/>
        <item m="1" x="350"/>
        <item m="1" x="249"/>
        <item m="1" x="368"/>
        <item m="1" x="438"/>
        <item m="1" x="264"/>
        <item m="1" x="342"/>
        <item m="1" x="198"/>
        <item m="1" x="240"/>
        <item m="1" x="467"/>
        <item x="164"/>
        <item m="1" x="337"/>
        <item m="1" x="524"/>
        <item m="1" x="299"/>
        <item x="165"/>
        <item m="1" x="459"/>
        <item m="1" x="218"/>
        <item m="1" x="466"/>
        <item m="1" x="492"/>
        <item x="166"/>
        <item m="1" x="477"/>
        <item m="1" x="449"/>
        <item m="1" x="409"/>
        <item m="1" x="480"/>
        <item x="167"/>
        <item m="1" x="522"/>
        <item x="168"/>
        <item m="1" x="261"/>
        <item m="1" x="245"/>
        <item m="1" x="412"/>
        <item m="1" x="432"/>
        <item x="169"/>
        <item m="1" x="444"/>
        <item m="1" x="370"/>
        <item x="170"/>
        <item x="171"/>
        <item x="172"/>
        <item m="1" x="287"/>
        <item m="1" x="273"/>
        <item x="173"/>
        <item m="1" x="487"/>
        <item x="174"/>
        <item m="1" x="463"/>
        <item x="175"/>
        <item m="1" x="335"/>
        <item x="176"/>
        <item m="1" x="380"/>
        <item m="1" x="364"/>
        <item x="177"/>
        <item x="178"/>
        <item x="179"/>
        <item x="180"/>
        <item m="1" x="181"/>
        <item t="default"/>
      </items>
    </pivotField>
    <pivotField axis="axisPage" multipleItemSelectionAllowed="1" showAll="0">
      <items count="41">
        <item h="1" x="2"/>
        <item h="1" x="7"/>
        <item h="1" x="3"/>
        <item h="1" m="1" x="35"/>
        <item h="1" x="20"/>
        <item h="1" m="1" x="32"/>
        <item h="1" x="5"/>
        <item h="1" x="6"/>
        <item h="1" x="11"/>
        <item h="1" x="15"/>
        <item h="1" m="1" x="30"/>
        <item h="1" x="1"/>
        <item h="1" x="16"/>
        <item h="1" x="21"/>
        <item h="1" x="19"/>
        <item h="1" x="8"/>
        <item h="1" x="0"/>
        <item h="1" x="9"/>
        <item h="1" x="13"/>
        <item h="1" x="4"/>
        <item h="1" x="10"/>
        <item h="1" m="1" x="38"/>
        <item m="1" x="33"/>
        <item h="1" m="1" x="26"/>
        <item h="1" x="12"/>
        <item h="1" m="1" x="28"/>
        <item h="1" m="1" x="36"/>
        <item h="1" m="1" x="37"/>
        <item h="1" m="1" x="29"/>
        <item h="1" m="1" x="39"/>
        <item h="1" m="1" x="23"/>
        <item h="1" m="1" x="31"/>
        <item h="1" m="1" x="25"/>
        <item h="1" x="17"/>
        <item h="1" m="1" x="34"/>
        <item h="1" x="14"/>
        <item m="1" x="24"/>
        <item h="1" m="1" x="27"/>
        <item h="1" x="18"/>
        <item h="1" x="22"/>
        <item t="default"/>
      </items>
    </pivotField>
    <pivotField showAll="0"/>
    <pivotField numFmtId="4" showAll="0"/>
    <pivotField numFmtId="4" showAll="0"/>
    <pivotField dataField="1" numFmtId="4" showAll="0"/>
    <pivotField numFmtId="4" showAll="0"/>
    <pivotField numFmtId="4" showAll="0"/>
    <pivotField numFmtId="166" showAll="0"/>
    <pivotField showAll="0"/>
    <pivotField showAll="0"/>
    <pivotField showAll="0"/>
    <pivotField showAll="0"/>
  </pivotFields>
  <rowFields count="1">
    <field x="2"/>
  </rowFields>
  <rowItems count="1">
    <i t="grand">
      <x/>
    </i>
  </rowItems>
  <colItems count="1">
    <i/>
  </colItems>
  <pageFields count="1">
    <pageField fld="3" hier="-1"/>
  </pageFields>
  <dataFields count="1">
    <dataField name="Total" fld="7" baseField="0" baseItem="0" numFmtId="44"/>
  </dataFields>
  <formats count="2">
    <format dxfId="43">
      <pivotArea field="2" type="button" dataOnly="0" labelOnly="1" outline="0" axis="axisRow" fieldPosition="0"/>
    </format>
    <format dxfId="42">
      <pivotArea dataOnly="0" labelOnly="1" outline="0" axis="axisValues" fieldPosition="0"/>
    </format>
  </formats>
  <pivotTableStyleInfo name="PivotStyleLight16" showRowHeaders="1" showColHeaders="1" showRowStripes="1" showColStripes="0" showLastColumn="1"/>
  <filters count="1">
    <filter fld="2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5DCA9-F094-E940-8D45-43C832FBE83C}" name="PivotTable5" cacheId="4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A4:B5" firstHeaderRow="1" firstDataRow="1" firstDataCol="1" rowPageCount="1" colPageCount="1"/>
  <pivotFields count="15">
    <pivotField axis="axisRow" showAll="0">
      <items count="71">
        <item x="56"/>
        <item x="64"/>
        <item x="57"/>
        <item x="65"/>
        <item x="25"/>
        <item x="34"/>
        <item x="36"/>
        <item x="30"/>
        <item x="21"/>
        <item x="52"/>
        <item x="13"/>
        <item x="44"/>
        <item x="14"/>
        <item x="22"/>
        <item x="16"/>
        <item x="29"/>
        <item x="2"/>
        <item x="8"/>
        <item x="51"/>
        <item x="20"/>
        <item x="26"/>
        <item x="35"/>
        <item x="19"/>
        <item x="6"/>
        <item x="61"/>
        <item x="4"/>
        <item x="43"/>
        <item x="11"/>
        <item x="54"/>
        <item x="33"/>
        <item x="38"/>
        <item x="39"/>
        <item x="63"/>
        <item x="17"/>
        <item x="55"/>
        <item x="0"/>
        <item x="1"/>
        <item m="1" x="67"/>
        <item x="46"/>
        <item x="45"/>
        <item x="24"/>
        <item x="18"/>
        <item x="50"/>
        <item x="58"/>
        <item x="59"/>
        <item x="7"/>
        <item x="47"/>
        <item x="31"/>
        <item x="53"/>
        <item x="48"/>
        <item x="23"/>
        <item x="27"/>
        <item x="32"/>
        <item x="37"/>
        <item x="49"/>
        <item m="1" x="68"/>
        <item m="1" x="69"/>
        <item x="3"/>
        <item x="9"/>
        <item x="60"/>
        <item x="28"/>
        <item x="10"/>
        <item x="66"/>
        <item x="62"/>
        <item x="40"/>
        <item x="41"/>
        <item x="42"/>
        <item x="12"/>
        <item x="15"/>
        <item x="5"/>
        <item t="default"/>
      </items>
    </pivotField>
    <pivotField showAll="0"/>
    <pivotField showAll="0"/>
    <pivotField axis="axisPage" multipleItemSelectionAllowed="1" showAll="0">
      <items count="49">
        <item h="1" x="10"/>
        <item h="1" x="15"/>
        <item h="1" x="17"/>
        <item h="1" x="5"/>
        <item h="1" x="7"/>
        <item h="1" m="1" x="18"/>
        <item h="1" x="6"/>
        <item h="1" x="12"/>
        <item h="1" x="14"/>
        <item h="1" m="1" x="36"/>
        <item h="1" x="3"/>
        <item h="1" x="8"/>
        <item h="1" x="9"/>
        <item h="1" m="1" x="41"/>
        <item h="1" m="1" x="42"/>
        <item h="1" x="13"/>
        <item h="1" x="0"/>
        <item h="1" m="1" x="23"/>
        <item m="1" x="45"/>
        <item h="1" m="1" x="47"/>
        <item h="1" x="1"/>
        <item h="1" m="1" x="39"/>
        <item h="1" x="4"/>
        <item h="1" m="1" x="44"/>
        <item h="1" m="1" x="46"/>
        <item h="1" x="2"/>
        <item h="1" m="1" x="40"/>
        <item h="1" x="11"/>
        <item h="1" m="1" x="34"/>
        <item h="1" m="1" x="21"/>
        <item h="1" m="1" x="31"/>
        <item h="1" m="1" x="33"/>
        <item h="1" m="1" x="22"/>
        <item h="1" m="1" x="20"/>
        <item h="1" m="1" x="26"/>
        <item h="1" m="1" x="27"/>
        <item h="1" m="1" x="19"/>
        <item h="1" x="16"/>
        <item h="1" m="1" x="43"/>
        <item h="1" m="1" x="24"/>
        <item h="1" m="1" x="25"/>
        <item h="1" m="1" x="28"/>
        <item h="1" m="1" x="29"/>
        <item h="1" m="1" x="30"/>
        <item h="1" m="1" x="32"/>
        <item h="1" m="1" x="35"/>
        <item h="1" m="1" x="37"/>
        <item h="1" m="1" x="38"/>
        <item t="default"/>
      </items>
    </pivotField>
    <pivotField axis="axisRow" showAll="0" sortType="ascending">
      <items count="2742">
        <item m="1" x="956"/>
        <item m="1" x="1464"/>
        <item m="1" x="2141"/>
        <item m="1" x="272"/>
        <item m="1" x="870"/>
        <item m="1" x="575"/>
        <item m="1" x="2057"/>
        <item m="1" x="1442"/>
        <item m="1" x="361"/>
        <item m="1" x="118"/>
        <item m="1" x="1346"/>
        <item m="1" x="725"/>
        <item m="1" x="1254"/>
        <item m="1" x="282"/>
        <item m="1" x="2036"/>
        <item m="1" x="2157"/>
        <item m="1" x="1796"/>
        <item m="1" x="951"/>
        <item m="1" x="1887"/>
        <item m="1" x="1870"/>
        <item m="1" x="2717"/>
        <item x="5"/>
        <item m="1" x="491"/>
        <item m="1" x="1549"/>
        <item m="1" x="1484"/>
        <item m="1" x="727"/>
        <item m="1" x="1288"/>
        <item m="1" x="1739"/>
        <item m="1" x="804"/>
        <item m="1" x="451"/>
        <item m="1" x="1888"/>
        <item x="12"/>
        <item m="1" x="2159"/>
        <item m="1" x="1623"/>
        <item m="1" x="2037"/>
        <item m="1" x="78"/>
        <item m="1" x="2611"/>
        <item m="1" x="1378"/>
        <item m="1" x="1556"/>
        <item m="1" x="959"/>
        <item m="1" x="177"/>
        <item m="1" x="2038"/>
        <item m="1" x="1737"/>
        <item m="1" x="2160"/>
        <item m="1" x="2161"/>
        <item m="1" x="357"/>
        <item m="1" x="1142"/>
        <item m="1" x="1003"/>
        <item m="1" x="2688"/>
        <item m="1" x="2162"/>
        <item m="1" x="1096"/>
        <item m="1" x="1016"/>
        <item m="1" x="2039"/>
        <item m="1" x="88"/>
        <item m="1" x="1738"/>
        <item m="1" x="2163"/>
        <item m="1" x="1459"/>
        <item m="1" x="2164"/>
        <item m="1" x="2153"/>
        <item m="1" x="89"/>
        <item m="1" x="2165"/>
        <item m="1" x="730"/>
        <item m="1" x="1630"/>
        <item m="1" x="1005"/>
        <item m="1" x="2166"/>
        <item m="1" x="1348"/>
        <item m="1" x="1006"/>
        <item m="1" x="731"/>
        <item m="1" x="1651"/>
        <item m="1" x="2167"/>
        <item m="1" x="1008"/>
        <item m="1" x="2168"/>
        <item m="1" x="1367"/>
        <item m="1" x="2146"/>
        <item m="1" x="90"/>
        <item m="1" x="2169"/>
        <item m="1" x="266"/>
        <item m="1" x="922"/>
        <item m="1" x="442"/>
        <item m="1" x="364"/>
        <item m="1" x="732"/>
        <item m="1" x="1555"/>
        <item m="1" x="2170"/>
        <item m="1" x="418"/>
        <item m="1" x="887"/>
        <item m="1" x="265"/>
        <item m="1" x="292"/>
        <item m="1" x="2171"/>
        <item m="1" x="68"/>
        <item m="1" x="521"/>
        <item m="1" x="616"/>
        <item m="1" x="2484"/>
        <item m="1" x="617"/>
        <item m="1" x="284"/>
        <item m="1" x="2172"/>
        <item m="1" x="2659"/>
        <item m="1" x="1617"/>
        <item m="1" x="1363"/>
        <item m="1" x="2173"/>
        <item m="1" x="232"/>
        <item m="1" x="2174"/>
        <item m="1" x="2175"/>
        <item m="1" x="2176"/>
        <item m="1" x="2040"/>
        <item m="1" x="562"/>
        <item m="1" x="1476"/>
        <item m="1" x="242"/>
        <item m="1" x="181"/>
        <item m="1" x="1465"/>
        <item m="1" x="2678"/>
        <item m="1" x="1482"/>
        <item m="1" x="815"/>
        <item m="1" x="1128"/>
        <item m="1" x="2489"/>
        <item m="1" x="2177"/>
        <item m="1" x="2385"/>
        <item m="1" x="1129"/>
        <item m="1" x="2178"/>
        <item m="1" x="2181"/>
        <item m="1" x="1012"/>
        <item m="1" x="890"/>
        <item m="1" x="2182"/>
        <item m="1" x="1874"/>
        <item m="1" x="2183"/>
        <item m="1" x="1727"/>
        <item m="1" x="2184"/>
        <item m="1" x="1408"/>
        <item m="1" x="238"/>
        <item m="1" x="2185"/>
        <item m="1" x="93"/>
        <item m="1" x="1041"/>
        <item m="1" x="734"/>
        <item m="1" x="1042"/>
        <item m="1" x="1309"/>
        <item m="1" x="1399"/>
        <item m="1" x="1547"/>
        <item m="1" x="2186"/>
        <item m="1" x="344"/>
        <item m="1" x="94"/>
        <item m="1" x="2187"/>
        <item m="1" x="2188"/>
        <item m="1" x="983"/>
        <item m="1" x="2041"/>
        <item m="1" x="547"/>
        <item m="1" x="1359"/>
        <item m="1" x="1303"/>
        <item m="1" x="1552"/>
        <item m="1" x="981"/>
        <item m="1" x="54"/>
        <item m="1" x="255"/>
        <item m="1" x="497"/>
        <item m="1" x="2190"/>
        <item m="1" x="2191"/>
        <item m="1" x="2192"/>
        <item m="1" x="2650"/>
        <item m="1" x="621"/>
        <item m="1" x="1045"/>
        <item m="1" x="880"/>
        <item m="1" x="1046"/>
        <item m="1" x="274"/>
        <item m="1" x="1047"/>
        <item m="1" x="2193"/>
        <item m="1" x="1049"/>
        <item m="1" x="1050"/>
        <item m="1" x="1962"/>
        <item m="1" x="735"/>
        <item m="1" x="2194"/>
        <item m="1" x="2083"/>
        <item m="1" x="2682"/>
        <item m="1" x="287"/>
        <item m="1" x="432"/>
        <item m="1" x="472"/>
        <item m="1" x="1868"/>
        <item m="1" x="419"/>
        <item m="1" x="2389"/>
        <item m="1" x="1052"/>
        <item m="1" x="1053"/>
        <item m="1" x="2618"/>
        <item m="1" x="2637"/>
        <item m="1" x="2641"/>
        <item m="1" x="366"/>
        <item m="1" x="296"/>
        <item m="1" x="1218"/>
        <item m="1" x="1151"/>
        <item m="1" x="620"/>
        <item m="1" x="1344"/>
        <item m="1" x="1203"/>
        <item m="1" x="2195"/>
        <item m="1" x="736"/>
        <item m="1" x="538"/>
        <item m="1" x="2196"/>
        <item m="1" x="1200"/>
        <item m="1" x="1873"/>
        <item m="1" x="1744"/>
        <item m="1" x="2197"/>
        <item m="1" x="1505"/>
        <item m="1" x="622"/>
        <item m="1" x="2261"/>
        <item m="1" x="2000"/>
        <item m="1" x="374"/>
        <item m="1" x="1741"/>
        <item m="1" x="1948"/>
        <item m="1" x="1056"/>
        <item m="1" x="304"/>
        <item m="1" x="498"/>
        <item m="1" x="737"/>
        <item m="1" x="2042"/>
        <item m="1" x="2198"/>
        <item m="1" x="1643"/>
        <item m="1" x="1475"/>
        <item m="1" x="738"/>
        <item m="1" x="1058"/>
        <item m="1" x="1863"/>
        <item m="1" x="2635"/>
        <item m="1" x="97"/>
        <item m="1" x="739"/>
        <item m="1" x="516"/>
        <item m="1" x="807"/>
        <item m="1" x="2651"/>
        <item m="1" x="2115"/>
        <item m="1" x="625"/>
        <item m="1" x="1978"/>
        <item m="1" x="2043"/>
        <item m="1" x="895"/>
        <item m="1" x="626"/>
        <item m="1" x="1063"/>
        <item m="1" x="1253"/>
        <item m="1" x="1393"/>
        <item m="1" x="1020"/>
        <item m="1" x="492"/>
        <item m="1" x="1804"/>
        <item m="1" x="2085"/>
        <item m="1" x="1900"/>
        <item m="1" x="1886"/>
        <item m="1" x="573"/>
        <item m="1" x="2638"/>
        <item m="1" x="628"/>
        <item m="1" x="2508"/>
        <item m="1" x="464"/>
        <item m="1" x="1224"/>
        <item m="1" x="2002"/>
        <item m="1" x="1500"/>
        <item m="1" x="2199"/>
        <item m="1" x="448"/>
        <item m="1" x="412"/>
        <item m="1" x="98"/>
        <item m="1" x="1575"/>
        <item m="1" x="2601"/>
        <item m="1" x="1508"/>
        <item m="1" x="741"/>
        <item m="1" x="2200"/>
        <item m="1" x="175"/>
        <item m="1" x="1349"/>
        <item m="1" x="1622"/>
        <item m="1" x="2080"/>
        <item m="1" x="806"/>
        <item m="1" x="1981"/>
        <item m="1" x="594"/>
        <item m="1" x="2201"/>
        <item m="1" x="1947"/>
        <item m="1" x="1069"/>
        <item sd="0" m="1" x="47"/>
        <item m="1" x="1382"/>
        <item m="1" x="1701"/>
        <item m="1" x="2681"/>
        <item m="1" x="1355"/>
        <item m="1" x="2202"/>
        <item m="1" x="1364"/>
        <item m="1" x="743"/>
        <item m="1" x="1072"/>
        <item m="1" x="1327"/>
        <item m="1" x="1240"/>
        <item m="1" x="250"/>
        <item m="1" x="2704"/>
        <item sd="0" m="1" x="301"/>
        <item sd="0" m="1" x="2726"/>
        <item m="1" x="2572"/>
        <item m="1" x="744"/>
        <item m="1" x="2018"/>
        <item m="1" x="1073"/>
        <item m="1" x="745"/>
        <item m="1" x="746"/>
        <item m="1" x="2204"/>
        <item m="1" x="1137"/>
        <item m="1" x="2205"/>
        <item m="1" x="529"/>
        <item m="1" x="577"/>
        <item m="1" x="215"/>
        <item m="1" x="499"/>
        <item m="1" x="1418"/>
        <item m="1" x="1940"/>
        <item m="1" x="474"/>
        <item m="1" x="986"/>
        <item m="1" x="72"/>
        <item m="1" x="1388"/>
        <item m="1" x="2206"/>
        <item m="1" x="99"/>
        <item m="1" x="1330"/>
        <item m="1" x="1237"/>
        <item m="1" x="1282"/>
        <item m="1" x="1294"/>
        <item m="1" x="2207"/>
        <item m="1" x="2208"/>
        <item m="1" x="811"/>
        <item m="1" x="747"/>
        <item m="1" x="1310"/>
        <item m="1" x="2081"/>
        <item m="1" x="1771"/>
        <item m="1" x="449"/>
        <item m="1" x="1341"/>
        <item m="1" x="1878"/>
        <item m="1" x="159"/>
        <item m="1" x="576"/>
        <item m="1" x="551"/>
        <item m="1" x="2209"/>
        <item m="1" x="2003"/>
        <item m="1" x="1078"/>
        <item m="1" x="2210"/>
        <item m="1" x="1453"/>
        <item m="1" x="1935"/>
        <item m="1" x="251"/>
        <item m="1" x="1574"/>
        <item m="1" x="1306"/>
        <item m="1" x="1905"/>
        <item m="1" x="1652"/>
        <item m="1" x="313"/>
        <item sd="0" m="1" x="631"/>
        <item m="1" x="1079"/>
        <item m="1" x="526"/>
        <item m="1" x="1757"/>
        <item m="1" x="2211"/>
        <item m="1" x="1037"/>
        <item m="1" x="561"/>
        <item m="1" x="926"/>
        <item m="1" x="2577"/>
        <item m="1" x="2212"/>
        <item m="1" x="1360"/>
        <item m="1" x="2086"/>
        <item m="1" x="1377"/>
        <item m="1" x="2213"/>
        <item m="1" x="100"/>
        <item m="1" x="476"/>
        <item m="1" x="1336"/>
        <item m="1" x="1907"/>
        <item m="1" x="1956"/>
        <item m="1" x="1909"/>
        <item m="1" x="452"/>
        <item m="1" x="109"/>
        <item m="1" x="399"/>
        <item m="1" x="1083"/>
        <item m="1" x="2214"/>
        <item m="1" x="1085"/>
        <item m="1" x="748"/>
        <item m="1" x="2215"/>
        <item m="1" x="2589"/>
        <item m="1" x="1087"/>
        <item m="1" x="254"/>
        <item m="1" x="2563"/>
        <item m="1" x="749"/>
        <item m="1" x="1088"/>
        <item m="1" x="2581"/>
        <item m="1" x="81"/>
        <item m="1" x="1095"/>
        <item m="1" x="158"/>
        <item m="1" x="950"/>
        <item m="1" x="979"/>
        <item m="1" x="1098"/>
        <item sd="0" m="1" x="2571"/>
        <item m="1" x="1084"/>
        <item x="38"/>
        <item m="1" x="2630"/>
        <item m="1" x="103"/>
        <item m="1" x="2716"/>
        <item m="1" x="633"/>
        <item m="1" x="1438"/>
        <item m="1" x="1147"/>
        <item m="1" x="1520"/>
        <item m="1" x="1149"/>
        <item m="1" x="102"/>
        <item m="1" x="1091"/>
        <item m="1" x="115"/>
        <item sd="0" m="1" x="116"/>
        <item m="1" x="1152"/>
        <item m="1" x="618"/>
        <item m="1" x="1380"/>
        <item m="1" x="117"/>
        <item m="1" x="649"/>
        <item m="1" x="648"/>
        <item m="1" x="1089"/>
        <item m="1" x="2670"/>
        <item m="1" x="2216"/>
        <item m="1" x="1090"/>
        <item m="1" x="2004"/>
        <item m="1" x="1021"/>
        <item m="1" x="523"/>
        <item m="1" x="578"/>
        <item m="1" x="1764"/>
        <item m="1" x="908"/>
        <item m="1" x="2560"/>
        <item m="1" x="1803"/>
        <item m="1" x="2242"/>
        <item m="1" x="49"/>
        <item m="1" x="2044"/>
        <item m="1" x="1397"/>
        <item m="1" x="2649"/>
        <item m="1" x="2217"/>
        <item m="1" x="1163"/>
        <item m="1" x="148"/>
        <item m="1" x="2596"/>
        <item m="1" x="167"/>
        <item m="1" x="970"/>
        <item m="1" x="1094"/>
        <item m="1" x="2218"/>
        <item m="1" x="1898"/>
        <item m="1" x="2219"/>
        <item m="1" x="883"/>
        <item m="1" x="873"/>
        <item m="1" x="2600"/>
        <item m="1" x="2380"/>
        <item m="1" x="1932"/>
        <item m="1" x="1062"/>
        <item m="1" x="2220"/>
        <item m="1" x="1952"/>
        <item m="1" x="1082"/>
        <item m="1" x="1289"/>
        <item sd="0" m="1" x="2721"/>
        <item m="1" x="106"/>
        <item m="1" x="360"/>
        <item m="1" x="1998"/>
        <item m="1" x="2339"/>
        <item m="1" x="2667"/>
        <item m="1" x="545"/>
        <item m="1" x="2087"/>
        <item m="1" x="751"/>
        <item m="1" x="107"/>
        <item m="1" x="509"/>
        <item m="1" x="259"/>
        <item m="1" x="1097"/>
        <item m="1" x="1080"/>
        <item x="10"/>
        <item m="1" x="2559"/>
        <item m="1" x="1621"/>
        <item m="1" x="753"/>
        <item m="1" x="331"/>
        <item m="1" x="932"/>
        <item x="22"/>
        <item x="1"/>
        <item m="1" x="2221"/>
        <item m="1" x="2222"/>
        <item m="1" x="369"/>
        <item m="1" x="453"/>
        <item m="1" x="58"/>
        <item m="1" x="437"/>
        <item m="1" x="1687"/>
        <item m="1" x="1099"/>
        <item m="1" x="2224"/>
        <item m="1" x="2045"/>
        <item m="1" x="2608"/>
        <item m="1" x="1783"/>
        <item m="1" x="1885"/>
        <item m="1" x="636"/>
        <item m="1" x="108"/>
        <item m="1" x="52"/>
        <item m="1" x="1103"/>
        <item x="18"/>
        <item m="1" x="1993"/>
        <item m="1" x="2016"/>
        <item m="1" x="1911"/>
        <item m="1" x="593"/>
        <item m="1" x="754"/>
        <item m="1" x="755"/>
        <item m="1" x="407"/>
        <item m="1" x="356"/>
        <item m="1" x="1104"/>
        <item m="1" x="2225"/>
        <item m="1" x="1105"/>
        <item m="1" x="756"/>
        <item m="1" x="2158"/>
        <item m="1" x="752"/>
        <item m="1" x="2046"/>
        <item m="1" x="2226"/>
        <item m="1" x="1913"/>
        <item m="1" x="2150"/>
        <item m="1" x="919"/>
        <item m="1" x="2020"/>
        <item m="1" x="208"/>
        <item m="1" x="1708"/>
        <item m="1" x="1111"/>
        <item m="1" x="454"/>
        <item m="1" x="1112"/>
        <item m="1" x="309"/>
        <item m="1" x="1869"/>
        <item m="1" x="302"/>
        <item m="1" x="852"/>
        <item m="1" x="1205"/>
        <item m="1" x="1113"/>
        <item m="1" x="713"/>
        <item m="1" x="638"/>
        <item m="1" x="1210"/>
        <item m="1" x="1070"/>
        <item m="1" x="1805"/>
        <item m="1" x="1806"/>
        <item m="1" x="216"/>
        <item m="1" x="1809"/>
        <item m="1" x="875"/>
        <item m="1" x="2669"/>
        <item m="1" x="1126"/>
        <item m="1" x="110"/>
        <item m="1" x="1054"/>
        <item m="1" x="1830"/>
        <item m="1" x="1832"/>
        <item m="1" x="1818"/>
        <item m="1" x="1106"/>
        <item x="19"/>
        <item m="1" x="1043"/>
        <item m="1" x="1712"/>
        <item x="33"/>
        <item m="1" x="1615"/>
        <item m="1" x="1810"/>
        <item m="1" x="1114"/>
        <item m="1" x="1143"/>
        <item m="1" x="1535"/>
        <item m="1" x="1812"/>
        <item m="1" x="2088"/>
        <item m="1" x="1813"/>
        <item m="1" x="111"/>
        <item m="1" x="2228"/>
        <item m="1" x="1000"/>
        <item m="1" x="2229"/>
        <item m="1" x="2578"/>
        <item m="1" x="2230"/>
        <item m="1" x="1030"/>
        <item m="1" x="2564"/>
        <item m="1" x="946"/>
        <item m="1" x="2231"/>
        <item m="1" x="50"/>
        <item m="1" x="378"/>
        <item m="1" x="2232"/>
        <item m="1" x="2456"/>
        <item m="1" x="276"/>
        <item m="1" x="758"/>
        <item m="1" x="1010"/>
        <item m="1" x="1120"/>
        <item m="1" x="900"/>
        <item m="1" x="2663"/>
        <item m="1" x="2233"/>
        <item m="1" x="1015"/>
        <item m="1" x="1026"/>
        <item m="1" x="641"/>
        <item m="1" x="642"/>
        <item m="1" x="597"/>
        <item m="1" x="2606"/>
        <item m="1" x="643"/>
        <item m="1" x="1918"/>
        <item m="1" x="635"/>
        <item m="1" x="1123"/>
        <item m="1" x="2234"/>
        <item m="1" x="112"/>
        <item m="1" x="1742"/>
        <item m="1" x="878"/>
        <item m="1" x="2235"/>
        <item m="1" x="1984"/>
        <item m="1" x="2007"/>
        <item m="1" x="2236"/>
        <item m="1" x="759"/>
        <item m="1" x="933"/>
        <item m="1" x="436"/>
        <item m="1" x="2664"/>
        <item m="1" x="2078"/>
        <item m="1" x="1775"/>
        <item m="1" x="2586"/>
        <item m="1" x="475"/>
        <item m="1" x="1109"/>
        <item m="1" x="2674"/>
        <item m="1" x="2657"/>
        <item m="1" x="1700"/>
        <item m="1" x="539"/>
        <item m="1" x="455"/>
        <item m="1" x="952"/>
        <item m="1" x="315"/>
        <item m="1" x="408"/>
        <item m="1" x="867"/>
        <item m="1" x="2506"/>
        <item m="1" x="114"/>
        <item m="1" x="2237"/>
        <item m="1" x="1402"/>
        <item m="1" x="164"/>
        <item m="1" x="645"/>
        <item m="1" x="1638"/>
        <item m="1" x="1139"/>
        <item m="1" x="1146"/>
        <item m="1" x="554"/>
        <item m="1" x="2634"/>
        <item m="1" x="994"/>
        <item m="1" x="2465"/>
        <item m="1" x="1406"/>
        <item m="1" x="1236"/>
        <item m="1" x="1959"/>
        <item m="1" x="1247"/>
        <item m="1" x="1481"/>
        <item m="1" x="1876"/>
        <item m="1" x="1141"/>
        <item m="1" x="1065"/>
        <item m="1" x="646"/>
        <item sd="0" m="1" x="2731"/>
        <item m="1" x="1573"/>
        <item m="1" x="647"/>
        <item m="1" x="2239"/>
        <item m="1" x="126"/>
        <item m="1" x="96"/>
        <item m="1" x="1329"/>
        <item m="1" x="760"/>
        <item m="1" x="1270"/>
        <item m="1" x="2558"/>
        <item m="1" x="869"/>
        <item m="1" x="1145"/>
        <item m="1" x="1510"/>
        <item x="20"/>
        <item m="1" x="1175"/>
        <item m="1" x="1795"/>
        <item m="1" x="1124"/>
        <item m="1" x="1802"/>
        <item sd="0" x="7"/>
        <item x="37"/>
        <item m="1" x="1298"/>
        <item m="1" x="1339"/>
        <item m="1" x="1816"/>
        <item m="1" x="1762"/>
        <item m="1" x="1532"/>
        <item m="1" x="2240"/>
        <item m="1" x="871"/>
        <item m="1" x="2718"/>
        <item m="1" x="91"/>
        <item m="1" x="2241"/>
        <item m="1" x="2030"/>
        <item m="1" x="1672"/>
        <item m="1" x="761"/>
        <item m="1" x="2089"/>
        <item m="1" x="2227"/>
        <item m="1" x="762"/>
        <item m="1" x="1148"/>
        <item m="1" x="316"/>
        <item m="1" x="2633"/>
        <item m="1" x="1242"/>
        <item m="1" x="260"/>
        <item m="1" x="1412"/>
        <item m="1" x="1384"/>
        <item m="1" x="763"/>
        <item m="1" x="1682"/>
        <item m="1" x="385"/>
        <item m="1" x="591"/>
        <item m="1" x="1565"/>
        <item m="1" x="2243"/>
        <item m="1" x="1153"/>
        <item m="1" x="500"/>
        <item m="1" x="2552"/>
        <item m="1" x="217"/>
        <item m="1" x="1229"/>
        <item m="1" x="373"/>
        <item m="1" x="433"/>
        <item m="1" x="2632"/>
        <item m="1" x="1092"/>
        <item m="1" x="1241"/>
        <item m="1" x="1743"/>
        <item sd="0" m="1" x="244"/>
        <item m="1" x="444"/>
        <item m="1" x="2047"/>
        <item m="1" x="1403"/>
        <item m="1" x="1644"/>
        <item m="1" x="1158"/>
        <item m="1" x="1612"/>
        <item m="1" x="372"/>
        <item m="1" x="2588"/>
        <item m="1" x="1872"/>
        <item m="1" x="1478"/>
        <item m="1" x="2244"/>
        <item m="1" x="1865"/>
        <item m="1" x="319"/>
        <item m="1" x="303"/>
        <item m="1" x="1879"/>
        <item m="1" x="2351"/>
        <item m="1" x="1875"/>
        <item sd="0" m="1" x="2090"/>
        <item m="1" x="2245"/>
        <item m="1" x="2072"/>
        <item m="1" x="2374"/>
        <item m="1" x="2091"/>
        <item m="1" x="311"/>
        <item m="1" x="2246"/>
        <item m="1" x="2247"/>
        <item m="1" x="333"/>
        <item m="1" x="765"/>
        <item m="1" x="1318"/>
        <item m="1" x="2248"/>
        <item m="1" x="1276"/>
        <item m="1" x="650"/>
        <item m="1" x="2557"/>
        <item m="1" x="997"/>
        <item m="1" x="1130"/>
        <item m="1" x="2249"/>
        <item m="1" x="1362"/>
        <item m="1" x="1836"/>
        <item m="1" x="131"/>
        <item m="1" x="202"/>
        <item m="1" x="2250"/>
        <item m="1" x="321"/>
        <item m="1" x="146"/>
        <item m="1" x="2697"/>
        <item m="1" x="652"/>
        <item m="1" x="740"/>
        <item m="1" x="920"/>
        <item m="1" x="291"/>
        <item m="1" x="1170"/>
        <item m="1" x="513"/>
        <item m="1" x="2251"/>
        <item m="1" x="1899"/>
        <item m="1" x="766"/>
        <item sd="0" m="1" x="456"/>
        <item m="1" x="1171"/>
        <item m="1" x="2687"/>
        <item m="1" x="1172"/>
        <item m="1" x="1439"/>
        <item m="1" x="2252"/>
        <item m="1" x="1544"/>
        <item m="1" x="2143"/>
        <item m="1" x="653"/>
        <item m="1" x="615"/>
        <item m="1" x="2615"/>
        <item m="1" x="550"/>
        <item m="1" x="1174"/>
        <item m="1" x="2253"/>
        <item m="1" x="2254"/>
        <item sd="0" m="1" x="445"/>
        <item m="1" x="290"/>
        <item m="1" x="1305"/>
        <item m="1" x="1930"/>
        <item m="1" x="767"/>
        <item m="1" x="992"/>
        <item m="1" x="2565"/>
        <item m="1" x="2658"/>
        <item m="1" x="1915"/>
        <item m="1" x="1221"/>
        <item m="1" x="411"/>
        <item m="1" x="2257"/>
        <item m="1" x="1211"/>
        <item m="1" x="2258"/>
        <item m="1" x="1931"/>
        <item m="1" x="84"/>
        <item m="1" x="1745"/>
        <item m="1" x="1135"/>
        <item m="1" x="2092"/>
        <item m="1" x="654"/>
        <item m="1" x="1413"/>
        <item m="1" x="1131"/>
        <item m="1" x="1215"/>
        <item m="1" x="947"/>
        <item m="1" x="1668"/>
        <item m="1" x="1179"/>
        <item m="1" x="85"/>
        <item m="1" x="553"/>
        <item m="1" x="768"/>
        <item m="1" x="1194"/>
        <item sd="0" x="31"/>
        <item m="1" x="1140"/>
        <item m="1" x="655"/>
        <item m="1" x="233"/>
        <item m="1" x="769"/>
        <item x="27"/>
        <item m="1" x="1627"/>
        <item m="1" x="945"/>
        <item m="1" x="1746"/>
        <item m="1" x="322"/>
        <item m="1" x="1747"/>
        <item m="1" x="1664"/>
        <item m="1" x="1515"/>
        <item m="1" x="1600"/>
        <item m="1" x="1181"/>
        <item m="1" x="1877"/>
        <item m="1" x="2073"/>
        <item m="1" x="891"/>
        <item m="1" x="574"/>
        <item m="1" x="2262"/>
        <item m="1" x="1748"/>
        <item m="1" x="570"/>
        <item m="1" x="2093"/>
        <item m="1" x="2263"/>
        <item m="1" x="1183"/>
        <item m="1" x="2642"/>
        <item m="1" x="171"/>
        <item sd="0" m="1" x="256"/>
        <item m="1" x="1405"/>
        <item m="1" x="1531"/>
        <item m="1" x="488"/>
        <item m="1" x="443"/>
        <item m="1" x="122"/>
        <item m="1" x="1186"/>
        <item m="1" x="2264"/>
        <item m="1" x="326"/>
        <item m="1" x="2265"/>
        <item m="1" x="327"/>
        <item m="1" x="978"/>
        <item m="1" x="2266"/>
        <item m="1" x="248"/>
        <item m="1" x="534"/>
        <item m="1" x="1506"/>
        <item m="1" x="2077"/>
        <item m="1" x="1498"/>
        <item m="1" x="1287"/>
        <item m="1" x="156"/>
        <item m="1" x="394"/>
        <item m="1" x="1361"/>
        <item m="1" x="1592"/>
        <item m="1" x="1492"/>
        <item m="1" x="1468"/>
        <item m="1" x="2580"/>
        <item m="1" x="1568"/>
        <item m="1" x="2026"/>
        <item m="1" x="664"/>
        <item m="1" x="1955"/>
        <item m="1" x="2267"/>
        <item m="1" x="295"/>
        <item m="1" x="1191"/>
        <item m="1" x="1729"/>
        <item m="1" x="771"/>
        <item m="1" x="1195"/>
        <item m="1" x="1571"/>
        <item m="1" x="2094"/>
        <item m="1" x="2015"/>
        <item m="1" x="2524"/>
        <item m="1" x="2271"/>
        <item m="1" x="1789"/>
        <item m="1" x="306"/>
        <item m="1" x="1954"/>
        <item m="1" x="865"/>
        <item m="1" x="1835"/>
        <item m="1" x="801"/>
        <item m="1" x="1790"/>
        <item m="1" x="2272"/>
        <item m="1" x="1774"/>
        <item m="1" x="1653"/>
        <item m="1" x="1441"/>
        <item m="1" x="2095"/>
        <item m="1" x="2274"/>
        <item m="1" x="1793"/>
        <item m="1" x="990"/>
        <item m="1" x="2273"/>
        <item m="1" x="1819"/>
        <item m="1" x="2275"/>
        <item m="1" x="2076"/>
        <item m="1" x="2276"/>
        <item m="1" x="1204"/>
        <item m="1" x="1526"/>
        <item m="1" x="2145"/>
        <item m="1" x="1503"/>
        <item m="1" x="560"/>
        <item m="1" x="1550"/>
        <item m="1" x="872"/>
        <item m="1" x="2277"/>
        <item m="1" x="1425"/>
        <item m="1" x="1340"/>
        <item m="1" x="1167"/>
        <item m="1" x="2278"/>
        <item m="1" x="2279"/>
        <item m="1" x="772"/>
        <item m="1" x="728"/>
        <item m="1" x="658"/>
        <item m="1" x="1176"/>
        <item m="1" x="1315"/>
        <item m="1" x="2096"/>
        <item m="1" x="123"/>
        <item m="1" x="1337"/>
        <item m="1" x="270"/>
        <item m="1" x="2280"/>
        <item m="1" x="125"/>
        <item m="1" x="2074"/>
        <item m="1" x="2281"/>
        <item m="1" x="2282"/>
        <item m="1" x="659"/>
        <item m="1" x="1450"/>
        <item m="1" x="2283"/>
        <item m="1" x="925"/>
        <item m="1" x="1470"/>
        <item m="1" x="1209"/>
        <item m="1" x="660"/>
        <item m="1" x="2550"/>
        <item m="1" x="2648"/>
        <item m="1" x="2345"/>
        <item m="1" x="2097"/>
        <item m="1" x="2048"/>
        <item x="0"/>
        <item m="1" x="1497"/>
        <item m="1" x="2627"/>
        <item m="1" x="1763"/>
        <item m="1" x="1212"/>
        <item m="1" x="410"/>
        <item m="1" x="1961"/>
        <item m="1" x="917"/>
        <item m="1" x="988"/>
        <item m="1" x="1197"/>
        <item m="1" x="2284"/>
        <item m="1" x="1213"/>
        <item m="1" x="773"/>
        <item m="1" x="1214"/>
        <item m="1" x="1686"/>
        <item m="1" x="218"/>
        <item m="1" x="1509"/>
        <item m="1" x="724"/>
        <item m="1" x="1557"/>
        <item m="1" x="330"/>
        <item m="1" x="1216"/>
        <item m="1" x="457"/>
        <item m="1" x="1162"/>
        <item m="1" x="2285"/>
        <item m="1" x="2155"/>
        <item m="1" x="2286"/>
        <item m="1" x="2579"/>
        <item m="1" x="1219"/>
        <item m="1" x="2287"/>
        <item m="1" x="2098"/>
        <item m="1" x="2288"/>
        <item m="1" x="1466"/>
        <item m="1" x="2612"/>
        <item m="1" x="2049"/>
        <item m="1" x="176"/>
        <item m="1" x="1749"/>
        <item m="1" x="1455"/>
        <item m="1" x="458"/>
        <item m="1" x="1933"/>
        <item m="1" x="1658"/>
        <item m="1" x="775"/>
        <item m="1" x="459"/>
        <item m="1" x="129"/>
        <item m="1" x="219"/>
        <item m="1" x="2180"/>
        <item m="1" x="750"/>
        <item m="1" x="1044"/>
        <item m="1" x="661"/>
        <item m="1" x="663"/>
        <item m="1" x="809"/>
        <item m="1" x="130"/>
        <item m="1" x="585"/>
        <item m="1" x="1624"/>
        <item m="1" x="943"/>
        <item m="1" x="80"/>
        <item m="1" x="1817"/>
        <item m="1" x="2289"/>
        <item m="1" x="1997"/>
        <item m="1" x="960"/>
        <item m="1" x="665"/>
        <item m="1" x="505"/>
        <item m="1" x="2100"/>
        <item m="1" x="332"/>
        <item m="1" x="776"/>
        <item m="1" x="2290"/>
        <item m="1" x="2291"/>
        <item m="1" x="1169"/>
        <item m="1" x="1022"/>
        <item m="1" x="2101"/>
        <item m="1" x="2710"/>
        <item m="1" x="2292"/>
        <item m="1" x="182"/>
        <item m="1" x="48"/>
        <item m="1" x="2269"/>
        <item m="1" x="607"/>
        <item m="1" x="2388"/>
        <item m="1" x="252"/>
        <item m="1" x="2692"/>
        <item m="1" x="320"/>
        <item m="1" x="863"/>
        <item m="1" x="2293"/>
        <item m="1" x="1436"/>
        <item m="1" x="2102"/>
        <item m="1" x="376"/>
        <item m="1" x="2513"/>
        <item m="1" x="359"/>
        <item m="1" x="2147"/>
        <item m="1" x="2154"/>
        <item m="1" x="662"/>
        <item m="1" x="334"/>
        <item m="1" x="235"/>
        <item m="1" x="2103"/>
        <item m="1" x="76"/>
        <item m="1" x="1919"/>
        <item m="1" x="405"/>
        <item m="1" x="2534"/>
        <item m="1" x="2104"/>
        <item m="1" x="2294"/>
        <item m="1" x="1972"/>
        <item m="1" x="1228"/>
        <item m="1" x="1788"/>
        <item x="46"/>
        <item m="1" x="1189"/>
        <item m="1" x="462"/>
        <item m="1" x="1901"/>
        <item m="1" x="777"/>
        <item m="1" x="2592"/>
        <item m="1" x="335"/>
        <item m="1" x="2295"/>
        <item m="1" x="2296"/>
        <item m="1" x="612"/>
        <item m="1" x="1027"/>
        <item m="1" x="363"/>
        <item m="1" x="1750"/>
        <item m="1" x="1230"/>
        <item m="1" x="1799"/>
        <item m="1" x="1231"/>
        <item m="1" x="2297"/>
        <item m="1" x="1936"/>
        <item m="1" x="579"/>
        <item m="1" x="220"/>
        <item m="1" x="666"/>
        <item m="1" x="391"/>
        <item m="1" x="2724"/>
        <item m="1" x="2701"/>
        <item m="1" x="2656"/>
        <item m="1" x="778"/>
        <item m="1" x="1675"/>
        <item m="1" x="2298"/>
        <item m="1" x="53"/>
        <item m="1" x="1820"/>
        <item m="1" x="1232"/>
        <item m="1" x="1853"/>
        <item m="1" x="1469"/>
        <item m="1" x="61"/>
        <item m="1" x="1884"/>
        <item m="1" x="1941"/>
        <item m="1" x="623"/>
        <item m="1" x="2386"/>
        <item m="1" x="1263"/>
        <item m="1" x="1971"/>
        <item m="1" x="1039"/>
        <item m="1" x="1233"/>
        <item m="1" x="530"/>
        <item m="1" x="1892"/>
        <item m="1" x="2300"/>
        <item m="1" x="1165"/>
        <item m="1" x="1507"/>
        <item m="1" x="779"/>
        <item m="1" x="2645"/>
        <item m="1" x="2106"/>
        <item m="1" x="358"/>
        <item m="1" x="2301"/>
        <item m="1" x="1386"/>
        <item m="1" x="1822"/>
        <item m="1" x="1235"/>
        <item m="1" x="318"/>
        <item m="1" x="2302"/>
        <item m="1" x="1009"/>
        <item m="1" x="1108"/>
        <item m="1" x="2303"/>
        <item m="1" x="2304"/>
        <item m="1" x="1437"/>
        <item m="1" x="581"/>
        <item m="1" x="1100"/>
        <item m="1" x="1071"/>
        <item m="1" x="2305"/>
        <item m="1" x="370"/>
        <item m="1" x="1259"/>
        <item m="1" x="59"/>
        <item m="1" x="1683"/>
        <item m="1" x="336"/>
        <item m="1" x="60"/>
        <item m="1" x="337"/>
        <item m="1" x="2306"/>
        <item m="1" x="1245"/>
        <item m="1" x="2307"/>
        <item m="1" x="268"/>
        <item m="1" x="512"/>
        <item m="1" x="1177"/>
        <item m="1" x="868"/>
        <item m="1" x="667"/>
        <item m="1" x="1516"/>
        <item m="1" x="494"/>
        <item m="1" x="1238"/>
        <item m="1" x="388"/>
        <item m="1" x="283"/>
        <item m="1" x="104"/>
        <item m="1" x="1513"/>
        <item m="1" x="2107"/>
        <item m="1" x="1539"/>
        <item m="1" x="537"/>
        <item m="1" x="1752"/>
        <item m="1" x="101"/>
        <item m="1" x="195"/>
        <item m="1" x="338"/>
        <item m="1" x="668"/>
        <item m="1" x="1193"/>
        <item m="1" x="438"/>
        <item m="1" x="221"/>
        <item x="32"/>
        <item m="1" x="2309"/>
        <item m="1" x="2310"/>
        <item m="1" x="1679"/>
        <item m="1" x="2311"/>
        <item m="1" x="948"/>
        <item m="1" x="1928"/>
        <item m="1" x="1551"/>
        <item m="1" x="288"/>
        <item m="1" x="273"/>
        <item m="1" x="1711"/>
        <item m="1" x="185"/>
        <item m="1" x="1461"/>
        <item m="1" x="1239"/>
        <item m="1" x="1937"/>
        <item m="1" x="903"/>
        <item m="1" x="692"/>
        <item m="1" x="506"/>
        <item m="1" x="2312"/>
        <item m="1" x="2313"/>
        <item m="1" x="669"/>
        <item m="1" x="876"/>
        <item m="1" x="2314"/>
        <item m="1" x="1244"/>
        <item m="1" x="2108"/>
        <item m="1" x="1420"/>
        <item m="1" x="2315"/>
        <item m="1" x="1992"/>
        <item m="1" x="826"/>
        <item m="1" x="2567"/>
        <item m="1" x="774"/>
        <item m="1" x="75"/>
        <item m="1" x="1246"/>
        <item m="1" x="2317"/>
        <item m="1" x="2318"/>
        <item m="1" x="672"/>
        <item m="1" x="2319"/>
        <item m="1" x="1645"/>
        <item m="1" x="2017"/>
        <item m="1" x="1248"/>
        <item m="1" x="1249"/>
        <item m="1" x="781"/>
        <item m="1" x="1250"/>
        <item m="1" x="1060"/>
        <item m="1" x="671"/>
        <item m="1" x="1252"/>
        <item m="1" x="1880"/>
        <item m="1" x="1286"/>
        <item x="6"/>
        <item m="1" x="348"/>
        <item m="1" x="2320"/>
        <item m="1" x="1243"/>
        <item m="1" x="354"/>
        <item m="1" x="2179"/>
        <item m="1" x="2321"/>
        <item m="1" x="1440"/>
        <item m="1" x="884"/>
        <item m="1" x="629"/>
        <item m="1" x="2152"/>
        <item m="1" x="764"/>
        <item m="1" x="782"/>
        <item m="1" x="2322"/>
        <item m="1" x="783"/>
        <item m="1" x="1371"/>
        <item m="1" x="2323"/>
        <item m="1" x="971"/>
        <item m="1" x="1304"/>
        <item m="1" x="2324"/>
        <item m="1" x="1921"/>
        <item m="1" x="368"/>
        <item m="1" x="279"/>
        <item m="1" x="57"/>
        <item m="1" x="2325"/>
        <item m="1" x="240"/>
        <item m="1" x="286"/>
        <item m="1" x="1589"/>
        <item m="1" x="1271"/>
        <item m="1" x="294"/>
        <item m="1" x="549"/>
        <item m="1" x="784"/>
        <item m="1" x="1602"/>
        <item m="1" x="2326"/>
        <item m="1" x="1546"/>
        <item m="1" x="1487"/>
        <item m="1" x="1419"/>
        <item m="1" x="281"/>
        <item m="1" x="566"/>
        <item m="1" x="341"/>
        <item m="1" x="2554"/>
        <item m="1" x="1740"/>
        <item m="1" x="460"/>
        <item m="1" x="1897"/>
        <item m="1" x="1255"/>
        <item m="1" x="785"/>
        <item m="1" x="786"/>
        <item m="1" x="2598"/>
        <item m="1" x="477"/>
        <item m="1" x="1753"/>
        <item m="1" x="2056"/>
        <item m="1" x="417"/>
        <item x="4"/>
        <item m="1" x="2075"/>
        <item m="1" x="1093"/>
        <item sd="0" m="1" x="2737"/>
        <item m="1" x="590"/>
        <item m="1" x="2707"/>
        <item m="1" x="1057"/>
        <item m="1" x="599"/>
        <item m="1" x="1654"/>
        <item m="1" x="1257"/>
        <item m="1" x="788"/>
        <item m="1" x="1754"/>
        <item m="1" x="536"/>
        <item m="1" x="1258"/>
        <item m="1" x="2327"/>
        <item m="1" x="789"/>
        <item m="1" x="567"/>
        <item m="1" x="2328"/>
        <item m="1" x="2329"/>
        <item m="1" x="439"/>
        <item m="1" x="406"/>
        <item m="1" x="269"/>
        <item m="1" x="1208"/>
        <item m="1" x="1261"/>
        <item m="1" x="1262"/>
        <item m="1" x="592"/>
        <item m="1" x="1522"/>
        <item m="1" x="791"/>
        <item m="1" x="1614"/>
        <item m="1" x="1871"/>
        <item m="1" x="2109"/>
        <item m="1" x="1825"/>
        <item m="1" x="559"/>
        <item m="1" x="1591"/>
        <item m="1" x="580"/>
        <item m="1" x="1369"/>
        <item m="1" x="548"/>
        <item m="1" x="1192"/>
        <item sd="0" m="1" x="2105"/>
        <item m="1" x="1256"/>
        <item m="1" x="673"/>
        <item m="1" x="899"/>
        <item m="1" x="1264"/>
        <item m="1" x="1265"/>
        <item m="1" x="1824"/>
        <item m="1" x="2110"/>
        <item x="8"/>
        <item m="1" x="511"/>
        <item m="1" x="546"/>
        <item m="1" x="64"/>
        <item m="1" x="1201"/>
        <item m="1" x="1266"/>
        <item m="1" x="792"/>
        <item m="1" x="1982"/>
        <item x="44"/>
        <item m="1" x="1577"/>
        <item m="1" x="1613"/>
        <item m="1" x="2330"/>
        <item m="1" x="793"/>
        <item m="1" x="2464"/>
        <item m="1" x="2084"/>
        <item m="1" x="794"/>
        <item m="1" x="583"/>
        <item m="1" x="1433"/>
        <item m="1" x="1640"/>
        <item m="1" x="2614"/>
        <item m="1" x="503"/>
        <item m="1" x="1267"/>
        <item m="1" x="1036"/>
        <item m="1" x="1302"/>
        <item m="1" x="1225"/>
        <item m="1" x="404"/>
        <item m="1" x="1251"/>
        <item m="1" x="2013"/>
        <item m="1" x="510"/>
        <item m="1" x="555"/>
        <item m="1" x="1671"/>
        <item m="1" x="1906"/>
        <item m="1" x="2111"/>
        <item m="1" x="1125"/>
        <item m="1" x="461"/>
        <item m="1" x="1351"/>
        <item m="1" x="518"/>
        <item m="1" x="2331"/>
        <item m="1" x="1368"/>
        <item m="1" x="222"/>
        <item m="1" x="2332"/>
        <item m="1" x="795"/>
        <item m="1" x="674"/>
        <item m="1" x="1132"/>
        <item m="1" x="584"/>
        <item m="1" x="1826"/>
        <item m="1" x="2605"/>
        <item m="1" x="1317"/>
        <item m="1" x="1980"/>
        <item m="1" x="1939"/>
        <item m="1" x="1272"/>
        <item m="1" x="675"/>
        <item m="1" x="676"/>
        <item m="1" x="1951"/>
        <item m="1" x="2625"/>
        <item x="13"/>
        <item m="1" x="1474"/>
        <item m="1" x="2333"/>
        <item m="1" x="1277"/>
        <item m="1" x="1572"/>
        <item m="1" x="1278"/>
        <item m="1" x="2334"/>
        <item m="1" x="2335"/>
        <item m="1" x="1784"/>
        <item m="1" x="300"/>
        <item m="1" x="1723"/>
        <item m="1" x="1279"/>
        <item m="1" x="1410"/>
        <item m="1" x="152"/>
        <item m="1" x="1594"/>
        <item m="1" x="277"/>
        <item m="1" x="1074"/>
        <item m="1" x="132"/>
        <item m="1" x="1934"/>
        <item m="1" x="236"/>
        <item m="1" x="1283"/>
        <item m="1" x="2337"/>
        <item m="1" x="426"/>
        <item m="1" x="1606"/>
        <item m="1" x="1966"/>
        <item m="1" x="2391"/>
        <item m="1" x="2338"/>
        <item m="1" x="1354"/>
        <item m="1" x="1463"/>
        <item m="1" x="2340"/>
        <item m="1" x="657"/>
        <item m="1" x="2668"/>
        <item m="1" x="906"/>
        <item m="1" x="2341"/>
        <item sd="0" m="1" x="2739"/>
        <item x="45"/>
        <item m="1" x="463"/>
        <item m="1" x="924"/>
        <item m="1" x="1925"/>
        <item m="1" x="2342"/>
        <item m="1" x="2343"/>
        <item m="1" x="2344"/>
        <item m="1" x="963"/>
        <item m="1" x="2033"/>
        <item m="1" x="2346"/>
        <item sd="0" m="1" x="2223"/>
        <item m="1" x="2715"/>
        <item m="1" x="2613"/>
        <item m="1" x="677"/>
        <item m="1" x="1598"/>
        <item m="1" x="2021"/>
        <item m="1" x="2347"/>
        <item m="1" x="2348"/>
        <item m="1" x="1297"/>
        <item m="1" x="343"/>
        <item m="1" x="2551"/>
        <item m="1" x="353"/>
        <item m="1" x="1964"/>
        <item m="1" x="441"/>
        <item m="1" x="2050"/>
        <item m="1" x="901"/>
        <item m="1" x="1499"/>
        <item m="1" x="450"/>
        <item m="1" x="2654"/>
        <item m="1" x="1646"/>
        <item m="1" x="2466"/>
        <item m="1" x="1860"/>
        <item m="1" x="1299"/>
        <item m="1" x="2028"/>
        <item m="1" x="904"/>
        <item m="1" x="2350"/>
        <item m="1" x="135"/>
        <item m="1" x="2336"/>
        <item m="1" x="2349"/>
        <item m="1" x="2582"/>
        <item m="1" x="234"/>
        <item m="1" x="1524"/>
        <item m="1" x="1414"/>
        <item m="1" x="1301"/>
        <item m="1" x="133"/>
        <item m="1" x="507"/>
        <item m="1" x="527"/>
        <item m="1" x="2112"/>
        <item m="1" x="214"/>
        <item sd="0" m="1" x="213"/>
        <item m="1" x="1999"/>
        <item m="1" x="2352"/>
        <item m="1" x="1185"/>
        <item m="1" x="74"/>
        <item m="1" x="1311"/>
        <item m="1" x="2607"/>
        <item m="1" x="2151"/>
        <item m="1" x="1755"/>
        <item m="1" x="184"/>
        <item m="1" x="525"/>
        <item m="1" x="1312"/>
        <item m="1" x="1313"/>
        <item m="1" x="543"/>
        <item m="1" x="495"/>
        <item m="1" x="2008"/>
        <item m="1" x="1855"/>
        <item m="1" x="944"/>
        <item m="1" x="1081"/>
        <item m="1" x="223"/>
        <item m="1" x="2353"/>
        <item m="1" x="138"/>
        <item m="1" x="139"/>
        <item m="1" x="73"/>
        <item m="1" x="1007"/>
        <item m="1" x="2354"/>
        <item m="1" x="898"/>
        <item m="1" x="1756"/>
        <item m="1" x="2355"/>
        <item m="1" x="2356"/>
        <item m="1" x="1970"/>
        <item m="1" x="1985"/>
        <item m="1" x="1381"/>
        <item m="1" x="345"/>
        <item m="1" x="797"/>
        <item m="1" x="678"/>
        <item m="1" x="2358"/>
        <item m="1" x="2496"/>
        <item m="1" x="346"/>
        <item m="1" x="2661"/>
        <item m="1" x="237"/>
        <item m="1" x="1628"/>
        <item m="1" x="2359"/>
        <item m="1" x="140"/>
        <item m="1" x="1647"/>
        <item m="1" x="1316"/>
        <item m="1" x="1655"/>
        <item m="1" x="1632"/>
        <item m="1" x="1553"/>
        <item m="1" x="1942"/>
        <item m="1" x="1917"/>
        <item m="1" x="2683"/>
        <item m="1" x="836"/>
        <item m="1" x="2360"/>
        <item m="1" x="1949"/>
        <item m="1" x="712"/>
        <item m="1" x="2113"/>
        <item m="1" x="1285"/>
        <item m="1" x="271"/>
        <item m="1" x="1319"/>
        <item m="1" x="1011"/>
        <item m="1" x="2361"/>
        <item m="1" x="1357"/>
        <item m="1" x="349"/>
        <item m="1" x="2051"/>
        <item x="3"/>
        <item m="1" x="1963"/>
        <item m="1" x="619"/>
        <item m="1" x="2362"/>
        <item m="1" x="877"/>
        <item m="1" x="1893"/>
        <item m="1" x="1827"/>
        <item sd="0" m="1" x="245"/>
        <item m="1" x="996"/>
        <item m="1" x="384"/>
        <item m="1" x="2363"/>
        <item m="1" x="980"/>
        <item m="1" x="1548"/>
        <item m="1" x="2720"/>
        <item m="1" x="949"/>
        <item m="1" x="1102"/>
        <item m="1" x="689"/>
        <item m="1" x="639"/>
        <item m="1" x="1639"/>
        <item m="1" x="1321"/>
        <item m="1" x="1322"/>
        <item m="1" x="2366"/>
        <item m="1" x="528"/>
        <item m="1" x="1973"/>
        <item m="1" x="2553"/>
        <item m="1" x="2590"/>
        <item m="1" x="2583"/>
        <item m="1" x="342"/>
        <item m="1" x="1323"/>
        <item m="1" x="2052"/>
        <item m="1" x="1523"/>
        <item m="1" x="1786"/>
        <item m="1" x="1641"/>
        <item m="1" x="1829"/>
        <item m="1" x="681"/>
        <item m="1" x="350"/>
        <item m="1" x="2711"/>
        <item m="1" x="1324"/>
        <item m="1" x="390"/>
        <item m="1" x="1725"/>
        <item m="1" x="780"/>
        <item m="1" x="2621"/>
        <item m="1" x="955"/>
        <item m="1" x="1924"/>
        <item m="1" x="1950"/>
        <item m="1" x="787"/>
        <item sd="0" x="15"/>
        <item m="1" x="798"/>
        <item m="1" x="323"/>
        <item m="1" x="2364"/>
        <item m="1" x="973"/>
        <item m="1" x="142"/>
        <item m="1" x="2365"/>
        <item m="1" x="82"/>
        <item m="1" x="1372"/>
        <item m="1" x="1987"/>
        <item m="1" x="1831"/>
        <item m="1" x="1198"/>
        <item m="1" x="916"/>
        <item m="1" x="2685"/>
        <item m="1" x="1953"/>
        <item m="1" x="2703"/>
        <item m="1" x="682"/>
        <item m="1" x="264"/>
        <item m="1" x="2367"/>
        <item m="1" x="524"/>
        <item m="1" x="1328"/>
        <item m="1" x="1389"/>
        <item m="1" x="2369"/>
        <item m="1" x="1758"/>
        <item m="1" x="1821"/>
        <item m="1" x="965"/>
        <item m="1" x="1334"/>
        <item m="1" x="544"/>
        <item m="1" x="2053"/>
        <item m="1" x="2655"/>
        <item m="1" x="1807"/>
        <item m="1" x="2114"/>
        <item m="1" x="1345"/>
        <item m="1" x="2467"/>
        <item m="1" x="2370"/>
        <item m="1" x="964"/>
        <item m="1" x="209"/>
        <item m="1" x="2628"/>
        <item m="1" x="1588"/>
        <item m="1" x="1908"/>
        <item m="1" x="1385"/>
        <item m="1" x="1759"/>
        <item m="1" x="51"/>
        <item m="1" x="2371"/>
        <item m="1" x="1275"/>
        <item sd="0" m="1" x="2677"/>
        <item m="1" x="987"/>
        <item m="1" x="2010"/>
        <item m="1" x="683"/>
        <item m="1" x="1760"/>
        <item m="1" x="2373"/>
        <item m="1" x="864"/>
        <item m="1" x="2054"/>
        <item m="1" x="1945"/>
        <item m="1" x="684"/>
        <item m="1" x="572"/>
        <item m="1" x="145"/>
        <item m="1" x="479"/>
        <item m="1" x="1188"/>
        <item m="1" x="799"/>
        <item m="1" x="1833"/>
        <item m="1" x="2375"/>
        <item m="1" x="1761"/>
        <item m="1" x="1883"/>
        <item m="1" x="1048"/>
        <item m="1" x="2568"/>
        <item m="1" x="1891"/>
        <item m="1" x="2376"/>
        <item m="1" x="1716"/>
        <item m="1" x="1642"/>
        <item m="1" x="2377"/>
        <item m="1" x="2432"/>
        <item m="1" x="1542"/>
        <item m="1" x="2691"/>
        <item m="1" x="1370"/>
        <item m="1" x="1133"/>
        <item m="1" x="1636"/>
        <item m="1" x="1815"/>
        <item m="1" x="2665"/>
        <item m="1" x="1320"/>
        <item m="1" x="1447"/>
        <item m="1" x="466"/>
        <item m="1" x="1431"/>
        <item m="1" x="481"/>
        <item m="1" x="1307"/>
        <item m="1" x="1527"/>
        <item m="1" x="1077"/>
        <item m="1" x="297"/>
        <item m="1" x="2006"/>
        <item m="1" x="147"/>
        <item m="1" x="2378"/>
        <item m="1" x="1199"/>
        <item m="1" x="1452"/>
        <item m="1" x="999"/>
        <item m="1" x="2379"/>
        <item m="1" x="113"/>
        <item m="1" x="355"/>
        <item m="1" x="1196"/>
        <item m="1" x="1075"/>
        <item m="1" x="831"/>
        <item m="1" x="802"/>
        <item m="1" x="1202"/>
        <item m="1" x="2055"/>
        <item m="1" x="1536"/>
        <item m="1" x="568"/>
        <item m="1" x="1038"/>
        <item m="1" x="2025"/>
        <item m="1" x="317"/>
        <item m="1" x="1157"/>
        <item m="1" x="154"/>
        <item m="1" x="1300"/>
        <item m="1" x="1485"/>
        <item m="1" x="975"/>
        <item m="1" x="2555"/>
        <item m="1" x="2393"/>
        <item m="1" x="687"/>
        <item m="1" x="293"/>
        <item m="1" x="262"/>
        <item m="1" x="2673"/>
        <item m="1" x="1068"/>
        <item m="1" x="2394"/>
        <item m="1" x="2604"/>
        <item m="1" x="1059"/>
        <item m="1" x="2626"/>
        <item m="1" x="976"/>
        <item m="1" x="2620"/>
        <item m="1" x="1926"/>
        <item m="1" x="2395"/>
        <item m="1" x="2396"/>
        <item m="1" x="224"/>
        <item m="1" x="263"/>
        <item m="1" x="1530"/>
        <item m="1" x="1692"/>
        <item m="1" x="1227"/>
        <item m="1" x="83"/>
        <item m="1" x="2629"/>
        <item m="1" x="2397"/>
        <item m="1" x="2595"/>
        <item m="1" x="1427"/>
        <item m="1" x="1920"/>
        <item m="1" x="808"/>
        <item m="1" x="1428"/>
        <item m="1" x="810"/>
        <item m="1" x="2116"/>
        <item m="1" x="225"/>
        <item m="1" x="2398"/>
        <item m="1" x="1429"/>
        <item m="1" x="2399"/>
        <item m="1" x="688"/>
        <item m="1" x="377"/>
        <item m="1" x="2400"/>
        <item m="1" x="1430"/>
        <item m="1" x="1637"/>
        <item m="1" x="1488"/>
        <item m="1" x="1432"/>
        <item m="1" x="2401"/>
        <item m="1" x="2402"/>
        <item m="1" x="247"/>
        <item m="1" x="480"/>
        <item m="1" x="2623"/>
        <item m="1" x="1765"/>
        <item m="1" x="1518"/>
        <item m="1" x="957"/>
        <item m="1" x="2403"/>
        <item m="1" x="885"/>
        <item m="1" x="2405"/>
        <item m="1" x="2082"/>
        <item m="1" x="2060"/>
        <item m="1" x="467"/>
        <item m="1" x="1373"/>
        <item m="1" x="2406"/>
        <item m="1" x="1837"/>
        <item m="1" x="912"/>
        <item m="1" x="1576"/>
        <item m="1" x="1394"/>
        <item m="1" x="1448"/>
        <item m="1" x="1422"/>
        <item m="1" x="889"/>
        <item m="1" x="1449"/>
        <item m="1" x="1159"/>
        <item m="1" x="66"/>
        <item m="1" x="1894"/>
        <item m="1" x="314"/>
        <item m="1" x="163"/>
        <item m="1" x="1451"/>
        <item m="1" x="2491"/>
        <item m="1" x="381"/>
        <item m="1" x="2407"/>
        <item m="1" x="2408"/>
        <item m="1" x="2410"/>
        <item m="1" x="2675"/>
        <item m="1" x="1751"/>
        <item m="1" x="2409"/>
        <item m="1" x="382"/>
        <item m="1" x="1483"/>
        <item m="1" x="246"/>
        <item m="1" x="1454"/>
        <item m="1" x="1766"/>
        <item m="1" x="55"/>
        <item m="1" x="468"/>
        <item m="1" x="1220"/>
        <item m="1" x="395"/>
        <item m="1" x="1206"/>
        <item sd="0" m="1" x="2727"/>
        <item sd="0" m="1" x="308"/>
        <item m="1" x="1910"/>
        <item m="1" x="1457"/>
        <item m="1" x="1456"/>
        <item m="1" x="1458"/>
        <item m="1" x="624"/>
        <item m="1" x="1444"/>
        <item m="1" x="1787"/>
        <item m="1" x="2566"/>
        <item m="1" x="2411"/>
        <item m="1" x="367"/>
        <item m="1" x="2412"/>
        <item m="1" x="289"/>
        <item m="1" x="2413"/>
        <item m="1" x="1543"/>
        <item m="1" x="2414"/>
        <item m="1" x="1722"/>
        <item m="1" x="170"/>
        <item m="1" x="2404"/>
        <item m="1" x="160"/>
        <item m="1" x="1392"/>
        <item m="1" x="2693"/>
        <item m="1" x="2556"/>
        <item m="1" x="2415"/>
        <item m="1" x="733"/>
        <item m="1" x="1656"/>
        <item x="14"/>
        <item m="1" x="1912"/>
        <item m="1" x="1528"/>
        <item m="1" x="1284"/>
        <item m="1" x="165"/>
        <item m="1" x="2270"/>
        <item m="1" x="1914"/>
        <item m="1" x="2653"/>
        <item m="1" x="2118"/>
        <item m="1" x="1390"/>
        <item m="1" x="2034"/>
        <item m="1" x="816"/>
        <item m="1" x="166"/>
        <item m="1" x="1281"/>
        <item m="1" x="1395"/>
        <item m="1" x="1471"/>
        <item m="1" x="144"/>
        <item m="1" x="2019"/>
        <item m="1" x="586"/>
        <item m="1" x="2602"/>
        <item m="1" x="2417"/>
        <item m="1" x="2418"/>
        <item m="1" x="817"/>
        <item m="1" x="2636"/>
        <item m="1" x="1409"/>
        <item m="1" x="1472"/>
        <item m="1" x="690"/>
        <item m="1" x="1473"/>
        <item m="1" x="2419"/>
        <item m="1" x="2420"/>
        <item m="1" x="915"/>
        <item m="1" x="2421"/>
        <item m="1" x="2709"/>
        <item m="1" x="2422"/>
        <item m="1" x="2423"/>
        <item m="1" x="2260"/>
        <item m="1" x="862"/>
        <item m="1" x="2684"/>
        <item m="1" x="882"/>
        <item m="1" x="2424"/>
        <item m="1" x="1882"/>
        <item m="1" x="1347"/>
        <item m="1" x="691"/>
        <item m="1" x="2690"/>
        <item m="1" x="351"/>
        <item m="1" x="2139"/>
        <item m="1" x="2469"/>
        <item m="1" x="1034"/>
        <item m="1" x="501"/>
        <item m="1" x="818"/>
        <item m="1" x="819"/>
        <item m="1" x="914"/>
        <item m="1" x="63"/>
        <item m="1" x="2119"/>
        <item m="1" x="656"/>
        <item m="1" x="2425"/>
        <item m="1" x="149"/>
        <item m="1" x="387"/>
        <item m="1" x="557"/>
        <item m="1" x="1785"/>
        <item m="1" x="2061"/>
        <item m="1" x="440"/>
        <item m="1" x="2099"/>
        <item m="1" x="2426"/>
        <item m="1" x="995"/>
        <item m="1" x="1767"/>
        <item m="1" x="991"/>
        <item m="1" x="386"/>
        <item m="1" x="434"/>
        <item m="1" x="2428"/>
        <item m="1" x="2120"/>
        <item m="1" x="820"/>
        <item m="1" x="1994"/>
        <item m="1" x="487"/>
        <item m="1" x="95"/>
        <item m="1" x="482"/>
        <item m="1" x="87"/>
        <item m="1" x="1938"/>
        <item m="1" x="2062"/>
        <item m="1" x="371"/>
        <item m="1" x="210"/>
        <item m="1" x="2671"/>
        <item m="1" x="312"/>
        <item m="1" x="1923"/>
        <item m="1" x="120"/>
        <item m="1" x="2429"/>
        <item m="1" x="966"/>
        <item m="1" x="821"/>
        <item m="1" x="2068"/>
        <item m="1" x="1489"/>
        <item m="1" x="1490"/>
        <item m="1" x="1491"/>
        <item m="1" x="2430"/>
        <item m="1" x="1684"/>
        <item m="1" x="1379"/>
        <item m="1" x="1730"/>
        <item m="1" x="1800"/>
        <item m="1" x="162"/>
        <item m="1" x="1314"/>
        <item m="1" x="694"/>
        <item m="1" x="1493"/>
        <item m="1" x="1435"/>
        <item m="1" x="611"/>
        <item m="1" x="1018"/>
        <item m="1" x="2384"/>
        <item m="1" x="2616"/>
        <item m="1" x="2561"/>
        <item m="1" x="1290"/>
        <item m="1" x="1156"/>
        <item m="1" x="401"/>
        <item m="1" x="2142"/>
        <item m="1" x="383"/>
        <item m="1" x="2433"/>
        <item m="1" x="380"/>
        <item m="1" x="2434"/>
        <item m="1" x="1986"/>
        <item m="1" x="695"/>
        <item m="1" x="1688"/>
        <item m="1" x="907"/>
        <item m="1" x="2387"/>
        <item m="1" x="310"/>
        <item m="1" x="168"/>
        <item m="1" x="954"/>
        <item m="1" x="1342"/>
        <item m="1" x="328"/>
        <item m="1" x="822"/>
        <item m="1" x="403"/>
        <item m="1" x="1486"/>
        <item m="1" x="339"/>
        <item m="1" x="823"/>
        <item m="1" x="2435"/>
        <item m="1" x="502"/>
        <item m="1" x="565"/>
        <item m="1" x="1501"/>
        <item m="1" x="1023"/>
        <item m="1" x="2436"/>
        <item sd="0" m="1" x="2733"/>
        <item m="1" x="1217"/>
        <item m="1" x="800"/>
        <item m="1" x="1467"/>
        <item m="1" x="389"/>
        <item m="1" x="2063"/>
        <item m="1" x="2437"/>
        <item m="1" x="1064"/>
        <item m="1" x="853"/>
        <item m="1" x="936"/>
        <item m="1" x="1596"/>
        <item m="1" x="1502"/>
        <item m="1" x="2438"/>
        <item m="1" x="2129"/>
        <item m="1" x="174"/>
        <item m="1" x="2064"/>
        <item m="1" x="161"/>
        <item m="1" x="931"/>
        <item m="1" x="2584"/>
        <item m="1" x="923"/>
        <item m="1" x="2439"/>
        <item m="1" x="227"/>
        <item m="1" x="1517"/>
        <item m="1" x="2440"/>
        <item x="25"/>
        <item m="1" x="392"/>
        <item m="1" x="824"/>
        <item m="1" x="886"/>
        <item m="1" x="1396"/>
        <item m="1" x="1480"/>
        <item m="1" x="2065"/>
        <item m="1" x="1680"/>
        <item m="1" x="1511"/>
        <item m="1" x="393"/>
        <item m="1" x="2441"/>
        <item m="1" x="1792"/>
        <item m="1" x="172"/>
        <item m="1" x="1967"/>
        <item m="1" x="1512"/>
        <item m="1" x="825"/>
        <item m="1" x="71"/>
        <item m="1" x="1944"/>
        <item m="1" x="2594"/>
        <item m="1" x="2382"/>
        <item m="1" x="1665"/>
        <item m="1" x="2442"/>
        <item m="1" x="375"/>
        <item m="1" x="985"/>
        <item m="1" x="257"/>
        <item m="1" x="1119"/>
        <item m="1" x="2443"/>
        <item m="1" x="721"/>
        <item m="1" x="2444"/>
        <item m="1" x="1376"/>
        <item m="1" x="670"/>
        <item m="1" x="1768"/>
        <item m="1" x="2445"/>
        <item m="1" x="1943"/>
        <item m="1" x="67"/>
        <item m="1" x="1222"/>
        <item m="1" x="2070"/>
        <item m="1" x="180"/>
        <item m="1" x="124"/>
        <item m="1" x="1968"/>
        <item m="1" x="396"/>
        <item m="1" x="1525"/>
        <item m="1" x="1295"/>
        <item m="1" x="340"/>
        <item m="1" x="2447"/>
        <item m="1" x="422"/>
        <item m="1" x="2448"/>
        <item m="1" x="563"/>
        <item m="1" x="893"/>
        <item m="1" x="894"/>
        <item m="1" x="696"/>
        <item m="1" x="2450"/>
        <item m="1" x="1066"/>
        <item m="1" x="2066"/>
        <item m="1" x="2646"/>
        <item m="1" x="2570"/>
        <item m="1" x="1443"/>
        <item m="1" x="226"/>
        <item m="1" x="157"/>
        <item m="1" x="1383"/>
        <item m="1" x="940"/>
        <item m="1" x="2014"/>
        <item m="1" x="697"/>
        <item m="1" x="698"/>
        <item m="1" x="587"/>
        <item m="1" x="2451"/>
        <item m="1" x="1580"/>
        <item m="1" x="2532"/>
        <item m="1" x="253"/>
        <item m="1" x="1814"/>
        <item m="1" x="1118"/>
        <item m="1" x="1180"/>
        <item m="1" x="827"/>
        <item m="1" x="2121"/>
        <item m="1" x="1619"/>
        <item m="1" x="1035"/>
        <item m="1" x="2723"/>
        <item m="1" x="2639"/>
        <item m="1" x="2009"/>
        <item m="1" x="119"/>
        <item m="1" x="1534"/>
        <item m="1" x="2452"/>
        <item m="1" x="1291"/>
        <item m="1" x="398"/>
        <item m="1" x="1728"/>
        <item m="1" x="2316"/>
        <item m="1" x="1560"/>
        <item m="1" x="2619"/>
        <item m="1" x="469"/>
        <item m="1" x="1769"/>
        <item m="1" x="1889"/>
        <item m="1" x="699"/>
        <item sd="0" m="1" x="2732"/>
        <item m="1" x="569"/>
        <item m="1" x="803"/>
        <item x="17"/>
        <item m="1" x="2453"/>
        <item m="1" x="1995"/>
        <item m="1" x="2454"/>
        <item m="1" x="1296"/>
        <item m="1" x="1866"/>
        <item m="1" x="1731"/>
        <item m="1" x="1537"/>
        <item m="1" x="1609"/>
        <item m="1" x="2574"/>
        <item m="1" x="1538"/>
        <item m="1" x="483"/>
        <item m="1" x="1603"/>
        <item m="1" x="178"/>
        <item m="1" x="1791"/>
        <item m="1" x="1840"/>
        <item m="1" x="958"/>
        <item m="1" x="402"/>
        <item sd="0" m="1" x="258"/>
        <item sd="0" m="1" x="2725"/>
        <item m="1" x="1033"/>
        <item m="1" x="1798"/>
        <item m="1" x="1013"/>
        <item m="1" x="186"/>
        <item m="1" x="1916"/>
        <item m="1" x="968"/>
        <item m="1" x="2599"/>
        <item m="1" x="2140"/>
        <item m="1" x="796"/>
        <item m="1" x="1540"/>
        <item m="1" x="1541"/>
        <item m="1" x="701"/>
        <item m="1" x="1856"/>
        <item m="1" x="897"/>
        <item m="1" x="1857"/>
        <item m="1" x="2455"/>
        <item m="1" x="2660"/>
        <item m="1" x="1115"/>
        <item m="1" x="2471"/>
        <item m="1" x="1896"/>
        <item m="1" x="680"/>
        <item m="1" x="705"/>
        <item m="1" x="446"/>
        <item m="1" x="1350"/>
        <item m="1" x="600"/>
        <item m="1" x="1001"/>
        <item m="1" x="702"/>
        <item m="1" x="1545"/>
        <item x="2"/>
        <item m="1" x="531"/>
        <item m="1" x="634"/>
        <item m="1" x="814"/>
        <item m="1" x="556"/>
        <item x="21"/>
        <item m="1" x="2679"/>
        <item sd="0" m="1" x="1190"/>
        <item m="1" x="1823"/>
        <item m="1" x="790"/>
        <item m="1" x="2696"/>
        <item m="1" x="1127"/>
        <item m="1" x="845"/>
        <item m="1" x="347"/>
        <item m="1" x="1559"/>
        <item m="1" x="1116"/>
        <item m="1" x="1839"/>
        <item m="1" x="1721"/>
        <item m="1" x="1144"/>
        <item m="1" x="1107"/>
        <item m="1" x="888"/>
        <item m="1" x="1332"/>
        <item m="1" x="1845"/>
        <item sd="0" m="1" x="522"/>
        <item m="1" x="1714"/>
        <item m="1" x="1841"/>
        <item m="1" x="627"/>
        <item m="1" x="409"/>
        <item m="1" x="1040"/>
        <item m="1" x="1862"/>
        <item m="1" x="1969"/>
        <item m="1" x="379"/>
        <item m="1" x="1988"/>
        <item m="1" x="703"/>
        <item m="1" x="187"/>
        <item m="1" x="470"/>
        <item m="1" x="2122"/>
        <item m="1" x="1838"/>
        <item m="1" x="1564"/>
        <item m="1" x="198"/>
        <item x="39"/>
        <item m="1" x="913"/>
        <item m="1" x="1867"/>
        <item m="1" x="2458"/>
        <item m="1" x="1529"/>
        <item m="1" x="2459"/>
        <item m="1" x="2460"/>
        <item m="1" x="2462"/>
        <item m="1" x="830"/>
        <item m="1" x="704"/>
        <item m="1" x="2609"/>
        <item m="1" x="305"/>
        <item m="1" x="953"/>
        <item m="1" x="977"/>
        <item m="1" x="2463"/>
        <item m="1" x="2591"/>
        <item m="1" x="2299"/>
        <item m="1" x="189"/>
        <item m="1" x="2381"/>
        <item m="1" x="2662"/>
        <item m="1" x="228"/>
        <item m="1" x="2457"/>
        <item m="1" x="2032"/>
        <item m="1" x="961"/>
        <item m="1" x="1610"/>
        <item m="1" x="229"/>
        <item m="1" x="1772"/>
        <item m="1" x="1567"/>
        <item m="1" x="362"/>
        <item m="1" x="1029"/>
        <item m="1" x="829"/>
        <item m="1" x="1582"/>
        <item m="1" x="447"/>
        <item m="1" x="1150"/>
        <item sd="0" m="1" x="2736"/>
        <item m="1" x="1178"/>
        <item m="1" x="1514"/>
        <item m="1" x="1583"/>
        <item m="1" x="1584"/>
        <item m="1" x="1134"/>
        <item m="1" x="707"/>
        <item m="1" x="1561"/>
        <item m="1" x="2472"/>
        <item m="1" x="2011"/>
        <item m="1" x="1585"/>
        <item m="1" x="1338"/>
        <item m="1" x="909"/>
        <item m="1" x="700"/>
        <item m="1" x="77"/>
        <item m="1" x="2562"/>
        <item m="1" x="1586"/>
        <item m="1" x="2473"/>
        <item m="1" x="1685"/>
        <item m="1" x="564"/>
        <item m="1" x="1110"/>
        <item x="30"/>
        <item m="1" x="2474"/>
        <item m="1" x="2576"/>
        <item m="1" x="2610"/>
        <item m="1" x="1696"/>
        <item m="1" x="1051"/>
        <item m="1" x="2475"/>
        <item m="1" x="2476"/>
        <item m="1" x="1629"/>
        <item m="1" x="2477"/>
        <item m="1" x="1922"/>
        <item m="1" x="2479"/>
        <item m="1" x="2478"/>
        <item m="1" x="1676"/>
        <item m="1" x="1965"/>
        <item m="1" x="2695"/>
        <item m="1" x="496"/>
        <item m="1" x="1990"/>
        <item m="1" x="2689"/>
        <item m="1" x="1590"/>
        <item m="1" x="1155"/>
        <item m="1" x="881"/>
        <item m="1" x="2480"/>
        <item x="11"/>
        <item m="1" x="1960"/>
        <item m="1" x="2481"/>
        <item m="1" x="520"/>
        <item m="1" x="1028"/>
        <item m="1" x="352"/>
        <item m="1" x="2482"/>
        <item m="1" x="504"/>
        <item m="1" x="1496"/>
        <item m="1" x="928"/>
        <item m="1" x="2468"/>
        <item m="1" x="1024"/>
        <item m="1" x="1854"/>
        <item m="1" x="2483"/>
        <item m="1" x="1593"/>
        <item m="1" x="2680"/>
        <item m="1" x="1061"/>
        <item m="1" x="243"/>
        <item m="1" x="191"/>
        <item m="1" x="1579"/>
        <item m="1" x="1595"/>
        <item m="1" x="192"/>
        <item m="1" x="298"/>
        <item m="1" x="1601"/>
        <item m="1" x="962"/>
        <item m="1" x="2485"/>
        <item m="1" x="2124"/>
        <item m="1" x="1421"/>
        <item m="1" x="2005"/>
        <item m="1" x="1648"/>
        <item m="1" x="2125"/>
        <item m="1" x="1184"/>
        <item m="1" x="2676"/>
        <item m="1" x="1604"/>
        <item m="1" x="1558"/>
        <item m="1" x="194"/>
        <item m="1" x="2126"/>
        <item m="1" x="307"/>
        <item m="1" x="588"/>
        <item m="1" x="1168"/>
        <item m="1" x="193"/>
        <item m="1" x="972"/>
        <item m="1" x="413"/>
        <item m="1" x="414"/>
        <item m="1" x="415"/>
        <item m="1" x="169"/>
        <item m="1" x="416"/>
        <item m="1" x="1445"/>
        <item m="1" x="833"/>
        <item m="1" x="2486"/>
        <item m="1" x="1570"/>
        <item m="1" x="855"/>
        <item m="1" x="1533"/>
        <item m="1" x="2487"/>
        <item m="1" x="1842"/>
        <item m="1" x="1773"/>
        <item m="1" x="2488"/>
        <item m="1" x="1563"/>
        <item m="1" x="902"/>
        <item m="1" x="435"/>
        <item m="1" x="860"/>
        <item m="1" x="1121"/>
        <item m="1" x="708"/>
        <item m="1" x="2490"/>
        <item m="1" x="542"/>
        <item m="1" x="1607"/>
        <item m="1" x="1608"/>
        <item m="1" x="1335"/>
        <item sd="0" m="1" x="2719"/>
        <item m="1" x="1864"/>
        <item m="1" x="742"/>
        <item m="1" x="2368"/>
        <item m="1" x="832"/>
        <item m="1" x="1117"/>
        <item m="1" x="239"/>
        <item m="1" x="1426"/>
        <item m="1" x="2492"/>
        <item m="1" x="2493"/>
        <item m="1" x="196"/>
        <item m="1" x="2494"/>
        <item m="1" x="278"/>
        <item sd="0" m="1" x="2740"/>
        <item m="1" x="2069"/>
        <item m="1" x="1797"/>
        <item m="1" x="143"/>
        <item m="1" x="1611"/>
        <item x="42"/>
        <item m="1" x="608"/>
        <item m="1" x="1848"/>
        <item m="1" x="602"/>
        <item m="1" x="1858"/>
        <item m="1" x="1849"/>
        <item m="1" x="1976"/>
        <item m="1" x="1929"/>
        <item m="1" x="603"/>
        <item m="1" x="770"/>
        <item m="1" x="1850"/>
        <item m="1" x="601"/>
        <item m="1" x="606"/>
        <item m="1" x="610"/>
        <item m="1" x="1852"/>
        <item m="1" x="515"/>
        <item sd="0" x="29"/>
        <item m="1" x="1661"/>
        <item x="41"/>
        <item m="1" x="596"/>
        <item m="1" x="1662"/>
        <item m="1" x="514"/>
        <item m="1" x="595"/>
        <item m="1" x="1977"/>
        <item m="1" x="1358"/>
        <item m="1" x="1847"/>
        <item m="1" x="605"/>
        <item m="1" x="1846"/>
        <item m="1" x="609"/>
        <item sd="0" m="1" x="604"/>
        <item x="28"/>
        <item sd="0" m="1" x="2730"/>
        <item sd="0" m="1" x="2735"/>
        <item sd="0" x="26"/>
        <item m="1" x="857"/>
        <item m="1" x="1861"/>
        <item m="1" x="2027"/>
        <item m="1" x="2035"/>
        <item m="1" x="1881"/>
        <item m="1" x="92"/>
        <item m="1" x="1666"/>
        <item m="1" x="1974"/>
        <item m="1" x="1017"/>
        <item m="1" x="805"/>
        <item m="1" x="2699"/>
        <item m="1" x="2427"/>
        <item m="1" x="2446"/>
        <item m="1" x="151"/>
        <item m="1" x="709"/>
        <item m="1" x="1659"/>
        <item m="1" x="421"/>
        <item m="1" x="2067"/>
        <item m="1" x="2495"/>
        <item m="1" x="921"/>
        <item m="1" x="2238"/>
        <item sd="0" m="1" x="2738"/>
        <item m="1" x="1423"/>
        <item m="1" x="582"/>
        <item m="1" x="2123"/>
        <item m="1" x="70"/>
        <item m="1" x="2497"/>
        <item m="1" x="325"/>
        <item m="1" x="2156"/>
        <item m="1" x="2498"/>
        <item m="1" x="2461"/>
        <item m="1" x="1234"/>
        <item m="1" x="934"/>
        <item m="1" x="2672"/>
        <item m="1" x="1067"/>
        <item m="1" x="2256"/>
        <item m="1" x="1308"/>
        <item m="1" x="1669"/>
        <item m="1" x="1446"/>
        <item m="1" x="1154"/>
        <item m="1" x="2127"/>
        <item m="1" x="423"/>
        <item m="1" x="1400"/>
        <item m="1" x="424"/>
        <item m="1" x="1958"/>
        <item m="1" x="197"/>
        <item m="1" x="2499"/>
        <item m="1" x="1673"/>
        <item m="1" x="517"/>
        <item m="1" x="1477"/>
        <item m="1" x="2500"/>
        <item m="1" x="1808"/>
        <item m="1" x="892"/>
        <item m="1" x="1138"/>
        <item m="1" x="275"/>
        <item m="1" x="834"/>
        <item m="1" x="79"/>
        <item m="1" x="910"/>
        <item m="1" x="136"/>
        <item m="1" x="203"/>
        <item m="1" x="2575"/>
        <item m="1" x="2585"/>
        <item m="1" x="939"/>
        <item m="1" x="1366"/>
        <item m="1" x="1136"/>
        <item m="1" x="1605"/>
        <item m="1" x="1226"/>
        <item m="1" x="484"/>
        <item m="1" x="1677"/>
        <item m="1" x="2714"/>
        <item m="1" x="993"/>
        <item m="1" x="1387"/>
        <item m="1" x="1678"/>
        <item m="1" x="1895"/>
        <item m="1" x="1365"/>
        <item m="1" x="1649"/>
        <item m="1" x="1620"/>
        <item m="1" x="1599"/>
        <item m="1" x="1122"/>
        <item m="1" x="489"/>
        <item m="1" x="1352"/>
        <item m="1" x="1616"/>
        <item m="1" x="835"/>
        <item m="1" x="2515"/>
        <item m="1" x="230"/>
        <item m="1" x="533"/>
        <item m="1" x="2501"/>
        <item m="1" x="261"/>
        <item m="1" x="201"/>
        <item m="1" x="285"/>
        <item m="1" x="2502"/>
        <item m="1" x="1187"/>
        <item m="1" x="552"/>
        <item m="1" x="2503"/>
        <item m="1" x="630"/>
        <item m="1" x="859"/>
        <item m="1" x="1975"/>
        <item m="1" x="2504"/>
        <item m="1" x="2713"/>
        <item m="1" x="2694"/>
        <item m="1" x="1076"/>
        <item m="1" x="905"/>
        <item m="1" x="2514"/>
        <item m="1" x="1828"/>
        <item m="1" x="1164"/>
        <item m="1" x="1415"/>
        <item m="1" x="2587"/>
        <item m="1" x="2698"/>
        <item m="1" x="1697"/>
        <item m="1" x="1401"/>
        <item m="1" x="1292"/>
        <item m="1" x="2505"/>
        <item m="1" x="2702"/>
        <item m="1" x="280"/>
        <item m="1" x="879"/>
        <item m="1" x="937"/>
        <item x="34"/>
        <item m="1" x="365"/>
        <item m="1" x="1566"/>
        <item m="1" x="710"/>
        <item m="1" x="490"/>
        <item sd="0" m="1" x="493"/>
        <item m="1" x="711"/>
        <item m="1" x="400"/>
        <item m="1" x="2507"/>
        <item m="1" x="2624"/>
        <item m="1" x="632"/>
        <item m="1" x="2189"/>
        <item m="1" x="1631"/>
        <item m="1" x="2706"/>
        <item m="1" x="729"/>
        <item m="1" x="2617"/>
        <item x="24"/>
        <item m="1" x="1331"/>
        <item m="1" x="838"/>
        <item m="1" x="2022"/>
        <item m="1" x="1689"/>
        <item m="1" x="1690"/>
        <item m="1" x="2308"/>
        <item m="1" x="1794"/>
        <item m="1" x="1173"/>
        <item m="1" x="651"/>
        <item m="1" x="2652"/>
        <item m="1" x="1101"/>
        <item m="1" x="2128"/>
        <item m="1" x="613"/>
        <item m="1" x="137"/>
        <item m="1" x="813"/>
        <item m="1" x="2603"/>
        <item m="1" x="1343"/>
        <item m="1" x="2509"/>
        <item m="1" x="839"/>
        <item m="1" x="1691"/>
        <item m="1" x="121"/>
        <item m="1" x="425"/>
        <item m="1" x="2431"/>
        <item m="1" x="1890"/>
        <item m="1" x="1776"/>
        <item m="1" x="1904"/>
        <item m="1" x="2144"/>
        <item m="1" x="62"/>
        <item m="1" x="1055"/>
        <item m="1" x="840"/>
        <item m="1" x="2383"/>
        <item m="1" x="1578"/>
        <item m="1" x="2510"/>
        <item m="1" x="1660"/>
        <item m="1" x="485"/>
        <item m="1" x="1207"/>
        <item m="1" x="1693"/>
        <item m="1" x="1663"/>
        <item m="1" x="1657"/>
        <item m="1" x="858"/>
        <item m="1" x="2511"/>
        <item m="1" x="2001"/>
        <item m="1" x="841"/>
        <item m="1" x="1411"/>
        <item m="1" x="837"/>
        <item m="1" x="2597"/>
        <item m="1" x="1694"/>
        <item m="1" x="1801"/>
        <item m="1" x="1695"/>
        <item m="1" x="1681"/>
        <item m="1" x="1587"/>
        <item m="1" x="1160"/>
        <item m="1" x="1569"/>
        <item m="1" x="998"/>
        <item m="1" x="856"/>
        <item m="1" x="1166"/>
        <item m="1" x="2512"/>
        <item m="1" x="150"/>
        <item m="1" x="2149"/>
        <item m="1" x="1223"/>
        <item m="1" x="212"/>
        <item m="1" x="918"/>
        <item m="1" x="1989"/>
        <item m="1" x="1979"/>
        <item m="1" x="2268"/>
        <item m="1" x="56"/>
        <item m="1" x="1562"/>
        <item m="1" x="1581"/>
        <item m="1" x="2390"/>
        <item m="1" x="969"/>
        <item m="1" x="473"/>
        <item m="1" x="843"/>
        <item m="1" x="1625"/>
        <item m="1" x="935"/>
        <item m="1" x="2023"/>
        <item m="1" x="1462"/>
        <item m="1" x="2666"/>
        <item m="1" x="2024"/>
        <item x="9"/>
        <item m="1" x="1698"/>
        <item m="1" x="1375"/>
        <item m="1" x="1699"/>
        <item m="1" x="179"/>
        <item m="1" x="2148"/>
        <item m="1" x="589"/>
        <item m="1" x="558"/>
        <item m="1" x="1019"/>
        <item m="1" x="69"/>
        <item m="1" x="199"/>
        <item m="1" x="844"/>
        <item m="1" x="714"/>
        <item m="1" x="2449"/>
        <item m="1" x="715"/>
        <item m="1" x="1670"/>
        <item m="1" x="1407"/>
        <item m="1" x="2130"/>
        <item m="1" x="1702"/>
        <item m="1" x="427"/>
        <item m="1" x="190"/>
        <item m="1" x="1479"/>
        <item m="1" x="679"/>
        <item m="1" x="716"/>
        <item m="1" x="65"/>
        <item m="1" x="1703"/>
        <item m="1" x="1851"/>
        <item m="1" x="717"/>
        <item m="1" x="486"/>
        <item m="1" x="231"/>
        <item m="1" x="2079"/>
        <item m="1" x="2131"/>
        <item m="1" x="1626"/>
        <item m="1" x="2516"/>
        <item m="1" x="1374"/>
        <item m="1" x="1280"/>
        <item m="1" x="927"/>
        <item m="1" x="299"/>
        <item sd="0" m="1" x="2734"/>
        <item m="1" x="1843"/>
        <item m="1" x="1991"/>
        <item m="1" x="200"/>
        <item m="1" x="1859"/>
        <item m="1" x="86"/>
        <item m="1" x="1268"/>
        <item m="1" x="1417"/>
        <item m="1" x="1706"/>
        <item m="1" x="1269"/>
        <item m="1" x="2132"/>
        <item m="1" x="989"/>
        <item m="1" x="1704"/>
        <item m="1" x="637"/>
        <item m="1" x="706"/>
        <item sd="0" m="1" x="640"/>
        <item m="1" x="842"/>
        <item m="1" x="105"/>
        <item m="1" x="173"/>
        <item m="1" x="1495"/>
        <item m="1" x="896"/>
        <item m="1" x="2517"/>
        <item m="1" x="2518"/>
        <item m="1" x="982"/>
        <item m="1" x="2519"/>
        <item m="1" x="718"/>
        <item m="1" x="1705"/>
        <item m="1" x="1519"/>
        <item m="1" x="2644"/>
        <item m="1" x="2640"/>
        <item m="1" x="2520"/>
        <item m="1" x="1025"/>
        <item m="1" x="1182"/>
        <item m="1" x="1946"/>
        <item m="1" x="1635"/>
        <item m="1" x="984"/>
        <item m="1" x="1274"/>
        <item m="1" x="2521"/>
        <item m="1" x="1633"/>
        <item m="1" x="2522"/>
        <item m="1" x="861"/>
        <item m="1" x="1707"/>
        <item m="1" x="1834"/>
        <item m="1" x="1634"/>
        <item m="1" x="2700"/>
        <item m="1" x="127"/>
        <item m="1" x="1032"/>
        <item m="1" x="2203"/>
        <item m="1" x="1404"/>
        <item m="1" x="1494"/>
        <item m="1" x="1770"/>
        <item m="1" x="1983"/>
        <item m="1" x="2523"/>
        <item m="1" x="1709"/>
        <item m="1" x="1777"/>
        <item m="1" x="2525"/>
        <item m="1" x="719"/>
        <item m="1" x="1927"/>
        <item m="1" x="1996"/>
        <item m="1" x="846"/>
        <item m="1" x="2526"/>
        <item m="1" x="2392"/>
        <item m="1" x="519"/>
        <item m="1" x="1086"/>
        <item m="1" x="2059"/>
        <item m="1" x="598"/>
        <item m="1" x="757"/>
        <item m="1" x="535"/>
        <item m="1" x="2133"/>
        <item m="1" x="2527"/>
        <item m="1" x="204"/>
        <item m="1" x="720"/>
        <item x="35"/>
        <item m="1" x="1713"/>
        <item m="1" x="1014"/>
        <item m="1" x="1424"/>
        <item m="1" x="941"/>
        <item m="1" x="2712"/>
        <item m="1" x="420"/>
        <item m="1" x="2528"/>
        <item m="1" x="1391"/>
        <item m="1" x="2012"/>
        <item m="1" x="2573"/>
        <item m="1" x="938"/>
        <item m="1" x="2134"/>
        <item m="1" x="267"/>
        <item m="1" x="2529"/>
        <item m="1" x="1293"/>
        <item m="1" x="614"/>
        <item sd="0" m="1" x="2722"/>
        <item m="1" x="2593"/>
        <item m="1" x="1416"/>
        <item m="1" x="324"/>
        <item m="1" x="428"/>
        <item m="1" x="2530"/>
        <item m="1" x="2029"/>
        <item m="1" x="723"/>
        <item m="1" x="2259"/>
        <item m="1" x="541"/>
        <item m="1" x="1618"/>
        <item m="1" x="1674"/>
        <item m="1" x="1778"/>
        <item m="1" x="911"/>
        <item m="1" x="2531"/>
        <item m="1" x="847"/>
        <item x="23"/>
        <item m="1" x="478"/>
        <item m="1" x="848"/>
        <item m="1" x="929"/>
        <item m="1" x="1844"/>
        <item m="1" x="1715"/>
        <item m="1" x="1710"/>
        <item m="1" x="1004"/>
        <item m="1" x="726"/>
        <item m="1" x="2135"/>
        <item m="1" x="1353"/>
        <item m="1" x="1717"/>
        <item m="1" x="1779"/>
        <item sd="0" m="1" x="465"/>
        <item m="1" x="1260"/>
        <item m="1" x="974"/>
        <item m="1" x="2533"/>
        <item m="1" x="188"/>
        <item m="1" x="2647"/>
        <item m="1" x="2686"/>
        <item m="1" x="866"/>
        <item m="1" x="1811"/>
        <item m="1" x="812"/>
        <item x="43"/>
        <item m="1" x="1718"/>
        <item m="1" x="1719"/>
        <item m="1" x="1398"/>
        <item m="1" x="1720"/>
        <item sd="0" m="1" x="2728"/>
        <item m="1" x="128"/>
        <item m="1" x="205"/>
        <item m="1" x="686"/>
        <item m="1" x="2622"/>
        <item m="1" x="1780"/>
        <item m="1" x="685"/>
        <item m="1" x="2416"/>
        <item m="1" x="2705"/>
        <item m="1" x="1333"/>
        <item m="1" x="1667"/>
        <item m="1" x="2136"/>
        <item m="1" x="1781"/>
        <item m="1" x="329"/>
        <item m="1" x="1724"/>
        <item m="1" x="206"/>
        <item m="1" x="153"/>
        <item m="1" x="2643"/>
        <item m="1" x="849"/>
        <item m="1" x="854"/>
        <item m="1" x="2631"/>
        <item m="1" x="471"/>
        <item m="1" x="2535"/>
        <item m="1" x="1902"/>
        <item m="1" x="722"/>
        <item m="1" x="540"/>
        <item m="1" x="2255"/>
        <item m="1" x="850"/>
        <item m="1" x="183"/>
        <item m="1" x="693"/>
        <item m="1" x="644"/>
        <item m="1" x="1726"/>
        <item m="1" x="967"/>
        <item sd="0" m="1" x="2117"/>
        <item m="1" x="397"/>
        <item m="1" x="1504"/>
        <item x="40"/>
        <item sd="0" m="1" x="2729"/>
        <item m="1" x="1273"/>
        <item m="1" x="2536"/>
        <item m="1" x="2470"/>
        <item m="1" x="429"/>
        <item m="1" x="2537"/>
        <item m="1" x="2538"/>
        <item m="1" x="2569"/>
        <item m="1" x="2539"/>
        <item m="1" x="1460"/>
        <item m="1" x="2058"/>
        <item m="1" x="2540"/>
        <item m="1" x="942"/>
        <item m="1" x="2031"/>
        <item m="1" x="1597"/>
        <item m="1" x="2541"/>
        <item m="1" x="1325"/>
        <item m="1" x="2071"/>
        <item m="1" x="828"/>
        <item m="1" x="430"/>
        <item m="1" x="1356"/>
        <item m="1" x="1031"/>
        <item x="16"/>
        <item m="1" x="1957"/>
        <item m="1" x="1434"/>
        <item m="1" x="874"/>
        <item m="1" x="2542"/>
        <item m="1" x="2543"/>
        <item m="1" x="249"/>
        <item m="1" x="207"/>
        <item m="1" x="2544"/>
        <item m="1" x="2545"/>
        <item m="1" x="2137"/>
        <item m="1" x="2138"/>
        <item m="1" x="1002"/>
        <item m="1" x="134"/>
        <item m="1" x="1732"/>
        <item m="1" x="1326"/>
        <item m="1" x="155"/>
        <item m="1" x="211"/>
        <item m="1" x="1161"/>
        <item x="36"/>
        <item m="1" x="141"/>
        <item m="1" x="2548"/>
        <item m="1" x="508"/>
        <item m="1" x="930"/>
        <item m="1" x="571"/>
        <item m="1" x="2372"/>
        <item m="1" x="2357"/>
        <item m="1" x="241"/>
        <item m="1" x="1733"/>
        <item m="1" x="1734"/>
        <item m="1" x="431"/>
        <item m="1" x="851"/>
        <item m="1" x="2546"/>
        <item m="1" x="532"/>
        <item m="1" x="1521"/>
        <item m="1" x="1554"/>
        <item m="1" x="2547"/>
        <item m="1" x="1782"/>
        <item m="1" x="1903"/>
        <item m="1" x="2549"/>
        <item m="1" x="1735"/>
        <item m="1" x="1650"/>
        <item m="1" x="1736"/>
        <item m="1" x="2708"/>
        <item t="default" sd="0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4"/>
    <field x="0"/>
  </rowFields>
  <rowItems count="1">
    <i t="grand">
      <x/>
    </i>
  </rowItems>
  <colItems count="1">
    <i/>
  </colItems>
  <pageFields count="1">
    <pageField fld="3" hier="-1"/>
  </pageFields>
  <dataFields count="1">
    <dataField name="Total" fld="9" baseField="0" baseItem="0" numFmtId="44"/>
  </dataFields>
  <formats count="9">
    <format dxfId="52">
      <pivotArea collapsedLevelsAreSubtotals="1" fieldPosition="0">
        <references count="1">
          <reference field="4" count="1">
            <x v="275"/>
          </reference>
        </references>
      </pivotArea>
    </format>
    <format dxfId="51">
      <pivotArea collapsedLevelsAreSubtotals="1" fieldPosition="0">
        <references count="1">
          <reference field="4" count="1">
            <x v="664"/>
          </reference>
        </references>
      </pivotArea>
    </format>
    <format dxfId="50">
      <pivotArea collapsedLevelsAreSubtotals="1" fieldPosition="0">
        <references count="1">
          <reference field="4" count="1">
            <x v="789"/>
          </reference>
        </references>
      </pivotArea>
    </format>
    <format dxfId="49">
      <pivotArea collapsedLevelsAreSubtotals="1" fieldPosition="0">
        <references count="1">
          <reference field="4" count="1">
            <x v="1446"/>
          </reference>
        </references>
      </pivotArea>
    </format>
    <format dxfId="48">
      <pivotArea collapsedLevelsAreSubtotals="1" fieldPosition="0">
        <references count="1">
          <reference field="4" count="1">
            <x v="1688"/>
          </reference>
        </references>
      </pivotArea>
    </format>
    <format dxfId="47">
      <pivotArea collapsedLevelsAreSubtotals="1" fieldPosition="0">
        <references count="1">
          <reference field="4" count="1">
            <x v="1989"/>
          </reference>
        </references>
      </pivotArea>
    </format>
    <format dxfId="46">
      <pivotArea dataOnly="0" labelOnly="1" fieldPosition="0">
        <references count="1">
          <reference field="4" count="6">
            <x v="275"/>
            <x v="664"/>
            <x v="789"/>
            <x v="1446"/>
            <x v="1688"/>
            <x v="1989"/>
          </reference>
        </references>
      </pivotArea>
    </format>
    <format dxfId="45">
      <pivotArea field="4" type="button" dataOnly="0" labelOnly="1" outline="0" axis="axisRow" fieldPosition="0"/>
    </format>
    <format dxfId="44">
      <pivotArea dataOnly="0" labelOnly="1" outline="0" axis="axisValues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A8405-DBD1-174E-AD8F-04421040BE7D}" name="PivotTable5" cacheId="4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A4:B5" firstHeaderRow="1" firstDataRow="1" firstDataCol="1" rowPageCount="1" colPageCount="1"/>
  <pivotFields count="15">
    <pivotField axis="axisRow" showAll="0">
      <items count="71">
        <item x="56"/>
        <item x="64"/>
        <item x="57"/>
        <item x="65"/>
        <item x="25"/>
        <item x="34"/>
        <item x="36"/>
        <item x="30"/>
        <item x="21"/>
        <item x="52"/>
        <item x="13"/>
        <item x="44"/>
        <item x="14"/>
        <item x="22"/>
        <item x="16"/>
        <item x="29"/>
        <item x="2"/>
        <item x="8"/>
        <item x="51"/>
        <item x="20"/>
        <item x="26"/>
        <item x="35"/>
        <item x="19"/>
        <item x="6"/>
        <item x="61"/>
        <item x="4"/>
        <item x="43"/>
        <item x="11"/>
        <item x="54"/>
        <item x="33"/>
        <item x="38"/>
        <item x="39"/>
        <item x="63"/>
        <item x="17"/>
        <item x="55"/>
        <item x="0"/>
        <item x="1"/>
        <item m="1" x="67"/>
        <item x="46"/>
        <item x="45"/>
        <item x="24"/>
        <item x="18"/>
        <item x="50"/>
        <item x="58"/>
        <item x="59"/>
        <item x="7"/>
        <item x="47"/>
        <item x="31"/>
        <item x="53"/>
        <item x="48"/>
        <item x="23"/>
        <item x="27"/>
        <item x="32"/>
        <item x="37"/>
        <item x="49"/>
        <item m="1" x="68"/>
        <item m="1" x="69"/>
        <item x="3"/>
        <item x="9"/>
        <item x="60"/>
        <item x="28"/>
        <item x="10"/>
        <item x="66"/>
        <item x="62"/>
        <item x="40"/>
        <item x="41"/>
        <item x="42"/>
        <item x="12"/>
        <item x="15"/>
        <item x="5"/>
        <item t="default"/>
      </items>
    </pivotField>
    <pivotField showAll="0"/>
    <pivotField showAll="0"/>
    <pivotField axis="axisPage" multipleItemSelectionAllowed="1" showAll="0">
      <items count="49">
        <item h="1" x="10"/>
        <item h="1" x="15"/>
        <item h="1" x="17"/>
        <item h="1" x="5"/>
        <item h="1" x="7"/>
        <item h="1" m="1" x="18"/>
        <item h="1" x="6"/>
        <item h="1" x="12"/>
        <item h="1" x="14"/>
        <item h="1" m="1" x="36"/>
        <item h="1" x="3"/>
        <item h="1" x="8"/>
        <item h="1" x="9"/>
        <item h="1" m="1" x="41"/>
        <item h="1" m="1" x="42"/>
        <item h="1" x="13"/>
        <item h="1" x="0"/>
        <item h="1" m="1" x="23"/>
        <item h="1" m="1" x="45"/>
        <item h="1" m="1" x="47"/>
        <item h="1" x="1"/>
        <item h="1" m="1" x="39"/>
        <item h="1" x="4"/>
        <item m="1" x="44"/>
        <item h="1" m="1" x="46"/>
        <item h="1" x="2"/>
        <item h="1" m="1" x="40"/>
        <item h="1" x="11"/>
        <item h="1" m="1" x="34"/>
        <item h="1" m="1" x="21"/>
        <item h="1" m="1" x="31"/>
        <item h="1" m="1" x="33"/>
        <item h="1" m="1" x="22"/>
        <item h="1" m="1" x="20"/>
        <item h="1" m="1" x="26"/>
        <item h="1" m="1" x="27"/>
        <item h="1" m="1" x="19"/>
        <item h="1" x="16"/>
        <item h="1" m="1" x="43"/>
        <item h="1" m="1" x="24"/>
        <item h="1" m="1" x="25"/>
        <item h="1" m="1" x="28"/>
        <item h="1" m="1" x="29"/>
        <item h="1" m="1" x="30"/>
        <item h="1" m="1" x="32"/>
        <item h="1" m="1" x="35"/>
        <item h="1" m="1" x="37"/>
        <item h="1" m="1" x="38"/>
        <item t="default"/>
      </items>
    </pivotField>
    <pivotField axis="axisRow" showAll="0" sortType="ascending">
      <items count="2742">
        <item m="1" x="956"/>
        <item m="1" x="1464"/>
        <item m="1" x="2141"/>
        <item m="1" x="272"/>
        <item m="1" x="870"/>
        <item m="1" x="575"/>
        <item m="1" x="2057"/>
        <item m="1" x="1442"/>
        <item m="1" x="361"/>
        <item m="1" x="118"/>
        <item m="1" x="1346"/>
        <item m="1" x="725"/>
        <item m="1" x="1254"/>
        <item m="1" x="282"/>
        <item m="1" x="2036"/>
        <item m="1" x="2157"/>
        <item m="1" x="1796"/>
        <item m="1" x="951"/>
        <item m="1" x="1887"/>
        <item m="1" x="1870"/>
        <item m="1" x="2717"/>
        <item x="5"/>
        <item m="1" x="491"/>
        <item m="1" x="1549"/>
        <item m="1" x="1484"/>
        <item m="1" x="727"/>
        <item m="1" x="1288"/>
        <item m="1" x="1739"/>
        <item m="1" x="804"/>
        <item m="1" x="451"/>
        <item m="1" x="1888"/>
        <item x="12"/>
        <item m="1" x="2159"/>
        <item m="1" x="1623"/>
        <item m="1" x="2037"/>
        <item m="1" x="78"/>
        <item m="1" x="2611"/>
        <item m="1" x="1378"/>
        <item m="1" x="1556"/>
        <item m="1" x="959"/>
        <item m="1" x="177"/>
        <item m="1" x="2038"/>
        <item m="1" x="1737"/>
        <item m="1" x="2160"/>
        <item m="1" x="2161"/>
        <item m="1" x="357"/>
        <item m="1" x="1142"/>
        <item m="1" x="1003"/>
        <item m="1" x="2688"/>
        <item m="1" x="2162"/>
        <item m="1" x="1096"/>
        <item m="1" x="1016"/>
        <item m="1" x="2039"/>
        <item m="1" x="88"/>
        <item m="1" x="1738"/>
        <item m="1" x="2163"/>
        <item m="1" x="1459"/>
        <item m="1" x="2164"/>
        <item m="1" x="2153"/>
        <item m="1" x="89"/>
        <item m="1" x="2165"/>
        <item m="1" x="730"/>
        <item m="1" x="1630"/>
        <item m="1" x="1005"/>
        <item m="1" x="2166"/>
        <item m="1" x="1348"/>
        <item m="1" x="1006"/>
        <item m="1" x="731"/>
        <item m="1" x="1651"/>
        <item m="1" x="2167"/>
        <item m="1" x="1008"/>
        <item m="1" x="2168"/>
        <item m="1" x="1367"/>
        <item m="1" x="2146"/>
        <item m="1" x="90"/>
        <item m="1" x="2169"/>
        <item m="1" x="266"/>
        <item m="1" x="922"/>
        <item m="1" x="442"/>
        <item m="1" x="364"/>
        <item m="1" x="732"/>
        <item m="1" x="1555"/>
        <item m="1" x="2170"/>
        <item m="1" x="418"/>
        <item m="1" x="887"/>
        <item m="1" x="265"/>
        <item m="1" x="292"/>
        <item m="1" x="2171"/>
        <item m="1" x="68"/>
        <item m="1" x="521"/>
        <item m="1" x="616"/>
        <item m="1" x="2484"/>
        <item m="1" x="617"/>
        <item m="1" x="284"/>
        <item m="1" x="2172"/>
        <item m="1" x="2659"/>
        <item m="1" x="1617"/>
        <item m="1" x="1363"/>
        <item m="1" x="2173"/>
        <item m="1" x="232"/>
        <item m="1" x="2174"/>
        <item m="1" x="2175"/>
        <item m="1" x="2176"/>
        <item m="1" x="2040"/>
        <item m="1" x="562"/>
        <item m="1" x="1476"/>
        <item m="1" x="242"/>
        <item m="1" x="181"/>
        <item m="1" x="1465"/>
        <item m="1" x="2678"/>
        <item m="1" x="1482"/>
        <item m="1" x="815"/>
        <item m="1" x="1128"/>
        <item m="1" x="2489"/>
        <item m="1" x="2177"/>
        <item m="1" x="2385"/>
        <item m="1" x="1129"/>
        <item m="1" x="2178"/>
        <item m="1" x="2181"/>
        <item m="1" x="1012"/>
        <item m="1" x="890"/>
        <item m="1" x="2182"/>
        <item m="1" x="1874"/>
        <item m="1" x="2183"/>
        <item m="1" x="1727"/>
        <item m="1" x="2184"/>
        <item m="1" x="1408"/>
        <item m="1" x="238"/>
        <item m="1" x="2185"/>
        <item m="1" x="93"/>
        <item m="1" x="1041"/>
        <item m="1" x="734"/>
        <item m="1" x="1042"/>
        <item m="1" x="1309"/>
        <item m="1" x="1399"/>
        <item m="1" x="1547"/>
        <item m="1" x="2186"/>
        <item m="1" x="344"/>
        <item m="1" x="94"/>
        <item m="1" x="2187"/>
        <item m="1" x="2188"/>
        <item m="1" x="983"/>
        <item m="1" x="2041"/>
        <item m="1" x="547"/>
        <item m="1" x="1359"/>
        <item m="1" x="1303"/>
        <item m="1" x="1552"/>
        <item m="1" x="981"/>
        <item m="1" x="54"/>
        <item m="1" x="255"/>
        <item m="1" x="497"/>
        <item m="1" x="2190"/>
        <item m="1" x="2191"/>
        <item m="1" x="2192"/>
        <item m="1" x="2650"/>
        <item m="1" x="621"/>
        <item m="1" x="1045"/>
        <item m="1" x="880"/>
        <item m="1" x="1046"/>
        <item m="1" x="274"/>
        <item m="1" x="1047"/>
        <item m="1" x="2193"/>
        <item m="1" x="1049"/>
        <item m="1" x="1050"/>
        <item m="1" x="1962"/>
        <item m="1" x="735"/>
        <item m="1" x="2194"/>
        <item m="1" x="2083"/>
        <item m="1" x="2682"/>
        <item m="1" x="287"/>
        <item m="1" x="432"/>
        <item m="1" x="472"/>
        <item m="1" x="1868"/>
        <item m="1" x="419"/>
        <item m="1" x="2389"/>
        <item m="1" x="1052"/>
        <item m="1" x="1053"/>
        <item m="1" x="2618"/>
        <item m="1" x="2637"/>
        <item m="1" x="2641"/>
        <item m="1" x="366"/>
        <item m="1" x="296"/>
        <item m="1" x="1218"/>
        <item m="1" x="1151"/>
        <item m="1" x="620"/>
        <item m="1" x="1344"/>
        <item m="1" x="1203"/>
        <item m="1" x="2195"/>
        <item m="1" x="736"/>
        <item m="1" x="538"/>
        <item m="1" x="2196"/>
        <item m="1" x="1200"/>
        <item m="1" x="1873"/>
        <item m="1" x="1744"/>
        <item m="1" x="2197"/>
        <item m="1" x="1505"/>
        <item m="1" x="622"/>
        <item m="1" x="2261"/>
        <item m="1" x="2000"/>
        <item m="1" x="374"/>
        <item m="1" x="1741"/>
        <item m="1" x="1948"/>
        <item m="1" x="1056"/>
        <item m="1" x="304"/>
        <item m="1" x="498"/>
        <item m="1" x="737"/>
        <item m="1" x="2042"/>
        <item m="1" x="2198"/>
        <item m="1" x="1643"/>
        <item m="1" x="1475"/>
        <item m="1" x="738"/>
        <item m="1" x="1058"/>
        <item m="1" x="1863"/>
        <item m="1" x="2635"/>
        <item m="1" x="97"/>
        <item m="1" x="739"/>
        <item m="1" x="516"/>
        <item m="1" x="807"/>
        <item m="1" x="2651"/>
        <item m="1" x="2115"/>
        <item m="1" x="625"/>
        <item m="1" x="1978"/>
        <item m="1" x="2043"/>
        <item m="1" x="895"/>
        <item m="1" x="626"/>
        <item m="1" x="1063"/>
        <item m="1" x="1253"/>
        <item m="1" x="1393"/>
        <item m="1" x="1020"/>
        <item m="1" x="492"/>
        <item m="1" x="1804"/>
        <item m="1" x="2085"/>
        <item m="1" x="1900"/>
        <item m="1" x="1886"/>
        <item m="1" x="573"/>
        <item m="1" x="2638"/>
        <item m="1" x="628"/>
        <item m="1" x="2508"/>
        <item m="1" x="464"/>
        <item m="1" x="1224"/>
        <item m="1" x="2002"/>
        <item m="1" x="1500"/>
        <item m="1" x="2199"/>
        <item m="1" x="448"/>
        <item m="1" x="412"/>
        <item m="1" x="98"/>
        <item m="1" x="1575"/>
        <item m="1" x="2601"/>
        <item m="1" x="1508"/>
        <item m="1" x="741"/>
        <item m="1" x="2200"/>
        <item m="1" x="175"/>
        <item m="1" x="1349"/>
        <item m="1" x="1622"/>
        <item m="1" x="2080"/>
        <item m="1" x="806"/>
        <item m="1" x="1981"/>
        <item m="1" x="594"/>
        <item m="1" x="2201"/>
        <item m="1" x="1947"/>
        <item m="1" x="1069"/>
        <item sd="0" m="1" x="47"/>
        <item m="1" x="1382"/>
        <item m="1" x="1701"/>
        <item m="1" x="2681"/>
        <item m="1" x="1355"/>
        <item m="1" x="2202"/>
        <item m="1" x="1364"/>
        <item m="1" x="743"/>
        <item m="1" x="1072"/>
        <item m="1" x="1327"/>
        <item m="1" x="1240"/>
        <item m="1" x="250"/>
        <item m="1" x="2704"/>
        <item sd="0" m="1" x="301"/>
        <item sd="0" m="1" x="2726"/>
        <item m="1" x="2572"/>
        <item m="1" x="744"/>
        <item m="1" x="2018"/>
        <item m="1" x="1073"/>
        <item m="1" x="745"/>
        <item m="1" x="746"/>
        <item m="1" x="2204"/>
        <item m="1" x="1137"/>
        <item m="1" x="2205"/>
        <item m="1" x="529"/>
        <item m="1" x="577"/>
        <item m="1" x="215"/>
        <item m="1" x="499"/>
        <item m="1" x="1418"/>
        <item m="1" x="1940"/>
        <item m="1" x="474"/>
        <item m="1" x="986"/>
        <item m="1" x="72"/>
        <item m="1" x="1388"/>
        <item m="1" x="2206"/>
        <item m="1" x="99"/>
        <item m="1" x="1330"/>
        <item m="1" x="1237"/>
        <item m="1" x="1282"/>
        <item m="1" x="1294"/>
        <item m="1" x="2207"/>
        <item m="1" x="2208"/>
        <item m="1" x="811"/>
        <item m="1" x="747"/>
        <item m="1" x="1310"/>
        <item m="1" x="2081"/>
        <item m="1" x="1771"/>
        <item m="1" x="449"/>
        <item m="1" x="1341"/>
        <item m="1" x="1878"/>
        <item m="1" x="159"/>
        <item m="1" x="576"/>
        <item m="1" x="551"/>
        <item m="1" x="2209"/>
        <item m="1" x="2003"/>
        <item m="1" x="1078"/>
        <item m="1" x="2210"/>
        <item m="1" x="1453"/>
        <item m="1" x="1935"/>
        <item m="1" x="251"/>
        <item m="1" x="1574"/>
        <item m="1" x="1306"/>
        <item m="1" x="1905"/>
        <item m="1" x="1652"/>
        <item m="1" x="313"/>
        <item sd="0" m="1" x="631"/>
        <item m="1" x="1079"/>
        <item m="1" x="526"/>
        <item m="1" x="1757"/>
        <item m="1" x="2211"/>
        <item m="1" x="1037"/>
        <item m="1" x="561"/>
        <item m="1" x="926"/>
        <item m="1" x="2577"/>
        <item m="1" x="2212"/>
        <item m="1" x="1360"/>
        <item m="1" x="2086"/>
        <item m="1" x="1377"/>
        <item m="1" x="2213"/>
        <item m="1" x="100"/>
        <item m="1" x="476"/>
        <item m="1" x="1336"/>
        <item m="1" x="1907"/>
        <item m="1" x="1956"/>
        <item m="1" x="1909"/>
        <item m="1" x="452"/>
        <item m="1" x="109"/>
        <item m="1" x="399"/>
        <item m="1" x="1083"/>
        <item m="1" x="2214"/>
        <item m="1" x="1085"/>
        <item m="1" x="748"/>
        <item m="1" x="2215"/>
        <item m="1" x="2589"/>
        <item m="1" x="1087"/>
        <item m="1" x="254"/>
        <item m="1" x="2563"/>
        <item m="1" x="749"/>
        <item m="1" x="1088"/>
        <item m="1" x="2581"/>
        <item m="1" x="81"/>
        <item m="1" x="1095"/>
        <item m="1" x="158"/>
        <item m="1" x="950"/>
        <item m="1" x="979"/>
        <item m="1" x="1098"/>
        <item sd="0" m="1" x="2571"/>
        <item m="1" x="1084"/>
        <item x="38"/>
        <item m="1" x="2630"/>
        <item m="1" x="103"/>
        <item m="1" x="2716"/>
        <item m="1" x="633"/>
        <item m="1" x="1438"/>
        <item m="1" x="1147"/>
        <item m="1" x="1520"/>
        <item m="1" x="1149"/>
        <item m="1" x="102"/>
        <item m="1" x="1091"/>
        <item m="1" x="115"/>
        <item sd="0" m="1" x="116"/>
        <item m="1" x="1152"/>
        <item m="1" x="618"/>
        <item m="1" x="1380"/>
        <item m="1" x="117"/>
        <item m="1" x="649"/>
        <item m="1" x="648"/>
        <item m="1" x="1089"/>
        <item m="1" x="2670"/>
        <item m="1" x="2216"/>
        <item m="1" x="1090"/>
        <item m="1" x="2004"/>
        <item m="1" x="1021"/>
        <item m="1" x="523"/>
        <item m="1" x="578"/>
        <item m="1" x="1764"/>
        <item m="1" x="908"/>
        <item m="1" x="2560"/>
        <item m="1" x="1803"/>
        <item m="1" x="2242"/>
        <item m="1" x="49"/>
        <item m="1" x="2044"/>
        <item m="1" x="1397"/>
        <item m="1" x="2649"/>
        <item m="1" x="2217"/>
        <item m="1" x="1163"/>
        <item m="1" x="148"/>
        <item m="1" x="2596"/>
        <item m="1" x="167"/>
        <item m="1" x="970"/>
        <item m="1" x="1094"/>
        <item m="1" x="2218"/>
        <item m="1" x="1898"/>
        <item m="1" x="2219"/>
        <item m="1" x="883"/>
        <item m="1" x="873"/>
        <item m="1" x="2600"/>
        <item m="1" x="2380"/>
        <item m="1" x="1932"/>
        <item m="1" x="1062"/>
        <item m="1" x="2220"/>
        <item m="1" x="1952"/>
        <item m="1" x="1082"/>
        <item m="1" x="1289"/>
        <item sd="0" m="1" x="2721"/>
        <item m="1" x="106"/>
        <item m="1" x="360"/>
        <item m="1" x="1998"/>
        <item m="1" x="2339"/>
        <item m="1" x="2667"/>
        <item m="1" x="545"/>
        <item m="1" x="2087"/>
        <item m="1" x="751"/>
        <item m="1" x="107"/>
        <item m="1" x="509"/>
        <item m="1" x="259"/>
        <item m="1" x="1097"/>
        <item m="1" x="1080"/>
        <item x="10"/>
        <item m="1" x="2559"/>
        <item m="1" x="1621"/>
        <item m="1" x="753"/>
        <item m="1" x="331"/>
        <item m="1" x="932"/>
        <item x="22"/>
        <item x="1"/>
        <item m="1" x="2221"/>
        <item m="1" x="2222"/>
        <item m="1" x="369"/>
        <item m="1" x="453"/>
        <item m="1" x="58"/>
        <item m="1" x="437"/>
        <item m="1" x="1687"/>
        <item m="1" x="1099"/>
        <item m="1" x="2224"/>
        <item m="1" x="2045"/>
        <item m="1" x="2608"/>
        <item m="1" x="1783"/>
        <item m="1" x="1885"/>
        <item m="1" x="636"/>
        <item m="1" x="108"/>
        <item m="1" x="52"/>
        <item m="1" x="1103"/>
        <item x="18"/>
        <item m="1" x="1993"/>
        <item m="1" x="2016"/>
        <item m="1" x="1911"/>
        <item m="1" x="593"/>
        <item m="1" x="754"/>
        <item m="1" x="755"/>
        <item m="1" x="407"/>
        <item m="1" x="356"/>
        <item m="1" x="1104"/>
        <item m="1" x="2225"/>
        <item m="1" x="1105"/>
        <item m="1" x="756"/>
        <item m="1" x="2158"/>
        <item m="1" x="752"/>
        <item m="1" x="2046"/>
        <item m="1" x="2226"/>
        <item m="1" x="1913"/>
        <item m="1" x="2150"/>
        <item m="1" x="919"/>
        <item m="1" x="2020"/>
        <item m="1" x="208"/>
        <item m="1" x="1708"/>
        <item m="1" x="1111"/>
        <item m="1" x="454"/>
        <item m="1" x="1112"/>
        <item m="1" x="309"/>
        <item m="1" x="1869"/>
        <item m="1" x="302"/>
        <item m="1" x="852"/>
        <item m="1" x="1205"/>
        <item m="1" x="1113"/>
        <item m="1" x="713"/>
        <item m="1" x="638"/>
        <item m="1" x="1210"/>
        <item m="1" x="1070"/>
        <item m="1" x="1805"/>
        <item m="1" x="1806"/>
        <item m="1" x="216"/>
        <item m="1" x="1809"/>
        <item m="1" x="875"/>
        <item m="1" x="2669"/>
        <item m="1" x="1126"/>
        <item m="1" x="110"/>
        <item m="1" x="1054"/>
        <item m="1" x="1830"/>
        <item m="1" x="1832"/>
        <item m="1" x="1818"/>
        <item m="1" x="1106"/>
        <item x="19"/>
        <item m="1" x="1043"/>
        <item m="1" x="1712"/>
        <item x="33"/>
        <item m="1" x="1615"/>
        <item m="1" x="1810"/>
        <item m="1" x="1114"/>
        <item m="1" x="1143"/>
        <item m="1" x="1535"/>
        <item m="1" x="1812"/>
        <item m="1" x="2088"/>
        <item m="1" x="1813"/>
        <item m="1" x="111"/>
        <item m="1" x="2228"/>
        <item m="1" x="1000"/>
        <item m="1" x="2229"/>
        <item m="1" x="2578"/>
        <item m="1" x="2230"/>
        <item m="1" x="1030"/>
        <item m="1" x="2564"/>
        <item m="1" x="946"/>
        <item m="1" x="2231"/>
        <item m="1" x="50"/>
        <item m="1" x="378"/>
        <item m="1" x="2232"/>
        <item m="1" x="2456"/>
        <item m="1" x="276"/>
        <item m="1" x="758"/>
        <item m="1" x="1010"/>
        <item m="1" x="1120"/>
        <item m="1" x="900"/>
        <item m="1" x="2663"/>
        <item m="1" x="2233"/>
        <item m="1" x="1015"/>
        <item m="1" x="1026"/>
        <item m="1" x="641"/>
        <item m="1" x="642"/>
        <item m="1" x="597"/>
        <item m="1" x="2606"/>
        <item m="1" x="643"/>
        <item m="1" x="1918"/>
        <item m="1" x="635"/>
        <item m="1" x="1123"/>
        <item m="1" x="2234"/>
        <item m="1" x="112"/>
        <item m="1" x="1742"/>
        <item m="1" x="878"/>
        <item m="1" x="2235"/>
        <item m="1" x="1984"/>
        <item m="1" x="2007"/>
        <item m="1" x="2236"/>
        <item m="1" x="759"/>
        <item m="1" x="933"/>
        <item m="1" x="436"/>
        <item m="1" x="2664"/>
        <item m="1" x="2078"/>
        <item m="1" x="1775"/>
        <item m="1" x="2586"/>
        <item m="1" x="475"/>
        <item m="1" x="1109"/>
        <item m="1" x="2674"/>
        <item m="1" x="2657"/>
        <item m="1" x="1700"/>
        <item m="1" x="539"/>
        <item m="1" x="455"/>
        <item m="1" x="952"/>
        <item m="1" x="315"/>
        <item m="1" x="408"/>
        <item m="1" x="867"/>
        <item m="1" x="2506"/>
        <item m="1" x="114"/>
        <item m="1" x="2237"/>
        <item m="1" x="1402"/>
        <item m="1" x="164"/>
        <item m="1" x="645"/>
        <item m="1" x="1638"/>
        <item m="1" x="1139"/>
        <item m="1" x="1146"/>
        <item m="1" x="554"/>
        <item m="1" x="2634"/>
        <item m="1" x="994"/>
        <item m="1" x="2465"/>
        <item m="1" x="1406"/>
        <item m="1" x="1236"/>
        <item m="1" x="1959"/>
        <item m="1" x="1247"/>
        <item m="1" x="1481"/>
        <item m="1" x="1876"/>
        <item m="1" x="1141"/>
        <item m="1" x="1065"/>
        <item m="1" x="646"/>
        <item sd="0" m="1" x="2731"/>
        <item m="1" x="1573"/>
        <item m="1" x="647"/>
        <item m="1" x="2239"/>
        <item m="1" x="126"/>
        <item m="1" x="96"/>
        <item m="1" x="1329"/>
        <item m="1" x="760"/>
        <item m="1" x="1270"/>
        <item m="1" x="2558"/>
        <item m="1" x="869"/>
        <item m="1" x="1145"/>
        <item m="1" x="1510"/>
        <item x="20"/>
        <item m="1" x="1175"/>
        <item m="1" x="1795"/>
        <item m="1" x="1124"/>
        <item m="1" x="1802"/>
        <item sd="0" x="7"/>
        <item x="37"/>
        <item m="1" x="1298"/>
        <item m="1" x="1339"/>
        <item m="1" x="1816"/>
        <item m="1" x="1762"/>
        <item m="1" x="1532"/>
        <item m="1" x="2240"/>
        <item m="1" x="871"/>
        <item m="1" x="2718"/>
        <item m="1" x="91"/>
        <item m="1" x="2241"/>
        <item m="1" x="2030"/>
        <item m="1" x="1672"/>
        <item m="1" x="761"/>
        <item m="1" x="2089"/>
        <item m="1" x="2227"/>
        <item m="1" x="762"/>
        <item m="1" x="1148"/>
        <item m="1" x="316"/>
        <item m="1" x="2633"/>
        <item m="1" x="1242"/>
        <item m="1" x="260"/>
        <item m="1" x="1412"/>
        <item m="1" x="1384"/>
        <item m="1" x="763"/>
        <item m="1" x="1682"/>
        <item m="1" x="385"/>
        <item m="1" x="591"/>
        <item m="1" x="1565"/>
        <item m="1" x="2243"/>
        <item m="1" x="1153"/>
        <item m="1" x="500"/>
        <item m="1" x="2552"/>
        <item m="1" x="217"/>
        <item m="1" x="1229"/>
        <item m="1" x="373"/>
        <item m="1" x="433"/>
        <item m="1" x="2632"/>
        <item m="1" x="1092"/>
        <item m="1" x="1241"/>
        <item m="1" x="1743"/>
        <item sd="0" m="1" x="244"/>
        <item m="1" x="444"/>
        <item m="1" x="2047"/>
        <item m="1" x="1403"/>
        <item m="1" x="1644"/>
        <item m="1" x="1158"/>
        <item m="1" x="1612"/>
        <item m="1" x="372"/>
        <item m="1" x="2588"/>
        <item m="1" x="1872"/>
        <item m="1" x="1478"/>
        <item m="1" x="2244"/>
        <item m="1" x="1865"/>
        <item m="1" x="319"/>
        <item m="1" x="303"/>
        <item m="1" x="1879"/>
        <item m="1" x="2351"/>
        <item m="1" x="1875"/>
        <item sd="0" m="1" x="2090"/>
        <item m="1" x="2245"/>
        <item m="1" x="2072"/>
        <item m="1" x="2374"/>
        <item m="1" x="2091"/>
        <item m="1" x="311"/>
        <item m="1" x="2246"/>
        <item m="1" x="2247"/>
        <item m="1" x="333"/>
        <item m="1" x="765"/>
        <item m="1" x="1318"/>
        <item m="1" x="2248"/>
        <item m="1" x="1276"/>
        <item m="1" x="650"/>
        <item m="1" x="2557"/>
        <item m="1" x="997"/>
        <item m="1" x="1130"/>
        <item m="1" x="2249"/>
        <item m="1" x="1362"/>
        <item m="1" x="1836"/>
        <item m="1" x="131"/>
        <item m="1" x="202"/>
        <item m="1" x="2250"/>
        <item m="1" x="321"/>
        <item m="1" x="146"/>
        <item m="1" x="2697"/>
        <item m="1" x="652"/>
        <item m="1" x="740"/>
        <item m="1" x="920"/>
        <item m="1" x="291"/>
        <item m="1" x="1170"/>
        <item m="1" x="513"/>
        <item m="1" x="2251"/>
        <item m="1" x="1899"/>
        <item m="1" x="766"/>
        <item sd="0" m="1" x="456"/>
        <item m="1" x="1171"/>
        <item m="1" x="2687"/>
        <item m="1" x="1172"/>
        <item m="1" x="1439"/>
        <item m="1" x="2252"/>
        <item m="1" x="1544"/>
        <item m="1" x="2143"/>
        <item m="1" x="653"/>
        <item m="1" x="615"/>
        <item m="1" x="2615"/>
        <item m="1" x="550"/>
        <item m="1" x="1174"/>
        <item m="1" x="2253"/>
        <item m="1" x="2254"/>
        <item sd="0" m="1" x="445"/>
        <item m="1" x="290"/>
        <item m="1" x="1305"/>
        <item m="1" x="1930"/>
        <item m="1" x="767"/>
        <item m="1" x="992"/>
        <item m="1" x="2565"/>
        <item m="1" x="2658"/>
        <item m="1" x="1915"/>
        <item m="1" x="1221"/>
        <item m="1" x="411"/>
        <item m="1" x="2257"/>
        <item m="1" x="1211"/>
        <item m="1" x="2258"/>
        <item m="1" x="1931"/>
        <item m="1" x="84"/>
        <item m="1" x="1745"/>
        <item m="1" x="1135"/>
        <item m="1" x="2092"/>
        <item m="1" x="654"/>
        <item m="1" x="1413"/>
        <item m="1" x="1131"/>
        <item m="1" x="1215"/>
        <item m="1" x="947"/>
        <item m="1" x="1668"/>
        <item m="1" x="1179"/>
        <item m="1" x="85"/>
        <item m="1" x="553"/>
        <item m="1" x="768"/>
        <item m="1" x="1194"/>
        <item sd="0" x="31"/>
        <item m="1" x="1140"/>
        <item m="1" x="655"/>
        <item m="1" x="233"/>
        <item m="1" x="769"/>
        <item x="27"/>
        <item m="1" x="1627"/>
        <item m="1" x="945"/>
        <item m="1" x="1746"/>
        <item m="1" x="322"/>
        <item m="1" x="1747"/>
        <item m="1" x="1664"/>
        <item m="1" x="1515"/>
        <item m="1" x="1600"/>
        <item m="1" x="1181"/>
        <item m="1" x="1877"/>
        <item m="1" x="2073"/>
        <item m="1" x="891"/>
        <item m="1" x="574"/>
        <item m="1" x="2262"/>
        <item m="1" x="1748"/>
        <item m="1" x="570"/>
        <item m="1" x="2093"/>
        <item m="1" x="2263"/>
        <item m="1" x="1183"/>
        <item m="1" x="2642"/>
        <item m="1" x="171"/>
        <item sd="0" m="1" x="256"/>
        <item m="1" x="1405"/>
        <item m="1" x="1531"/>
        <item m="1" x="488"/>
        <item m="1" x="443"/>
        <item m="1" x="122"/>
        <item m="1" x="1186"/>
        <item m="1" x="2264"/>
        <item m="1" x="326"/>
        <item m="1" x="2265"/>
        <item m="1" x="327"/>
        <item m="1" x="978"/>
        <item m="1" x="2266"/>
        <item m="1" x="248"/>
        <item m="1" x="534"/>
        <item m="1" x="1506"/>
        <item m="1" x="2077"/>
        <item m="1" x="1498"/>
        <item m="1" x="1287"/>
        <item m="1" x="156"/>
        <item m="1" x="394"/>
        <item m="1" x="1361"/>
        <item m="1" x="1592"/>
        <item m="1" x="1492"/>
        <item m="1" x="1468"/>
        <item m="1" x="2580"/>
        <item m="1" x="1568"/>
        <item m="1" x="2026"/>
        <item m="1" x="664"/>
        <item m="1" x="1955"/>
        <item m="1" x="2267"/>
        <item m="1" x="295"/>
        <item m="1" x="1191"/>
        <item m="1" x="1729"/>
        <item m="1" x="771"/>
        <item m="1" x="1195"/>
        <item m="1" x="1571"/>
        <item m="1" x="2094"/>
        <item m="1" x="2015"/>
        <item m="1" x="2524"/>
        <item m="1" x="2271"/>
        <item m="1" x="1789"/>
        <item m="1" x="306"/>
        <item m="1" x="1954"/>
        <item m="1" x="865"/>
        <item m="1" x="1835"/>
        <item m="1" x="801"/>
        <item m="1" x="1790"/>
        <item m="1" x="2272"/>
        <item m="1" x="1774"/>
        <item m="1" x="1653"/>
        <item m="1" x="1441"/>
        <item m="1" x="2095"/>
        <item m="1" x="2274"/>
        <item m="1" x="1793"/>
        <item m="1" x="990"/>
        <item m="1" x="2273"/>
        <item m="1" x="1819"/>
        <item m="1" x="2275"/>
        <item m="1" x="2076"/>
        <item m="1" x="2276"/>
        <item m="1" x="1204"/>
        <item m="1" x="1526"/>
        <item m="1" x="2145"/>
        <item m="1" x="1503"/>
        <item m="1" x="560"/>
        <item m="1" x="1550"/>
        <item m="1" x="872"/>
        <item m="1" x="2277"/>
        <item m="1" x="1425"/>
        <item m="1" x="1340"/>
        <item m="1" x="1167"/>
        <item m="1" x="2278"/>
        <item m="1" x="2279"/>
        <item m="1" x="772"/>
        <item m="1" x="728"/>
        <item m="1" x="658"/>
        <item m="1" x="1176"/>
        <item m="1" x="1315"/>
        <item m="1" x="2096"/>
        <item m="1" x="123"/>
        <item m="1" x="1337"/>
        <item m="1" x="270"/>
        <item m="1" x="2280"/>
        <item m="1" x="125"/>
        <item m="1" x="2074"/>
        <item m="1" x="2281"/>
        <item m="1" x="2282"/>
        <item m="1" x="659"/>
        <item m="1" x="1450"/>
        <item m="1" x="2283"/>
        <item m="1" x="925"/>
        <item m="1" x="1470"/>
        <item m="1" x="1209"/>
        <item m="1" x="660"/>
        <item m="1" x="2550"/>
        <item m="1" x="2648"/>
        <item m="1" x="2345"/>
        <item m="1" x="2097"/>
        <item m="1" x="2048"/>
        <item x="0"/>
        <item m="1" x="1497"/>
        <item m="1" x="2627"/>
        <item m="1" x="1763"/>
        <item m="1" x="1212"/>
        <item m="1" x="410"/>
        <item m="1" x="1961"/>
        <item m="1" x="917"/>
        <item m="1" x="988"/>
        <item m="1" x="1197"/>
        <item m="1" x="2284"/>
        <item m="1" x="1213"/>
        <item m="1" x="773"/>
        <item m="1" x="1214"/>
        <item m="1" x="1686"/>
        <item m="1" x="218"/>
        <item m="1" x="1509"/>
        <item m="1" x="724"/>
        <item m="1" x="1557"/>
        <item m="1" x="330"/>
        <item m="1" x="1216"/>
        <item m="1" x="457"/>
        <item m="1" x="1162"/>
        <item m="1" x="2285"/>
        <item m="1" x="2155"/>
        <item m="1" x="2286"/>
        <item m="1" x="2579"/>
        <item m="1" x="1219"/>
        <item m="1" x="2287"/>
        <item m="1" x="2098"/>
        <item m="1" x="2288"/>
        <item m="1" x="1466"/>
        <item m="1" x="2612"/>
        <item m="1" x="2049"/>
        <item m="1" x="176"/>
        <item m="1" x="1749"/>
        <item m="1" x="1455"/>
        <item m="1" x="458"/>
        <item m="1" x="1933"/>
        <item m="1" x="1658"/>
        <item m="1" x="775"/>
        <item m="1" x="459"/>
        <item m="1" x="129"/>
        <item m="1" x="219"/>
        <item m="1" x="2180"/>
        <item m="1" x="750"/>
        <item m="1" x="1044"/>
        <item m="1" x="661"/>
        <item m="1" x="663"/>
        <item m="1" x="809"/>
        <item m="1" x="130"/>
        <item m="1" x="585"/>
        <item m="1" x="1624"/>
        <item m="1" x="943"/>
        <item m="1" x="80"/>
        <item m="1" x="1817"/>
        <item m="1" x="2289"/>
        <item m="1" x="1997"/>
        <item m="1" x="960"/>
        <item m="1" x="665"/>
        <item m="1" x="505"/>
        <item m="1" x="2100"/>
        <item m="1" x="332"/>
        <item m="1" x="776"/>
        <item m="1" x="2290"/>
        <item m="1" x="2291"/>
        <item m="1" x="1169"/>
        <item m="1" x="1022"/>
        <item m="1" x="2101"/>
        <item m="1" x="2710"/>
        <item m="1" x="2292"/>
        <item m="1" x="182"/>
        <item m="1" x="48"/>
        <item m="1" x="2269"/>
        <item m="1" x="607"/>
        <item m="1" x="2388"/>
        <item m="1" x="252"/>
        <item m="1" x="2692"/>
        <item m="1" x="320"/>
        <item m="1" x="863"/>
        <item m="1" x="2293"/>
        <item m="1" x="1436"/>
        <item m="1" x="2102"/>
        <item m="1" x="376"/>
        <item m="1" x="2513"/>
        <item m="1" x="359"/>
        <item m="1" x="2147"/>
        <item m="1" x="2154"/>
        <item m="1" x="662"/>
        <item m="1" x="334"/>
        <item m="1" x="235"/>
        <item m="1" x="2103"/>
        <item m="1" x="76"/>
        <item m="1" x="1919"/>
        <item m="1" x="405"/>
        <item m="1" x="2534"/>
        <item m="1" x="2104"/>
        <item m="1" x="2294"/>
        <item m="1" x="1972"/>
        <item m="1" x="1228"/>
        <item m="1" x="1788"/>
        <item x="46"/>
        <item m="1" x="1189"/>
        <item m="1" x="462"/>
        <item m="1" x="1901"/>
        <item m="1" x="777"/>
        <item m="1" x="2592"/>
        <item m="1" x="335"/>
        <item m="1" x="2295"/>
        <item m="1" x="2296"/>
        <item m="1" x="612"/>
        <item m="1" x="1027"/>
        <item m="1" x="363"/>
        <item m="1" x="1750"/>
        <item m="1" x="1230"/>
        <item m="1" x="1799"/>
        <item m="1" x="1231"/>
        <item m="1" x="2297"/>
        <item m="1" x="1936"/>
        <item m="1" x="579"/>
        <item m="1" x="220"/>
        <item m="1" x="666"/>
        <item m="1" x="391"/>
        <item m="1" x="2724"/>
        <item m="1" x="2701"/>
        <item m="1" x="2656"/>
        <item m="1" x="778"/>
        <item m="1" x="1675"/>
        <item m="1" x="2298"/>
        <item m="1" x="53"/>
        <item m="1" x="1820"/>
        <item m="1" x="1232"/>
        <item m="1" x="1853"/>
        <item m="1" x="1469"/>
        <item m="1" x="61"/>
        <item m="1" x="1884"/>
        <item m="1" x="1941"/>
        <item m="1" x="623"/>
        <item m="1" x="2386"/>
        <item m="1" x="1263"/>
        <item m="1" x="1971"/>
        <item m="1" x="1039"/>
        <item m="1" x="1233"/>
        <item m="1" x="530"/>
        <item m="1" x="1892"/>
        <item m="1" x="2300"/>
        <item m="1" x="1165"/>
        <item m="1" x="1507"/>
        <item m="1" x="779"/>
        <item m="1" x="2645"/>
        <item m="1" x="2106"/>
        <item m="1" x="358"/>
        <item m="1" x="2301"/>
        <item m="1" x="1386"/>
        <item m="1" x="1822"/>
        <item m="1" x="1235"/>
        <item m="1" x="318"/>
        <item m="1" x="2302"/>
        <item m="1" x="1009"/>
        <item m="1" x="1108"/>
        <item m="1" x="2303"/>
        <item m="1" x="2304"/>
        <item m="1" x="1437"/>
        <item m="1" x="581"/>
        <item m="1" x="1100"/>
        <item m="1" x="1071"/>
        <item m="1" x="2305"/>
        <item m="1" x="370"/>
        <item m="1" x="1259"/>
        <item m="1" x="59"/>
        <item m="1" x="1683"/>
        <item m="1" x="336"/>
        <item m="1" x="60"/>
        <item m="1" x="337"/>
        <item m="1" x="2306"/>
        <item m="1" x="1245"/>
        <item m="1" x="2307"/>
        <item m="1" x="268"/>
        <item m="1" x="512"/>
        <item m="1" x="1177"/>
        <item m="1" x="868"/>
        <item m="1" x="667"/>
        <item m="1" x="1516"/>
        <item m="1" x="494"/>
        <item m="1" x="1238"/>
        <item m="1" x="388"/>
        <item m="1" x="283"/>
        <item m="1" x="104"/>
        <item m="1" x="1513"/>
        <item m="1" x="2107"/>
        <item m="1" x="1539"/>
        <item m="1" x="537"/>
        <item m="1" x="1752"/>
        <item m="1" x="101"/>
        <item m="1" x="195"/>
        <item m="1" x="338"/>
        <item m="1" x="668"/>
        <item m="1" x="1193"/>
        <item m="1" x="438"/>
        <item m="1" x="221"/>
        <item x="32"/>
        <item m="1" x="2309"/>
        <item m="1" x="2310"/>
        <item m="1" x="1679"/>
        <item m="1" x="2311"/>
        <item m="1" x="948"/>
        <item m="1" x="1928"/>
        <item m="1" x="1551"/>
        <item m="1" x="288"/>
        <item m="1" x="273"/>
        <item m="1" x="1711"/>
        <item m="1" x="185"/>
        <item m="1" x="1461"/>
        <item m="1" x="1239"/>
        <item m="1" x="1937"/>
        <item m="1" x="903"/>
        <item m="1" x="692"/>
        <item m="1" x="506"/>
        <item m="1" x="2312"/>
        <item m="1" x="2313"/>
        <item m="1" x="669"/>
        <item m="1" x="876"/>
        <item m="1" x="2314"/>
        <item m="1" x="1244"/>
        <item m="1" x="2108"/>
        <item m="1" x="1420"/>
        <item m="1" x="2315"/>
        <item m="1" x="1992"/>
        <item m="1" x="826"/>
        <item m="1" x="2567"/>
        <item m="1" x="774"/>
        <item m="1" x="75"/>
        <item m="1" x="1246"/>
        <item m="1" x="2317"/>
        <item m="1" x="2318"/>
        <item m="1" x="672"/>
        <item m="1" x="2319"/>
        <item m="1" x="1645"/>
        <item m="1" x="2017"/>
        <item m="1" x="1248"/>
        <item m="1" x="1249"/>
        <item m="1" x="781"/>
        <item m="1" x="1250"/>
        <item m="1" x="1060"/>
        <item m="1" x="671"/>
        <item m="1" x="1252"/>
        <item m="1" x="1880"/>
        <item m="1" x="1286"/>
        <item x="6"/>
        <item m="1" x="348"/>
        <item m="1" x="2320"/>
        <item m="1" x="1243"/>
        <item m="1" x="354"/>
        <item m="1" x="2179"/>
        <item m="1" x="2321"/>
        <item m="1" x="1440"/>
        <item m="1" x="884"/>
        <item m="1" x="629"/>
        <item m="1" x="2152"/>
        <item m="1" x="764"/>
        <item m="1" x="782"/>
        <item m="1" x="2322"/>
        <item m="1" x="783"/>
        <item m="1" x="1371"/>
        <item m="1" x="2323"/>
        <item m="1" x="971"/>
        <item m="1" x="1304"/>
        <item m="1" x="2324"/>
        <item m="1" x="1921"/>
        <item m="1" x="368"/>
        <item m="1" x="279"/>
        <item m="1" x="57"/>
        <item m="1" x="2325"/>
        <item m="1" x="240"/>
        <item m="1" x="286"/>
        <item m="1" x="1589"/>
        <item m="1" x="1271"/>
        <item m="1" x="294"/>
        <item m="1" x="549"/>
        <item m="1" x="784"/>
        <item m="1" x="1602"/>
        <item m="1" x="2326"/>
        <item m="1" x="1546"/>
        <item m="1" x="1487"/>
        <item m="1" x="1419"/>
        <item m="1" x="281"/>
        <item m="1" x="566"/>
        <item m="1" x="341"/>
        <item m="1" x="2554"/>
        <item m="1" x="1740"/>
        <item m="1" x="460"/>
        <item m="1" x="1897"/>
        <item m="1" x="1255"/>
        <item m="1" x="785"/>
        <item m="1" x="786"/>
        <item m="1" x="2598"/>
        <item m="1" x="477"/>
        <item m="1" x="1753"/>
        <item m="1" x="2056"/>
        <item m="1" x="417"/>
        <item x="4"/>
        <item m="1" x="2075"/>
        <item m="1" x="1093"/>
        <item sd="0" m="1" x="2737"/>
        <item m="1" x="590"/>
        <item m="1" x="2707"/>
        <item m="1" x="1057"/>
        <item m="1" x="599"/>
        <item m="1" x="1654"/>
        <item m="1" x="1257"/>
        <item m="1" x="788"/>
        <item m="1" x="1754"/>
        <item m="1" x="536"/>
        <item m="1" x="1258"/>
        <item m="1" x="2327"/>
        <item m="1" x="789"/>
        <item m="1" x="567"/>
        <item m="1" x="2328"/>
        <item m="1" x="2329"/>
        <item m="1" x="439"/>
        <item m="1" x="406"/>
        <item m="1" x="269"/>
        <item m="1" x="1208"/>
        <item m="1" x="1261"/>
        <item m="1" x="1262"/>
        <item m="1" x="592"/>
        <item m="1" x="1522"/>
        <item m="1" x="791"/>
        <item m="1" x="1614"/>
        <item m="1" x="1871"/>
        <item m="1" x="2109"/>
        <item m="1" x="1825"/>
        <item m="1" x="559"/>
        <item m="1" x="1591"/>
        <item m="1" x="580"/>
        <item m="1" x="1369"/>
        <item m="1" x="548"/>
        <item m="1" x="1192"/>
        <item sd="0" m="1" x="2105"/>
        <item m="1" x="1256"/>
        <item m="1" x="673"/>
        <item m="1" x="899"/>
        <item m="1" x="1264"/>
        <item m="1" x="1265"/>
        <item m="1" x="1824"/>
        <item m="1" x="2110"/>
        <item x="8"/>
        <item m="1" x="511"/>
        <item m="1" x="546"/>
        <item m="1" x="64"/>
        <item m="1" x="1201"/>
        <item m="1" x="1266"/>
        <item m="1" x="792"/>
        <item m="1" x="1982"/>
        <item x="44"/>
        <item m="1" x="1577"/>
        <item m="1" x="1613"/>
        <item m="1" x="2330"/>
        <item m="1" x="793"/>
        <item m="1" x="2464"/>
        <item m="1" x="2084"/>
        <item m="1" x="794"/>
        <item m="1" x="583"/>
        <item m="1" x="1433"/>
        <item m="1" x="1640"/>
        <item m="1" x="2614"/>
        <item m="1" x="503"/>
        <item m="1" x="1267"/>
        <item m="1" x="1036"/>
        <item m="1" x="1302"/>
        <item m="1" x="1225"/>
        <item m="1" x="404"/>
        <item m="1" x="1251"/>
        <item m="1" x="2013"/>
        <item m="1" x="510"/>
        <item m="1" x="555"/>
        <item m="1" x="1671"/>
        <item m="1" x="1906"/>
        <item m="1" x="2111"/>
        <item m="1" x="1125"/>
        <item m="1" x="461"/>
        <item m="1" x="1351"/>
        <item m="1" x="518"/>
        <item m="1" x="2331"/>
        <item m="1" x="1368"/>
        <item m="1" x="222"/>
        <item m="1" x="2332"/>
        <item m="1" x="795"/>
        <item m="1" x="674"/>
        <item m="1" x="1132"/>
        <item m="1" x="584"/>
        <item m="1" x="1826"/>
        <item m="1" x="2605"/>
        <item m="1" x="1317"/>
        <item m="1" x="1980"/>
        <item m="1" x="1939"/>
        <item m="1" x="1272"/>
        <item m="1" x="675"/>
        <item m="1" x="676"/>
        <item m="1" x="1951"/>
        <item m="1" x="2625"/>
        <item x="13"/>
        <item m="1" x="1474"/>
        <item m="1" x="2333"/>
        <item m="1" x="1277"/>
        <item m="1" x="1572"/>
        <item m="1" x="1278"/>
        <item m="1" x="2334"/>
        <item m="1" x="2335"/>
        <item m="1" x="1784"/>
        <item m="1" x="300"/>
        <item m="1" x="1723"/>
        <item m="1" x="1279"/>
        <item m="1" x="1410"/>
        <item m="1" x="152"/>
        <item m="1" x="1594"/>
        <item m="1" x="277"/>
        <item m="1" x="1074"/>
        <item m="1" x="132"/>
        <item m="1" x="1934"/>
        <item m="1" x="236"/>
        <item m="1" x="1283"/>
        <item m="1" x="2337"/>
        <item m="1" x="426"/>
        <item m="1" x="1606"/>
        <item m="1" x="1966"/>
        <item m="1" x="2391"/>
        <item m="1" x="2338"/>
        <item m="1" x="1354"/>
        <item m="1" x="1463"/>
        <item m="1" x="2340"/>
        <item m="1" x="657"/>
        <item m="1" x="2668"/>
        <item m="1" x="906"/>
        <item m="1" x="2341"/>
        <item sd="0" m="1" x="2739"/>
        <item x="45"/>
        <item m="1" x="463"/>
        <item m="1" x="924"/>
        <item m="1" x="1925"/>
        <item m="1" x="2342"/>
        <item m="1" x="2343"/>
        <item m="1" x="2344"/>
        <item m="1" x="963"/>
        <item m="1" x="2033"/>
        <item m="1" x="2346"/>
        <item sd="0" m="1" x="2223"/>
        <item m="1" x="2715"/>
        <item m="1" x="2613"/>
        <item m="1" x="677"/>
        <item m="1" x="1598"/>
        <item m="1" x="2021"/>
        <item m="1" x="2347"/>
        <item m="1" x="2348"/>
        <item m="1" x="1297"/>
        <item m="1" x="343"/>
        <item m="1" x="2551"/>
        <item m="1" x="353"/>
        <item m="1" x="1964"/>
        <item m="1" x="441"/>
        <item m="1" x="2050"/>
        <item m="1" x="901"/>
        <item m="1" x="1499"/>
        <item m="1" x="450"/>
        <item m="1" x="2654"/>
        <item m="1" x="1646"/>
        <item m="1" x="2466"/>
        <item m="1" x="1860"/>
        <item m="1" x="1299"/>
        <item m="1" x="2028"/>
        <item m="1" x="904"/>
        <item m="1" x="2350"/>
        <item m="1" x="135"/>
        <item m="1" x="2336"/>
        <item m="1" x="2349"/>
        <item m="1" x="2582"/>
        <item m="1" x="234"/>
        <item m="1" x="1524"/>
        <item m="1" x="1414"/>
        <item m="1" x="1301"/>
        <item m="1" x="133"/>
        <item m="1" x="507"/>
        <item m="1" x="527"/>
        <item m="1" x="2112"/>
        <item m="1" x="214"/>
        <item sd="0" m="1" x="213"/>
        <item m="1" x="1999"/>
        <item m="1" x="2352"/>
        <item m="1" x="1185"/>
        <item m="1" x="74"/>
        <item m="1" x="1311"/>
        <item m="1" x="2607"/>
        <item m="1" x="2151"/>
        <item m="1" x="1755"/>
        <item m="1" x="184"/>
        <item m="1" x="525"/>
        <item m="1" x="1312"/>
        <item m="1" x="1313"/>
        <item m="1" x="543"/>
        <item m="1" x="495"/>
        <item m="1" x="2008"/>
        <item m="1" x="1855"/>
        <item m="1" x="944"/>
        <item m="1" x="1081"/>
        <item m="1" x="223"/>
        <item m="1" x="2353"/>
        <item m="1" x="138"/>
        <item m="1" x="139"/>
        <item m="1" x="73"/>
        <item m="1" x="1007"/>
        <item m="1" x="2354"/>
        <item m="1" x="898"/>
        <item m="1" x="1756"/>
        <item m="1" x="2355"/>
        <item m="1" x="2356"/>
        <item m="1" x="1970"/>
        <item m="1" x="1985"/>
        <item m="1" x="1381"/>
        <item m="1" x="345"/>
        <item m="1" x="797"/>
        <item m="1" x="678"/>
        <item m="1" x="2358"/>
        <item m="1" x="2496"/>
        <item m="1" x="346"/>
        <item m="1" x="2661"/>
        <item m="1" x="237"/>
        <item m="1" x="1628"/>
        <item m="1" x="2359"/>
        <item m="1" x="140"/>
        <item m="1" x="1647"/>
        <item m="1" x="1316"/>
        <item m="1" x="1655"/>
        <item m="1" x="1632"/>
        <item m="1" x="1553"/>
        <item m="1" x="1942"/>
        <item m="1" x="1917"/>
        <item m="1" x="2683"/>
        <item m="1" x="836"/>
        <item m="1" x="2360"/>
        <item m="1" x="1949"/>
        <item m="1" x="712"/>
        <item m="1" x="2113"/>
        <item m="1" x="1285"/>
        <item m="1" x="271"/>
        <item m="1" x="1319"/>
        <item m="1" x="1011"/>
        <item m="1" x="2361"/>
        <item m="1" x="1357"/>
        <item m="1" x="349"/>
        <item m="1" x="2051"/>
        <item x="3"/>
        <item m="1" x="1963"/>
        <item m="1" x="619"/>
        <item m="1" x="2362"/>
        <item m="1" x="877"/>
        <item m="1" x="1893"/>
        <item m="1" x="1827"/>
        <item sd="0" m="1" x="245"/>
        <item m="1" x="996"/>
        <item m="1" x="384"/>
        <item m="1" x="2363"/>
        <item m="1" x="980"/>
        <item m="1" x="1548"/>
        <item m="1" x="2720"/>
        <item m="1" x="949"/>
        <item m="1" x="1102"/>
        <item m="1" x="689"/>
        <item m="1" x="639"/>
        <item m="1" x="1639"/>
        <item m="1" x="1321"/>
        <item m="1" x="1322"/>
        <item m="1" x="2366"/>
        <item m="1" x="528"/>
        <item m="1" x="1973"/>
        <item m="1" x="2553"/>
        <item m="1" x="2590"/>
        <item m="1" x="2583"/>
        <item m="1" x="342"/>
        <item m="1" x="1323"/>
        <item m="1" x="2052"/>
        <item m="1" x="1523"/>
        <item m="1" x="1786"/>
        <item m="1" x="1641"/>
        <item m="1" x="1829"/>
        <item m="1" x="681"/>
        <item m="1" x="350"/>
        <item m="1" x="2711"/>
        <item m="1" x="1324"/>
        <item m="1" x="390"/>
        <item m="1" x="1725"/>
        <item m="1" x="780"/>
        <item m="1" x="2621"/>
        <item m="1" x="955"/>
        <item m="1" x="1924"/>
        <item m="1" x="1950"/>
        <item m="1" x="787"/>
        <item sd="0" x="15"/>
        <item m="1" x="798"/>
        <item m="1" x="323"/>
        <item m="1" x="2364"/>
        <item m="1" x="973"/>
        <item m="1" x="142"/>
        <item m="1" x="2365"/>
        <item m="1" x="82"/>
        <item m="1" x="1372"/>
        <item m="1" x="1987"/>
        <item m="1" x="1831"/>
        <item m="1" x="1198"/>
        <item m="1" x="916"/>
        <item m="1" x="2685"/>
        <item m="1" x="1953"/>
        <item m="1" x="2703"/>
        <item m="1" x="682"/>
        <item m="1" x="264"/>
        <item m="1" x="2367"/>
        <item m="1" x="524"/>
        <item m="1" x="1328"/>
        <item m="1" x="1389"/>
        <item m="1" x="2369"/>
        <item m="1" x="1758"/>
        <item m="1" x="1821"/>
        <item m="1" x="965"/>
        <item m="1" x="1334"/>
        <item m="1" x="544"/>
        <item m="1" x="2053"/>
        <item m="1" x="2655"/>
        <item m="1" x="1807"/>
        <item m="1" x="2114"/>
        <item m="1" x="1345"/>
        <item m="1" x="2467"/>
        <item m="1" x="2370"/>
        <item m="1" x="964"/>
        <item m="1" x="209"/>
        <item m="1" x="2628"/>
        <item m="1" x="1588"/>
        <item m="1" x="1908"/>
        <item m="1" x="1385"/>
        <item m="1" x="1759"/>
        <item m="1" x="51"/>
        <item m="1" x="2371"/>
        <item m="1" x="1275"/>
        <item sd="0" m="1" x="2677"/>
        <item m="1" x="987"/>
        <item m="1" x="2010"/>
        <item m="1" x="683"/>
        <item m="1" x="1760"/>
        <item m="1" x="2373"/>
        <item m="1" x="864"/>
        <item m="1" x="2054"/>
        <item m="1" x="1945"/>
        <item m="1" x="684"/>
        <item m="1" x="572"/>
        <item m="1" x="145"/>
        <item m="1" x="479"/>
        <item m="1" x="1188"/>
        <item m="1" x="799"/>
        <item m="1" x="1833"/>
        <item m="1" x="2375"/>
        <item m="1" x="1761"/>
        <item m="1" x="1883"/>
        <item m="1" x="1048"/>
        <item m="1" x="2568"/>
        <item m="1" x="1891"/>
        <item m="1" x="2376"/>
        <item m="1" x="1716"/>
        <item m="1" x="1642"/>
        <item m="1" x="2377"/>
        <item m="1" x="2432"/>
        <item m="1" x="1542"/>
        <item m="1" x="2691"/>
        <item m="1" x="1370"/>
        <item m="1" x="1133"/>
        <item m="1" x="1636"/>
        <item m="1" x="1815"/>
        <item m="1" x="2665"/>
        <item m="1" x="1320"/>
        <item m="1" x="1447"/>
        <item m="1" x="466"/>
        <item m="1" x="1431"/>
        <item m="1" x="481"/>
        <item m="1" x="1307"/>
        <item m="1" x="1527"/>
        <item m="1" x="1077"/>
        <item m="1" x="297"/>
        <item m="1" x="2006"/>
        <item m="1" x="147"/>
        <item m="1" x="2378"/>
        <item m="1" x="1199"/>
        <item m="1" x="1452"/>
        <item m="1" x="999"/>
        <item m="1" x="2379"/>
        <item m="1" x="113"/>
        <item m="1" x="355"/>
        <item m="1" x="1196"/>
        <item m="1" x="1075"/>
        <item m="1" x="831"/>
        <item m="1" x="802"/>
        <item m="1" x="1202"/>
        <item m="1" x="2055"/>
        <item m="1" x="1536"/>
        <item m="1" x="568"/>
        <item m="1" x="1038"/>
        <item m="1" x="2025"/>
        <item m="1" x="317"/>
        <item m="1" x="1157"/>
        <item m="1" x="154"/>
        <item m="1" x="1300"/>
        <item m="1" x="1485"/>
        <item m="1" x="975"/>
        <item m="1" x="2555"/>
        <item m="1" x="2393"/>
        <item m="1" x="687"/>
        <item m="1" x="293"/>
        <item m="1" x="262"/>
        <item m="1" x="2673"/>
        <item m="1" x="1068"/>
        <item m="1" x="2394"/>
        <item m="1" x="2604"/>
        <item m="1" x="1059"/>
        <item m="1" x="2626"/>
        <item m="1" x="976"/>
        <item m="1" x="2620"/>
        <item m="1" x="1926"/>
        <item m="1" x="2395"/>
        <item m="1" x="2396"/>
        <item m="1" x="224"/>
        <item m="1" x="263"/>
        <item m="1" x="1530"/>
        <item m="1" x="1692"/>
        <item m="1" x="1227"/>
        <item m="1" x="83"/>
        <item m="1" x="2629"/>
        <item m="1" x="2397"/>
        <item m="1" x="2595"/>
        <item m="1" x="1427"/>
        <item m="1" x="1920"/>
        <item m="1" x="808"/>
        <item m="1" x="1428"/>
        <item m="1" x="810"/>
        <item m="1" x="2116"/>
        <item m="1" x="225"/>
        <item m="1" x="2398"/>
        <item m="1" x="1429"/>
        <item m="1" x="2399"/>
        <item m="1" x="688"/>
        <item m="1" x="377"/>
        <item m="1" x="2400"/>
        <item m="1" x="1430"/>
        <item m="1" x="1637"/>
        <item m="1" x="1488"/>
        <item m="1" x="1432"/>
        <item m="1" x="2401"/>
        <item m="1" x="2402"/>
        <item m="1" x="247"/>
        <item m="1" x="480"/>
        <item m="1" x="2623"/>
        <item m="1" x="1765"/>
        <item m="1" x="1518"/>
        <item m="1" x="957"/>
        <item m="1" x="2403"/>
        <item m="1" x="885"/>
        <item m="1" x="2405"/>
        <item m="1" x="2082"/>
        <item m="1" x="2060"/>
        <item m="1" x="467"/>
        <item m="1" x="1373"/>
        <item m="1" x="2406"/>
        <item m="1" x="1837"/>
        <item m="1" x="912"/>
        <item m="1" x="1576"/>
        <item m="1" x="1394"/>
        <item m="1" x="1448"/>
        <item m="1" x="1422"/>
        <item m="1" x="889"/>
        <item m="1" x="1449"/>
        <item m="1" x="1159"/>
        <item m="1" x="66"/>
        <item m="1" x="1894"/>
        <item m="1" x="314"/>
        <item m="1" x="163"/>
        <item m="1" x="1451"/>
        <item m="1" x="2491"/>
        <item m="1" x="381"/>
        <item m="1" x="2407"/>
        <item m="1" x="2408"/>
        <item m="1" x="2410"/>
        <item m="1" x="2675"/>
        <item m="1" x="1751"/>
        <item m="1" x="2409"/>
        <item m="1" x="382"/>
        <item m="1" x="1483"/>
        <item m="1" x="246"/>
        <item m="1" x="1454"/>
        <item m="1" x="1766"/>
        <item m="1" x="55"/>
        <item m="1" x="468"/>
        <item m="1" x="1220"/>
        <item m="1" x="395"/>
        <item m="1" x="1206"/>
        <item sd="0" m="1" x="2727"/>
        <item sd="0" m="1" x="308"/>
        <item m="1" x="1910"/>
        <item m="1" x="1457"/>
        <item m="1" x="1456"/>
        <item m="1" x="1458"/>
        <item m="1" x="624"/>
        <item m="1" x="1444"/>
        <item m="1" x="1787"/>
        <item m="1" x="2566"/>
        <item m="1" x="2411"/>
        <item m="1" x="367"/>
        <item m="1" x="2412"/>
        <item m="1" x="289"/>
        <item m="1" x="2413"/>
        <item m="1" x="1543"/>
        <item m="1" x="2414"/>
        <item m="1" x="1722"/>
        <item m="1" x="170"/>
        <item m="1" x="2404"/>
        <item m="1" x="160"/>
        <item m="1" x="1392"/>
        <item m="1" x="2693"/>
        <item m="1" x="2556"/>
        <item m="1" x="2415"/>
        <item m="1" x="733"/>
        <item m="1" x="1656"/>
        <item x="14"/>
        <item m="1" x="1912"/>
        <item m="1" x="1528"/>
        <item m="1" x="1284"/>
        <item m="1" x="165"/>
        <item m="1" x="2270"/>
        <item m="1" x="1914"/>
        <item m="1" x="2653"/>
        <item m="1" x="2118"/>
        <item m="1" x="1390"/>
        <item m="1" x="2034"/>
        <item m="1" x="816"/>
        <item m="1" x="166"/>
        <item m="1" x="1281"/>
        <item m="1" x="1395"/>
        <item m="1" x="1471"/>
        <item m="1" x="144"/>
        <item m="1" x="2019"/>
        <item m="1" x="586"/>
        <item m="1" x="2602"/>
        <item m="1" x="2417"/>
        <item m="1" x="2418"/>
        <item m="1" x="817"/>
        <item m="1" x="2636"/>
        <item m="1" x="1409"/>
        <item m="1" x="1472"/>
        <item m="1" x="690"/>
        <item m="1" x="1473"/>
        <item m="1" x="2419"/>
        <item m="1" x="2420"/>
        <item m="1" x="915"/>
        <item m="1" x="2421"/>
        <item m="1" x="2709"/>
        <item m="1" x="2422"/>
        <item m="1" x="2423"/>
        <item m="1" x="2260"/>
        <item m="1" x="862"/>
        <item m="1" x="2684"/>
        <item m="1" x="882"/>
        <item m="1" x="2424"/>
        <item m="1" x="1882"/>
        <item m="1" x="1347"/>
        <item m="1" x="691"/>
        <item m="1" x="2690"/>
        <item m="1" x="351"/>
        <item m="1" x="2139"/>
        <item m="1" x="2469"/>
        <item m="1" x="1034"/>
        <item m="1" x="501"/>
        <item m="1" x="818"/>
        <item m="1" x="819"/>
        <item m="1" x="914"/>
        <item m="1" x="63"/>
        <item m="1" x="2119"/>
        <item m="1" x="656"/>
        <item m="1" x="2425"/>
        <item m="1" x="149"/>
        <item m="1" x="387"/>
        <item m="1" x="557"/>
        <item m="1" x="1785"/>
        <item m="1" x="2061"/>
        <item m="1" x="440"/>
        <item m="1" x="2099"/>
        <item m="1" x="2426"/>
        <item m="1" x="995"/>
        <item m="1" x="1767"/>
        <item m="1" x="991"/>
        <item m="1" x="386"/>
        <item m="1" x="434"/>
        <item m="1" x="2428"/>
        <item m="1" x="2120"/>
        <item m="1" x="820"/>
        <item m="1" x="1994"/>
        <item m="1" x="487"/>
        <item m="1" x="95"/>
        <item m="1" x="482"/>
        <item m="1" x="87"/>
        <item m="1" x="1938"/>
        <item m="1" x="2062"/>
        <item m="1" x="371"/>
        <item m="1" x="210"/>
        <item m="1" x="2671"/>
        <item m="1" x="312"/>
        <item m="1" x="1923"/>
        <item m="1" x="120"/>
        <item m="1" x="2429"/>
        <item m="1" x="966"/>
        <item m="1" x="821"/>
        <item m="1" x="2068"/>
        <item m="1" x="1489"/>
        <item m="1" x="1490"/>
        <item m="1" x="1491"/>
        <item m="1" x="2430"/>
        <item m="1" x="1684"/>
        <item m="1" x="1379"/>
        <item m="1" x="1730"/>
        <item m="1" x="1800"/>
        <item m="1" x="162"/>
        <item m="1" x="1314"/>
        <item m="1" x="694"/>
        <item m="1" x="1493"/>
        <item m="1" x="1435"/>
        <item m="1" x="611"/>
        <item m="1" x="1018"/>
        <item m="1" x="2384"/>
        <item m="1" x="2616"/>
        <item m="1" x="2561"/>
        <item m="1" x="1290"/>
        <item m="1" x="1156"/>
        <item m="1" x="401"/>
        <item m="1" x="2142"/>
        <item m="1" x="383"/>
        <item m="1" x="2433"/>
        <item m="1" x="380"/>
        <item m="1" x="2434"/>
        <item m="1" x="1986"/>
        <item m="1" x="695"/>
        <item m="1" x="1688"/>
        <item m="1" x="907"/>
        <item m="1" x="2387"/>
        <item m="1" x="310"/>
        <item m="1" x="168"/>
        <item m="1" x="954"/>
        <item m="1" x="1342"/>
        <item m="1" x="328"/>
        <item m="1" x="822"/>
        <item m="1" x="403"/>
        <item m="1" x="1486"/>
        <item m="1" x="339"/>
        <item m="1" x="823"/>
        <item m="1" x="2435"/>
        <item m="1" x="502"/>
        <item m="1" x="565"/>
        <item m="1" x="1501"/>
        <item m="1" x="1023"/>
        <item m="1" x="2436"/>
        <item sd="0" m="1" x="2733"/>
        <item m="1" x="1217"/>
        <item m="1" x="800"/>
        <item m="1" x="1467"/>
        <item m="1" x="389"/>
        <item m="1" x="2063"/>
        <item m="1" x="2437"/>
        <item m="1" x="1064"/>
        <item m="1" x="853"/>
        <item m="1" x="936"/>
        <item m="1" x="1596"/>
        <item m="1" x="1502"/>
        <item m="1" x="2438"/>
        <item m="1" x="2129"/>
        <item m="1" x="174"/>
        <item m="1" x="2064"/>
        <item m="1" x="161"/>
        <item m="1" x="931"/>
        <item m="1" x="2584"/>
        <item m="1" x="923"/>
        <item m="1" x="2439"/>
        <item m="1" x="227"/>
        <item m="1" x="1517"/>
        <item m="1" x="2440"/>
        <item x="25"/>
        <item m="1" x="392"/>
        <item m="1" x="824"/>
        <item m="1" x="886"/>
        <item m="1" x="1396"/>
        <item m="1" x="1480"/>
        <item m="1" x="2065"/>
        <item m="1" x="1680"/>
        <item m="1" x="1511"/>
        <item m="1" x="393"/>
        <item m="1" x="2441"/>
        <item m="1" x="1792"/>
        <item m="1" x="172"/>
        <item m="1" x="1967"/>
        <item m="1" x="1512"/>
        <item m="1" x="825"/>
        <item m="1" x="71"/>
        <item m="1" x="1944"/>
        <item m="1" x="2594"/>
        <item m="1" x="2382"/>
        <item m="1" x="1665"/>
        <item m="1" x="2442"/>
        <item m="1" x="375"/>
        <item m="1" x="985"/>
        <item m="1" x="257"/>
        <item m="1" x="1119"/>
        <item m="1" x="2443"/>
        <item m="1" x="721"/>
        <item m="1" x="2444"/>
        <item m="1" x="1376"/>
        <item m="1" x="670"/>
        <item m="1" x="1768"/>
        <item m="1" x="2445"/>
        <item m="1" x="1943"/>
        <item m="1" x="67"/>
        <item m="1" x="1222"/>
        <item m="1" x="2070"/>
        <item m="1" x="180"/>
        <item m="1" x="124"/>
        <item m="1" x="1968"/>
        <item m="1" x="396"/>
        <item m="1" x="1525"/>
        <item m="1" x="1295"/>
        <item m="1" x="340"/>
        <item m="1" x="2447"/>
        <item m="1" x="422"/>
        <item m="1" x="2448"/>
        <item m="1" x="563"/>
        <item m="1" x="893"/>
        <item m="1" x="894"/>
        <item m="1" x="696"/>
        <item m="1" x="2450"/>
        <item m="1" x="1066"/>
        <item m="1" x="2066"/>
        <item m="1" x="2646"/>
        <item m="1" x="2570"/>
        <item m="1" x="1443"/>
        <item m="1" x="226"/>
        <item m="1" x="157"/>
        <item m="1" x="1383"/>
        <item m="1" x="940"/>
        <item m="1" x="2014"/>
        <item m="1" x="697"/>
        <item m="1" x="698"/>
        <item m="1" x="587"/>
        <item m="1" x="2451"/>
        <item m="1" x="1580"/>
        <item m="1" x="2532"/>
        <item m="1" x="253"/>
        <item m="1" x="1814"/>
        <item m="1" x="1118"/>
        <item m="1" x="1180"/>
        <item m="1" x="827"/>
        <item m="1" x="2121"/>
        <item m="1" x="1619"/>
        <item m="1" x="1035"/>
        <item m="1" x="2723"/>
        <item m="1" x="2639"/>
        <item m="1" x="2009"/>
        <item m="1" x="119"/>
        <item m="1" x="1534"/>
        <item m="1" x="2452"/>
        <item m="1" x="1291"/>
        <item m="1" x="398"/>
        <item m="1" x="1728"/>
        <item m="1" x="2316"/>
        <item m="1" x="1560"/>
        <item m="1" x="2619"/>
        <item m="1" x="469"/>
        <item m="1" x="1769"/>
        <item m="1" x="1889"/>
        <item m="1" x="699"/>
        <item sd="0" m="1" x="2732"/>
        <item m="1" x="569"/>
        <item m="1" x="803"/>
        <item x="17"/>
        <item m="1" x="2453"/>
        <item m="1" x="1995"/>
        <item m="1" x="2454"/>
        <item m="1" x="1296"/>
        <item m="1" x="1866"/>
        <item m="1" x="1731"/>
        <item m="1" x="1537"/>
        <item m="1" x="1609"/>
        <item m="1" x="2574"/>
        <item m="1" x="1538"/>
        <item m="1" x="483"/>
        <item m="1" x="1603"/>
        <item m="1" x="178"/>
        <item m="1" x="1791"/>
        <item m="1" x="1840"/>
        <item m="1" x="958"/>
        <item m="1" x="402"/>
        <item sd="0" m="1" x="258"/>
        <item sd="0" m="1" x="2725"/>
        <item m="1" x="1033"/>
        <item m="1" x="1798"/>
        <item m="1" x="1013"/>
        <item m="1" x="186"/>
        <item m="1" x="1916"/>
        <item m="1" x="968"/>
        <item m="1" x="2599"/>
        <item m="1" x="2140"/>
        <item m="1" x="796"/>
        <item m="1" x="1540"/>
        <item m="1" x="1541"/>
        <item m="1" x="701"/>
        <item m="1" x="1856"/>
        <item m="1" x="897"/>
        <item m="1" x="1857"/>
        <item m="1" x="2455"/>
        <item m="1" x="2660"/>
        <item m="1" x="1115"/>
        <item m="1" x="2471"/>
        <item m="1" x="1896"/>
        <item m="1" x="680"/>
        <item m="1" x="705"/>
        <item m="1" x="446"/>
        <item m="1" x="1350"/>
        <item m="1" x="600"/>
        <item m="1" x="1001"/>
        <item m="1" x="702"/>
        <item m="1" x="1545"/>
        <item x="2"/>
        <item m="1" x="531"/>
        <item m="1" x="634"/>
        <item m="1" x="814"/>
        <item m="1" x="556"/>
        <item x="21"/>
        <item m="1" x="2679"/>
        <item sd="0" m="1" x="1190"/>
        <item m="1" x="1823"/>
        <item m="1" x="790"/>
        <item m="1" x="2696"/>
        <item m="1" x="1127"/>
        <item m="1" x="845"/>
        <item m="1" x="347"/>
        <item m="1" x="1559"/>
        <item m="1" x="1116"/>
        <item m="1" x="1839"/>
        <item m="1" x="1721"/>
        <item m="1" x="1144"/>
        <item m="1" x="1107"/>
        <item m="1" x="888"/>
        <item m="1" x="1332"/>
        <item m="1" x="1845"/>
        <item sd="0" m="1" x="522"/>
        <item m="1" x="1714"/>
        <item m="1" x="1841"/>
        <item m="1" x="627"/>
        <item m="1" x="409"/>
        <item m="1" x="1040"/>
        <item m="1" x="1862"/>
        <item m="1" x="1969"/>
        <item m="1" x="379"/>
        <item m="1" x="1988"/>
        <item m="1" x="703"/>
        <item m="1" x="187"/>
        <item m="1" x="470"/>
        <item m="1" x="2122"/>
        <item m="1" x="1838"/>
        <item m="1" x="1564"/>
        <item m="1" x="198"/>
        <item x="39"/>
        <item m="1" x="913"/>
        <item m="1" x="1867"/>
        <item m="1" x="2458"/>
        <item m="1" x="1529"/>
        <item m="1" x="2459"/>
        <item m="1" x="2460"/>
        <item m="1" x="2462"/>
        <item m="1" x="830"/>
        <item m="1" x="704"/>
        <item m="1" x="2609"/>
        <item m="1" x="305"/>
        <item m="1" x="953"/>
        <item m="1" x="977"/>
        <item m="1" x="2463"/>
        <item m="1" x="2591"/>
        <item m="1" x="2299"/>
        <item m="1" x="189"/>
        <item m="1" x="2381"/>
        <item m="1" x="2662"/>
        <item m="1" x="228"/>
        <item m="1" x="2457"/>
        <item m="1" x="2032"/>
        <item m="1" x="961"/>
        <item m="1" x="1610"/>
        <item m="1" x="229"/>
        <item m="1" x="1772"/>
        <item m="1" x="1567"/>
        <item m="1" x="362"/>
        <item m="1" x="1029"/>
        <item m="1" x="829"/>
        <item m="1" x="1582"/>
        <item m="1" x="447"/>
        <item m="1" x="1150"/>
        <item sd="0" m="1" x="2736"/>
        <item m="1" x="1178"/>
        <item m="1" x="1514"/>
        <item m="1" x="1583"/>
        <item m="1" x="1584"/>
        <item m="1" x="1134"/>
        <item m="1" x="707"/>
        <item m="1" x="1561"/>
        <item m="1" x="2472"/>
        <item m="1" x="2011"/>
        <item m="1" x="1585"/>
        <item m="1" x="1338"/>
        <item m="1" x="909"/>
        <item m="1" x="700"/>
        <item m="1" x="77"/>
        <item m="1" x="2562"/>
        <item m="1" x="1586"/>
        <item m="1" x="2473"/>
        <item m="1" x="1685"/>
        <item m="1" x="564"/>
        <item m="1" x="1110"/>
        <item x="30"/>
        <item m="1" x="2474"/>
        <item m="1" x="2576"/>
        <item m="1" x="2610"/>
        <item m="1" x="1696"/>
        <item m="1" x="1051"/>
        <item m="1" x="2475"/>
        <item m="1" x="2476"/>
        <item m="1" x="1629"/>
        <item m="1" x="2477"/>
        <item m="1" x="1922"/>
        <item m="1" x="2479"/>
        <item m="1" x="2478"/>
        <item m="1" x="1676"/>
        <item m="1" x="1965"/>
        <item m="1" x="2695"/>
        <item m="1" x="496"/>
        <item m="1" x="1990"/>
        <item m="1" x="2689"/>
        <item m="1" x="1590"/>
        <item m="1" x="1155"/>
        <item m="1" x="881"/>
        <item m="1" x="2480"/>
        <item x="11"/>
        <item m="1" x="1960"/>
        <item m="1" x="2481"/>
        <item m="1" x="520"/>
        <item m="1" x="1028"/>
        <item m="1" x="352"/>
        <item m="1" x="2482"/>
        <item m="1" x="504"/>
        <item m="1" x="1496"/>
        <item m="1" x="928"/>
        <item m="1" x="2468"/>
        <item m="1" x="1024"/>
        <item m="1" x="1854"/>
        <item m="1" x="2483"/>
        <item m="1" x="1593"/>
        <item m="1" x="2680"/>
        <item m="1" x="1061"/>
        <item m="1" x="243"/>
        <item m="1" x="191"/>
        <item m="1" x="1579"/>
        <item m="1" x="1595"/>
        <item m="1" x="192"/>
        <item m="1" x="298"/>
        <item m="1" x="1601"/>
        <item m="1" x="962"/>
        <item m="1" x="2485"/>
        <item m="1" x="2124"/>
        <item m="1" x="1421"/>
        <item m="1" x="2005"/>
        <item m="1" x="1648"/>
        <item m="1" x="2125"/>
        <item m="1" x="1184"/>
        <item m="1" x="2676"/>
        <item m="1" x="1604"/>
        <item m="1" x="1558"/>
        <item m="1" x="194"/>
        <item m="1" x="2126"/>
        <item m="1" x="307"/>
        <item m="1" x="588"/>
        <item m="1" x="1168"/>
        <item m="1" x="193"/>
        <item m="1" x="972"/>
        <item m="1" x="413"/>
        <item m="1" x="414"/>
        <item m="1" x="415"/>
        <item m="1" x="169"/>
        <item m="1" x="416"/>
        <item m="1" x="1445"/>
        <item m="1" x="833"/>
        <item m="1" x="2486"/>
        <item m="1" x="1570"/>
        <item m="1" x="855"/>
        <item m="1" x="1533"/>
        <item m="1" x="2487"/>
        <item m="1" x="1842"/>
        <item m="1" x="1773"/>
        <item m="1" x="2488"/>
        <item m="1" x="1563"/>
        <item m="1" x="902"/>
        <item m="1" x="435"/>
        <item m="1" x="860"/>
        <item m="1" x="1121"/>
        <item m="1" x="708"/>
        <item m="1" x="2490"/>
        <item m="1" x="542"/>
        <item m="1" x="1607"/>
        <item m="1" x="1608"/>
        <item m="1" x="1335"/>
        <item sd="0" m="1" x="2719"/>
        <item m="1" x="1864"/>
        <item m="1" x="742"/>
        <item m="1" x="2368"/>
        <item m="1" x="832"/>
        <item m="1" x="1117"/>
        <item m="1" x="239"/>
        <item m="1" x="1426"/>
        <item m="1" x="2492"/>
        <item m="1" x="2493"/>
        <item m="1" x="196"/>
        <item m="1" x="2494"/>
        <item m="1" x="278"/>
        <item sd="0" m="1" x="2740"/>
        <item m="1" x="2069"/>
        <item m="1" x="1797"/>
        <item m="1" x="143"/>
        <item m="1" x="1611"/>
        <item x="42"/>
        <item m="1" x="608"/>
        <item m="1" x="1848"/>
        <item m="1" x="602"/>
        <item m="1" x="1858"/>
        <item m="1" x="1849"/>
        <item m="1" x="1976"/>
        <item m="1" x="1929"/>
        <item m="1" x="603"/>
        <item m="1" x="770"/>
        <item m="1" x="1850"/>
        <item m="1" x="601"/>
        <item m="1" x="606"/>
        <item m="1" x="610"/>
        <item m="1" x="1852"/>
        <item m="1" x="515"/>
        <item sd="0" x="29"/>
        <item m="1" x="1661"/>
        <item x="41"/>
        <item m="1" x="596"/>
        <item m="1" x="1662"/>
        <item m="1" x="514"/>
        <item m="1" x="595"/>
        <item m="1" x="1977"/>
        <item m="1" x="1358"/>
        <item m="1" x="1847"/>
        <item m="1" x="605"/>
        <item m="1" x="1846"/>
        <item m="1" x="609"/>
        <item sd="0" m="1" x="604"/>
        <item x="28"/>
        <item sd="0" m="1" x="2730"/>
        <item sd="0" m="1" x="2735"/>
        <item sd="0" x="26"/>
        <item m="1" x="857"/>
        <item m="1" x="1861"/>
        <item m="1" x="2027"/>
        <item m="1" x="2035"/>
        <item m="1" x="1881"/>
        <item m="1" x="92"/>
        <item m="1" x="1666"/>
        <item m="1" x="1974"/>
        <item m="1" x="1017"/>
        <item m="1" x="805"/>
        <item m="1" x="2699"/>
        <item m="1" x="2427"/>
        <item m="1" x="2446"/>
        <item m="1" x="151"/>
        <item m="1" x="709"/>
        <item m="1" x="1659"/>
        <item m="1" x="421"/>
        <item m="1" x="2067"/>
        <item m="1" x="2495"/>
        <item m="1" x="921"/>
        <item m="1" x="2238"/>
        <item sd="0" m="1" x="2738"/>
        <item m="1" x="1423"/>
        <item m="1" x="582"/>
        <item m="1" x="2123"/>
        <item m="1" x="70"/>
        <item m="1" x="2497"/>
        <item m="1" x="325"/>
        <item m="1" x="2156"/>
        <item m="1" x="2498"/>
        <item m="1" x="2461"/>
        <item m="1" x="1234"/>
        <item m="1" x="934"/>
        <item m="1" x="2672"/>
        <item m="1" x="1067"/>
        <item m="1" x="2256"/>
        <item m="1" x="1308"/>
        <item m="1" x="1669"/>
        <item m="1" x="1446"/>
        <item m="1" x="1154"/>
        <item m="1" x="2127"/>
        <item m="1" x="423"/>
        <item m="1" x="1400"/>
        <item m="1" x="424"/>
        <item m="1" x="1958"/>
        <item m="1" x="197"/>
        <item m="1" x="2499"/>
        <item m="1" x="1673"/>
        <item m="1" x="517"/>
        <item m="1" x="1477"/>
        <item m="1" x="2500"/>
        <item m="1" x="1808"/>
        <item m="1" x="892"/>
        <item m="1" x="1138"/>
        <item m="1" x="275"/>
        <item m="1" x="834"/>
        <item m="1" x="79"/>
        <item m="1" x="910"/>
        <item m="1" x="136"/>
        <item m="1" x="203"/>
        <item m="1" x="2575"/>
        <item m="1" x="2585"/>
        <item m="1" x="939"/>
        <item m="1" x="1366"/>
        <item m="1" x="1136"/>
        <item m="1" x="1605"/>
        <item m="1" x="1226"/>
        <item m="1" x="484"/>
        <item m="1" x="1677"/>
        <item m="1" x="2714"/>
        <item m="1" x="993"/>
        <item m="1" x="1387"/>
        <item m="1" x="1678"/>
        <item m="1" x="1895"/>
        <item m="1" x="1365"/>
        <item m="1" x="1649"/>
        <item m="1" x="1620"/>
        <item m="1" x="1599"/>
        <item m="1" x="1122"/>
        <item m="1" x="489"/>
        <item m="1" x="1352"/>
        <item m="1" x="1616"/>
        <item m="1" x="835"/>
        <item m="1" x="2515"/>
        <item m="1" x="230"/>
        <item m="1" x="533"/>
        <item m="1" x="2501"/>
        <item m="1" x="261"/>
        <item m="1" x="201"/>
        <item m="1" x="285"/>
        <item m="1" x="2502"/>
        <item m="1" x="1187"/>
        <item m="1" x="552"/>
        <item m="1" x="2503"/>
        <item m="1" x="630"/>
        <item m="1" x="859"/>
        <item m="1" x="1975"/>
        <item m="1" x="2504"/>
        <item m="1" x="2713"/>
        <item m="1" x="2694"/>
        <item m="1" x="1076"/>
        <item m="1" x="905"/>
        <item m="1" x="2514"/>
        <item m="1" x="1828"/>
        <item m="1" x="1164"/>
        <item m="1" x="1415"/>
        <item m="1" x="2587"/>
        <item m="1" x="2698"/>
        <item m="1" x="1697"/>
        <item m="1" x="1401"/>
        <item m="1" x="1292"/>
        <item m="1" x="2505"/>
        <item m="1" x="2702"/>
        <item m="1" x="280"/>
        <item m="1" x="879"/>
        <item m="1" x="937"/>
        <item x="34"/>
        <item m="1" x="365"/>
        <item m="1" x="1566"/>
        <item m="1" x="710"/>
        <item m="1" x="490"/>
        <item sd="0" m="1" x="493"/>
        <item m="1" x="711"/>
        <item m="1" x="400"/>
        <item m="1" x="2507"/>
        <item m="1" x="2624"/>
        <item m="1" x="632"/>
        <item m="1" x="2189"/>
        <item m="1" x="1631"/>
        <item m="1" x="2706"/>
        <item m="1" x="729"/>
        <item m="1" x="2617"/>
        <item x="24"/>
        <item m="1" x="1331"/>
        <item m="1" x="838"/>
        <item m="1" x="2022"/>
        <item m="1" x="1689"/>
        <item m="1" x="1690"/>
        <item m="1" x="2308"/>
        <item m="1" x="1794"/>
        <item m="1" x="1173"/>
        <item m="1" x="651"/>
        <item m="1" x="2652"/>
        <item m="1" x="1101"/>
        <item m="1" x="2128"/>
        <item m="1" x="613"/>
        <item m="1" x="137"/>
        <item m="1" x="813"/>
        <item m="1" x="2603"/>
        <item m="1" x="1343"/>
        <item m="1" x="2509"/>
        <item m="1" x="839"/>
        <item m="1" x="1691"/>
        <item m="1" x="121"/>
        <item m="1" x="425"/>
        <item m="1" x="2431"/>
        <item m="1" x="1890"/>
        <item m="1" x="1776"/>
        <item m="1" x="1904"/>
        <item m="1" x="2144"/>
        <item m="1" x="62"/>
        <item m="1" x="1055"/>
        <item m="1" x="840"/>
        <item m="1" x="2383"/>
        <item m="1" x="1578"/>
        <item m="1" x="2510"/>
        <item m="1" x="1660"/>
        <item m="1" x="485"/>
        <item m="1" x="1207"/>
        <item m="1" x="1693"/>
        <item m="1" x="1663"/>
        <item m="1" x="1657"/>
        <item m="1" x="858"/>
        <item m="1" x="2511"/>
        <item m="1" x="2001"/>
        <item m="1" x="841"/>
        <item m="1" x="1411"/>
        <item m="1" x="837"/>
        <item m="1" x="2597"/>
        <item m="1" x="1694"/>
        <item m="1" x="1801"/>
        <item m="1" x="1695"/>
        <item m="1" x="1681"/>
        <item m="1" x="1587"/>
        <item m="1" x="1160"/>
        <item m="1" x="1569"/>
        <item m="1" x="998"/>
        <item m="1" x="856"/>
        <item m="1" x="1166"/>
        <item m="1" x="2512"/>
        <item m="1" x="150"/>
        <item m="1" x="2149"/>
        <item m="1" x="1223"/>
        <item m="1" x="212"/>
        <item m="1" x="918"/>
        <item m="1" x="1989"/>
        <item m="1" x="1979"/>
        <item m="1" x="2268"/>
        <item m="1" x="56"/>
        <item m="1" x="1562"/>
        <item m="1" x="1581"/>
        <item m="1" x="2390"/>
        <item m="1" x="969"/>
        <item m="1" x="473"/>
        <item m="1" x="843"/>
        <item m="1" x="1625"/>
        <item m="1" x="935"/>
        <item m="1" x="2023"/>
        <item m="1" x="1462"/>
        <item m="1" x="2666"/>
        <item m="1" x="2024"/>
        <item x="9"/>
        <item m="1" x="1698"/>
        <item m="1" x="1375"/>
        <item m="1" x="1699"/>
        <item m="1" x="179"/>
        <item m="1" x="2148"/>
        <item m="1" x="589"/>
        <item m="1" x="558"/>
        <item m="1" x="1019"/>
        <item m="1" x="69"/>
        <item m="1" x="199"/>
        <item m="1" x="844"/>
        <item m="1" x="714"/>
        <item m="1" x="2449"/>
        <item m="1" x="715"/>
        <item m="1" x="1670"/>
        <item m="1" x="1407"/>
        <item m="1" x="2130"/>
        <item m="1" x="1702"/>
        <item m="1" x="427"/>
        <item m="1" x="190"/>
        <item m="1" x="1479"/>
        <item m="1" x="679"/>
        <item m="1" x="716"/>
        <item m="1" x="65"/>
        <item m="1" x="1703"/>
        <item m="1" x="1851"/>
        <item m="1" x="717"/>
        <item m="1" x="486"/>
        <item m="1" x="231"/>
        <item m="1" x="2079"/>
        <item m="1" x="2131"/>
        <item m="1" x="1626"/>
        <item m="1" x="2516"/>
        <item m="1" x="1374"/>
        <item m="1" x="1280"/>
        <item m="1" x="927"/>
        <item m="1" x="299"/>
        <item sd="0" m="1" x="2734"/>
        <item m="1" x="1843"/>
        <item m="1" x="1991"/>
        <item m="1" x="200"/>
        <item m="1" x="1859"/>
        <item m="1" x="86"/>
        <item m="1" x="1268"/>
        <item m="1" x="1417"/>
        <item m="1" x="1706"/>
        <item m="1" x="1269"/>
        <item m="1" x="2132"/>
        <item m="1" x="989"/>
        <item m="1" x="1704"/>
        <item m="1" x="637"/>
        <item m="1" x="706"/>
        <item sd="0" m="1" x="640"/>
        <item m="1" x="842"/>
        <item m="1" x="105"/>
        <item m="1" x="173"/>
        <item m="1" x="1495"/>
        <item m="1" x="896"/>
        <item m="1" x="2517"/>
        <item m="1" x="2518"/>
        <item m="1" x="982"/>
        <item m="1" x="2519"/>
        <item m="1" x="718"/>
        <item m="1" x="1705"/>
        <item m="1" x="1519"/>
        <item m="1" x="2644"/>
        <item m="1" x="2640"/>
        <item m="1" x="2520"/>
        <item m="1" x="1025"/>
        <item m="1" x="1182"/>
        <item m="1" x="1946"/>
        <item m="1" x="1635"/>
        <item m="1" x="984"/>
        <item m="1" x="1274"/>
        <item m="1" x="2521"/>
        <item m="1" x="1633"/>
        <item m="1" x="2522"/>
        <item m="1" x="861"/>
        <item m="1" x="1707"/>
        <item m="1" x="1834"/>
        <item m="1" x="1634"/>
        <item m="1" x="2700"/>
        <item m="1" x="127"/>
        <item m="1" x="1032"/>
        <item m="1" x="2203"/>
        <item m="1" x="1404"/>
        <item m="1" x="1494"/>
        <item m="1" x="1770"/>
        <item m="1" x="1983"/>
        <item m="1" x="2523"/>
        <item m="1" x="1709"/>
        <item m="1" x="1777"/>
        <item m="1" x="2525"/>
        <item m="1" x="719"/>
        <item m="1" x="1927"/>
        <item m="1" x="1996"/>
        <item m="1" x="846"/>
        <item m="1" x="2526"/>
        <item m="1" x="2392"/>
        <item m="1" x="519"/>
        <item m="1" x="1086"/>
        <item m="1" x="2059"/>
        <item m="1" x="598"/>
        <item m="1" x="757"/>
        <item m="1" x="535"/>
        <item m="1" x="2133"/>
        <item m="1" x="2527"/>
        <item m="1" x="204"/>
        <item m="1" x="720"/>
        <item x="35"/>
        <item m="1" x="1713"/>
        <item m="1" x="1014"/>
        <item m="1" x="1424"/>
        <item m="1" x="941"/>
        <item m="1" x="2712"/>
        <item m="1" x="420"/>
        <item m="1" x="2528"/>
        <item m="1" x="1391"/>
        <item m="1" x="2012"/>
        <item m="1" x="2573"/>
        <item m="1" x="938"/>
        <item m="1" x="2134"/>
        <item m="1" x="267"/>
        <item m="1" x="2529"/>
        <item m="1" x="1293"/>
        <item m="1" x="614"/>
        <item sd="0" m="1" x="2722"/>
        <item m="1" x="2593"/>
        <item m="1" x="1416"/>
        <item m="1" x="324"/>
        <item m="1" x="428"/>
        <item m="1" x="2530"/>
        <item m="1" x="2029"/>
        <item m="1" x="723"/>
        <item m="1" x="2259"/>
        <item m="1" x="541"/>
        <item m="1" x="1618"/>
        <item m="1" x="1674"/>
        <item m="1" x="1778"/>
        <item m="1" x="911"/>
        <item m="1" x="2531"/>
        <item m="1" x="847"/>
        <item x="23"/>
        <item m="1" x="478"/>
        <item m="1" x="848"/>
        <item m="1" x="929"/>
        <item m="1" x="1844"/>
        <item m="1" x="1715"/>
        <item m="1" x="1710"/>
        <item m="1" x="1004"/>
        <item m="1" x="726"/>
        <item m="1" x="2135"/>
        <item m="1" x="1353"/>
        <item m="1" x="1717"/>
        <item m="1" x="1779"/>
        <item sd="0" m="1" x="465"/>
        <item m="1" x="1260"/>
        <item m="1" x="974"/>
        <item m="1" x="2533"/>
        <item m="1" x="188"/>
        <item m="1" x="2647"/>
        <item m="1" x="2686"/>
        <item m="1" x="866"/>
        <item m="1" x="1811"/>
        <item m="1" x="812"/>
        <item x="43"/>
        <item m="1" x="1718"/>
        <item m="1" x="1719"/>
        <item m="1" x="1398"/>
        <item m="1" x="1720"/>
        <item sd="0" m="1" x="2728"/>
        <item m="1" x="128"/>
        <item m="1" x="205"/>
        <item m="1" x="686"/>
        <item m="1" x="2622"/>
        <item m="1" x="1780"/>
        <item m="1" x="685"/>
        <item m="1" x="2416"/>
        <item m="1" x="2705"/>
        <item m="1" x="1333"/>
        <item m="1" x="1667"/>
        <item m="1" x="2136"/>
        <item m="1" x="1781"/>
        <item m="1" x="329"/>
        <item m="1" x="1724"/>
        <item m="1" x="206"/>
        <item m="1" x="153"/>
        <item m="1" x="2643"/>
        <item m="1" x="849"/>
        <item m="1" x="854"/>
        <item m="1" x="2631"/>
        <item m="1" x="471"/>
        <item m="1" x="2535"/>
        <item m="1" x="1902"/>
        <item m="1" x="722"/>
        <item m="1" x="540"/>
        <item m="1" x="2255"/>
        <item m="1" x="850"/>
        <item m="1" x="183"/>
        <item m="1" x="693"/>
        <item m="1" x="644"/>
        <item m="1" x="1726"/>
        <item m="1" x="967"/>
        <item sd="0" m="1" x="2117"/>
        <item m="1" x="397"/>
        <item m="1" x="1504"/>
        <item x="40"/>
        <item sd="0" m="1" x="2729"/>
        <item m="1" x="1273"/>
        <item m="1" x="2536"/>
        <item m="1" x="2470"/>
        <item m="1" x="429"/>
        <item m="1" x="2537"/>
        <item m="1" x="2538"/>
        <item m="1" x="2569"/>
        <item m="1" x="2539"/>
        <item m="1" x="1460"/>
        <item m="1" x="2058"/>
        <item m="1" x="2540"/>
        <item m="1" x="942"/>
        <item m="1" x="2031"/>
        <item m="1" x="1597"/>
        <item m="1" x="2541"/>
        <item m="1" x="1325"/>
        <item m="1" x="2071"/>
        <item m="1" x="828"/>
        <item m="1" x="430"/>
        <item m="1" x="1356"/>
        <item m="1" x="1031"/>
        <item x="16"/>
        <item m="1" x="1957"/>
        <item m="1" x="1434"/>
        <item m="1" x="874"/>
        <item m="1" x="2542"/>
        <item m="1" x="2543"/>
        <item m="1" x="249"/>
        <item m="1" x="207"/>
        <item m="1" x="2544"/>
        <item m="1" x="2545"/>
        <item m="1" x="2137"/>
        <item m="1" x="2138"/>
        <item m="1" x="1002"/>
        <item m="1" x="134"/>
        <item m="1" x="1732"/>
        <item m="1" x="1326"/>
        <item m="1" x="155"/>
        <item m="1" x="211"/>
        <item m="1" x="1161"/>
        <item x="36"/>
        <item m="1" x="141"/>
        <item m="1" x="2548"/>
        <item m="1" x="508"/>
        <item m="1" x="930"/>
        <item m="1" x="571"/>
        <item m="1" x="2372"/>
        <item m="1" x="2357"/>
        <item m="1" x="241"/>
        <item m="1" x="1733"/>
        <item m="1" x="1734"/>
        <item m="1" x="431"/>
        <item m="1" x="851"/>
        <item m="1" x="2546"/>
        <item m="1" x="532"/>
        <item m="1" x="1521"/>
        <item m="1" x="1554"/>
        <item m="1" x="2547"/>
        <item m="1" x="1782"/>
        <item m="1" x="1903"/>
        <item m="1" x="2549"/>
        <item m="1" x="1735"/>
        <item m="1" x="1650"/>
        <item m="1" x="1736"/>
        <item m="1" x="2708"/>
        <item t="default" sd="0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4"/>
    <field x="0"/>
  </rowFields>
  <rowItems count="1">
    <i t="grand">
      <x/>
    </i>
  </rowItems>
  <colItems count="1">
    <i/>
  </colItems>
  <pageFields count="1">
    <pageField fld="3" hier="-1"/>
  </pageFields>
  <dataFields count="1">
    <dataField name="Total" fld="9" baseField="0" baseItem="0" numFmtId="44"/>
  </dataFields>
  <formats count="9">
    <format dxfId="39">
      <pivotArea collapsedLevelsAreSubtotals="1" fieldPosition="0">
        <references count="1">
          <reference field="4" count="1">
            <x v="275"/>
          </reference>
        </references>
      </pivotArea>
    </format>
    <format dxfId="38">
      <pivotArea collapsedLevelsAreSubtotals="1" fieldPosition="0">
        <references count="1">
          <reference field="4" count="1">
            <x v="664"/>
          </reference>
        </references>
      </pivotArea>
    </format>
    <format dxfId="37">
      <pivotArea collapsedLevelsAreSubtotals="1" fieldPosition="0">
        <references count="1">
          <reference field="4" count="1">
            <x v="789"/>
          </reference>
        </references>
      </pivotArea>
    </format>
    <format dxfId="36">
      <pivotArea collapsedLevelsAreSubtotals="1" fieldPosition="0">
        <references count="1">
          <reference field="4" count="1">
            <x v="1446"/>
          </reference>
        </references>
      </pivotArea>
    </format>
    <format dxfId="35">
      <pivotArea collapsedLevelsAreSubtotals="1" fieldPosition="0">
        <references count="1">
          <reference field="4" count="1">
            <x v="1688"/>
          </reference>
        </references>
      </pivotArea>
    </format>
    <format dxfId="34">
      <pivotArea collapsedLevelsAreSubtotals="1" fieldPosition="0">
        <references count="1">
          <reference field="4" count="1">
            <x v="1989"/>
          </reference>
        </references>
      </pivotArea>
    </format>
    <format dxfId="33">
      <pivotArea dataOnly="0" labelOnly="1" fieldPosition="0">
        <references count="1">
          <reference field="4" count="6">
            <x v="275"/>
            <x v="664"/>
            <x v="789"/>
            <x v="1446"/>
            <x v="1688"/>
            <x v="1989"/>
          </reference>
        </references>
      </pivotArea>
    </format>
    <format dxfId="32">
      <pivotArea field="4" type="button" dataOnly="0" labelOnly="1" outline="0" axis="axisRow" fieldPosition="0"/>
    </format>
    <format dxfId="31">
      <pivotArea dataOnly="0" labelOnly="1" outline="0" axis="axisValues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D2A1F-85BC-EE41-B242-7039F30E5078}" name="PivotTable6" cacheId="42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D4:E5" firstHeaderRow="1" firstDataRow="1" firstDataCol="1" rowPageCount="1" colPageCount="1"/>
  <pivotFields count="15">
    <pivotField showAll="0"/>
    <pivotField numFmtId="165" showAll="0"/>
    <pivotField axis="axisRow" showAll="0" measureFilter="1" sortType="ascending">
      <items count="537">
        <item m="1" x="433"/>
        <item x="0"/>
        <item x="1"/>
        <item x="2"/>
        <item m="1" x="209"/>
        <item x="3"/>
        <item m="1" x="352"/>
        <item m="1" x="358"/>
        <item m="1" x="215"/>
        <item m="1" x="182"/>
        <item m="1" x="297"/>
        <item m="1" x="373"/>
        <item m="1" x="192"/>
        <item m="1" x="381"/>
        <item m="1" x="202"/>
        <item m="1" x="303"/>
        <item x="4"/>
        <item x="5"/>
        <item x="6"/>
        <item m="1" x="533"/>
        <item m="1" x="295"/>
        <item m="1" x="184"/>
        <item m="1" x="488"/>
        <item x="7"/>
        <item m="1" x="510"/>
        <item x="8"/>
        <item x="9"/>
        <item x="10"/>
        <item m="1" x="426"/>
        <item x="11"/>
        <item x="12"/>
        <item x="13"/>
        <item x="14"/>
        <item m="1" x="413"/>
        <item m="1" x="518"/>
        <item m="1" x="385"/>
        <item m="1" x="392"/>
        <item x="15"/>
        <item x="16"/>
        <item m="1" x="504"/>
        <item x="17"/>
        <item m="1" x="447"/>
        <item m="1" x="481"/>
        <item x="18"/>
        <item x="19"/>
        <item m="1" x="347"/>
        <item m="1" x="354"/>
        <item m="1" x="411"/>
        <item m="1" x="418"/>
        <item m="1" x="186"/>
        <item x="20"/>
        <item m="1" x="277"/>
        <item m="1" x="214"/>
        <item x="21"/>
        <item m="1" x="479"/>
        <item m="1" x="436"/>
        <item x="22"/>
        <item m="1" x="367"/>
        <item m="1" x="267"/>
        <item x="23"/>
        <item m="1" x="219"/>
        <item x="24"/>
        <item m="1" x="265"/>
        <item m="1" x="357"/>
        <item x="25"/>
        <item x="26"/>
        <item x="27"/>
        <item m="1" x="228"/>
        <item m="1" x="485"/>
        <item x="28"/>
        <item m="1" x="469"/>
        <item m="1" x="394"/>
        <item x="29"/>
        <item m="1" x="435"/>
        <item x="30"/>
        <item m="1" x="248"/>
        <item x="31"/>
        <item x="32"/>
        <item x="33"/>
        <item x="34"/>
        <item x="35"/>
        <item m="1" x="482"/>
        <item x="36"/>
        <item m="1" x="226"/>
        <item m="1" x="235"/>
        <item x="37"/>
        <item m="1" x="283"/>
        <item x="38"/>
        <item m="1" x="213"/>
        <item m="1" x="274"/>
        <item m="1" x="425"/>
        <item m="1" x="205"/>
        <item m="1" x="345"/>
        <item m="1" x="532"/>
        <item m="1" x="346"/>
        <item m="1" x="443"/>
        <item m="1" x="331"/>
        <item m="1" x="396"/>
        <item m="1" x="253"/>
        <item x="39"/>
        <item m="1" x="501"/>
        <item m="1" x="387"/>
        <item x="40"/>
        <item m="1" x="355"/>
        <item x="41"/>
        <item x="42"/>
        <item x="43"/>
        <item x="44"/>
        <item x="45"/>
        <item m="1" x="289"/>
        <item m="1" x="475"/>
        <item m="1" x="521"/>
        <item m="1" x="200"/>
        <item m="1" x="376"/>
        <item m="1" x="221"/>
        <item m="1" x="270"/>
        <item x="46"/>
        <item m="1" x="431"/>
        <item m="1" x="292"/>
        <item m="1" x="414"/>
        <item m="1" x="375"/>
        <item m="1" x="471"/>
        <item x="47"/>
        <item m="1" x="393"/>
        <item x="48"/>
        <item m="1" x="494"/>
        <item x="49"/>
        <item x="50"/>
        <item m="1" x="183"/>
        <item x="51"/>
        <item m="1" x="416"/>
        <item x="52"/>
        <item m="1" x="290"/>
        <item m="1" x="341"/>
        <item m="1" x="439"/>
        <item m="1" x="257"/>
        <item m="1" x="340"/>
        <item m="1" x="256"/>
        <item x="53"/>
        <item m="1" x="203"/>
        <item x="54"/>
        <item x="55"/>
        <item x="56"/>
        <item m="1" x="529"/>
        <item x="57"/>
        <item m="1" x="461"/>
        <item m="1" x="415"/>
        <item x="58"/>
        <item m="1" x="238"/>
        <item x="59"/>
        <item x="60"/>
        <item m="1" x="452"/>
        <item m="1" x="457"/>
        <item x="61"/>
        <item m="1" x="508"/>
        <item m="1" x="208"/>
        <item m="1" x="321"/>
        <item m="1" x="390"/>
        <item x="62"/>
        <item m="1" x="293"/>
        <item m="1" x="232"/>
        <item m="1" x="366"/>
        <item m="1" x="310"/>
        <item x="63"/>
        <item m="1" x="400"/>
        <item m="1" x="446"/>
        <item m="1" x="251"/>
        <item x="64"/>
        <item x="65"/>
        <item m="1" x="349"/>
        <item x="66"/>
        <item x="67"/>
        <item m="1" x="259"/>
        <item m="1" x="519"/>
        <item x="68"/>
        <item m="1" x="490"/>
        <item x="69"/>
        <item m="1" x="344"/>
        <item m="1" x="255"/>
        <item x="70"/>
        <item x="71"/>
        <item m="1" x="406"/>
        <item x="72"/>
        <item m="1" x="458"/>
        <item x="73"/>
        <item m="1" x="196"/>
        <item m="1" x="314"/>
        <item m="1" x="419"/>
        <item x="74"/>
        <item x="75"/>
        <item x="76"/>
        <item m="1" x="404"/>
        <item m="1" x="302"/>
        <item m="1" x="372"/>
        <item m="1" x="316"/>
        <item x="77"/>
        <item m="1" x="279"/>
        <item m="1" x="276"/>
        <item m="1" x="361"/>
        <item m="1" x="468"/>
        <item m="1" x="371"/>
        <item m="1" x="258"/>
        <item m="1" x="260"/>
        <item m="1" x="430"/>
        <item m="1" x="187"/>
        <item x="78"/>
        <item x="79"/>
        <item x="80"/>
        <item m="1" x="227"/>
        <item m="1" x="427"/>
        <item x="81"/>
        <item m="1" x="395"/>
        <item m="1" x="407"/>
        <item m="1" x="473"/>
        <item m="1" x="445"/>
        <item m="1" x="405"/>
        <item m="1" x="252"/>
        <item m="1" x="464"/>
        <item x="82"/>
        <item m="1" x="230"/>
        <item x="83"/>
        <item m="1" x="514"/>
        <item m="1" x="456"/>
        <item m="1" x="517"/>
        <item m="1" x="325"/>
        <item m="1" x="422"/>
        <item m="1" x="505"/>
        <item m="1" x="241"/>
        <item x="84"/>
        <item m="1" x="195"/>
        <item m="1" x="233"/>
        <item x="85"/>
        <item m="1" x="286"/>
        <item m="1" x="250"/>
        <item x="86"/>
        <item m="1" x="189"/>
        <item m="1" x="470"/>
        <item x="87"/>
        <item x="88"/>
        <item x="89"/>
        <item m="1" x="465"/>
        <item x="90"/>
        <item x="91"/>
        <item m="1" x="489"/>
        <item m="1" x="268"/>
        <item m="1" x="300"/>
        <item m="1" x="360"/>
        <item x="92"/>
        <item m="1" x="315"/>
        <item m="1" x="263"/>
        <item m="1" x="278"/>
        <item m="1" x="199"/>
        <item m="1" x="486"/>
        <item m="1" x="454"/>
        <item m="1" x="211"/>
        <item m="1" x="317"/>
        <item x="93"/>
        <item m="1" x="298"/>
        <item m="1" x="288"/>
        <item x="94"/>
        <item m="1" x="448"/>
        <item x="95"/>
        <item m="1" x="307"/>
        <item m="1" x="294"/>
        <item m="1" x="450"/>
        <item m="1" x="190"/>
        <item m="1" x="512"/>
        <item x="96"/>
        <item x="97"/>
        <item x="98"/>
        <item m="1" x="516"/>
        <item m="1" x="365"/>
        <item m="1" x="242"/>
        <item m="1" x="377"/>
        <item m="1" x="491"/>
        <item x="99"/>
        <item m="1" x="472"/>
        <item x="100"/>
        <item m="1" x="384"/>
        <item x="101"/>
        <item x="102"/>
        <item m="1" x="309"/>
        <item m="1" x="311"/>
        <item x="103"/>
        <item x="104"/>
        <item m="1" x="291"/>
        <item m="1" x="338"/>
        <item m="1" x="285"/>
        <item m="1" x="306"/>
        <item x="105"/>
        <item m="1" x="386"/>
        <item m="1" x="197"/>
        <item m="1" x="528"/>
        <item m="1" x="223"/>
        <item m="1" x="275"/>
        <item m="1" x="194"/>
        <item x="106"/>
        <item m="1" x="403"/>
        <item m="1" x="525"/>
        <item m="1" x="324"/>
        <item m="1" x="201"/>
        <item m="1" x="243"/>
        <item x="107"/>
        <item m="1" x="434"/>
        <item m="1" x="362"/>
        <item x="108"/>
        <item m="1" x="363"/>
        <item m="1" x="437"/>
        <item m="1" x="339"/>
        <item m="1" x="329"/>
        <item m="1" x="284"/>
        <item m="1" x="441"/>
        <item x="109"/>
        <item m="1" x="244"/>
        <item x="110"/>
        <item m="1" x="225"/>
        <item m="1" x="442"/>
        <item m="1" x="402"/>
        <item m="1" x="333"/>
        <item m="1" x="224"/>
        <item x="111"/>
        <item m="1" x="217"/>
        <item m="1" x="188"/>
        <item x="112"/>
        <item m="1" x="383"/>
        <item x="113"/>
        <item m="1" x="212"/>
        <item m="1" x="313"/>
        <item x="114"/>
        <item m="1" x="507"/>
        <item x="115"/>
        <item x="116"/>
        <item m="1" x="493"/>
        <item x="117"/>
        <item m="1" x="330"/>
        <item m="1" x="389"/>
        <item m="1" x="234"/>
        <item m="1" x="408"/>
        <item x="118"/>
        <item x="119"/>
        <item m="1" x="220"/>
        <item m="1" x="506"/>
        <item m="1" x="391"/>
        <item x="120"/>
        <item m="1" x="266"/>
        <item m="1" x="509"/>
        <item m="1" x="374"/>
        <item x="121"/>
        <item m="1" x="359"/>
        <item m="1" x="305"/>
        <item m="1" x="282"/>
        <item x="122"/>
        <item m="1" x="280"/>
        <item x="123"/>
        <item x="124"/>
        <item m="1" x="356"/>
        <item m="1" x="327"/>
        <item m="1" x="398"/>
        <item m="1" x="246"/>
        <item m="1" x="498"/>
        <item x="125"/>
        <item x="126"/>
        <item m="1" x="451"/>
        <item x="127"/>
        <item m="1" x="530"/>
        <item m="1" x="388"/>
        <item x="128"/>
        <item m="1" x="206"/>
        <item m="1" x="191"/>
        <item m="1" x="322"/>
        <item x="129"/>
        <item m="1" x="417"/>
        <item m="1" x="308"/>
        <item m="1" x="534"/>
        <item m="1" x="440"/>
        <item m="1" x="254"/>
        <item x="130"/>
        <item m="1" x="455"/>
        <item m="1" x="523"/>
        <item x="131"/>
        <item m="1" x="296"/>
        <item x="132"/>
        <item x="133"/>
        <item m="1" x="474"/>
        <item m="1" x="334"/>
        <item m="1" x="531"/>
        <item m="1" x="229"/>
        <item x="134"/>
        <item x="135"/>
        <item m="1" x="535"/>
        <item m="1" x="476"/>
        <item x="136"/>
        <item x="137"/>
        <item m="1" x="239"/>
        <item m="1" x="478"/>
        <item x="138"/>
        <item x="139"/>
        <item x="140"/>
        <item m="1" x="423"/>
        <item m="1" x="401"/>
        <item m="1" x="193"/>
        <item x="141"/>
        <item m="1" x="397"/>
        <item m="1" x="526"/>
        <item x="142"/>
        <item m="1" x="271"/>
        <item x="143"/>
        <item m="1" x="428"/>
        <item x="144"/>
        <item x="145"/>
        <item x="146"/>
        <item x="147"/>
        <item x="148"/>
        <item m="1" x="247"/>
        <item x="149"/>
        <item m="1" x="502"/>
        <item m="1" x="207"/>
        <item m="1" x="222"/>
        <item m="1" x="462"/>
        <item m="1" x="520"/>
        <item m="1" x="410"/>
        <item m="1" x="336"/>
        <item m="1" x="511"/>
        <item m="1" x="328"/>
        <item m="1" x="424"/>
        <item m="1" x="421"/>
        <item m="1" x="499"/>
        <item m="1" x="515"/>
        <item m="1" x="527"/>
        <item m="1" x="379"/>
        <item x="150"/>
        <item m="1" x="369"/>
        <item x="151"/>
        <item m="1" x="237"/>
        <item m="1" x="323"/>
        <item x="152"/>
        <item x="153"/>
        <item x="154"/>
        <item m="1" x="348"/>
        <item m="1" x="236"/>
        <item x="155"/>
        <item x="156"/>
        <item m="1" x="483"/>
        <item m="1" x="420"/>
        <item m="1" x="503"/>
        <item m="1" x="332"/>
        <item m="1" x="204"/>
        <item m="1" x="460"/>
        <item x="157"/>
        <item x="158"/>
        <item m="1" x="326"/>
        <item m="1" x="513"/>
        <item x="159"/>
        <item m="1" x="351"/>
        <item m="1" x="216"/>
        <item m="1" x="262"/>
        <item m="1" x="320"/>
        <item m="1" x="453"/>
        <item m="1" x="272"/>
        <item m="1" x="500"/>
        <item x="160"/>
        <item m="1" x="484"/>
        <item m="1" x="231"/>
        <item m="1" x="399"/>
        <item x="161"/>
        <item m="1" x="304"/>
        <item m="1" x="382"/>
        <item m="1" x="318"/>
        <item m="1" x="319"/>
        <item m="1" x="429"/>
        <item m="1" x="378"/>
        <item m="1" x="269"/>
        <item m="1" x="496"/>
        <item m="1" x="281"/>
        <item m="1" x="495"/>
        <item m="1" x="301"/>
        <item x="162"/>
        <item x="163"/>
        <item m="1" x="353"/>
        <item m="1" x="210"/>
        <item m="1" x="343"/>
        <item m="1" x="312"/>
        <item m="1" x="497"/>
        <item m="1" x="185"/>
        <item m="1" x="350"/>
        <item m="1" x="249"/>
        <item m="1" x="368"/>
        <item m="1" x="438"/>
        <item m="1" x="264"/>
        <item m="1" x="342"/>
        <item m="1" x="198"/>
        <item m="1" x="240"/>
        <item m="1" x="467"/>
        <item x="164"/>
        <item m="1" x="337"/>
        <item m="1" x="524"/>
        <item m="1" x="299"/>
        <item x="165"/>
        <item m="1" x="459"/>
        <item m="1" x="218"/>
        <item m="1" x="466"/>
        <item m="1" x="492"/>
        <item x="166"/>
        <item m="1" x="477"/>
        <item m="1" x="449"/>
        <item m="1" x="409"/>
        <item m="1" x="480"/>
        <item x="167"/>
        <item m="1" x="522"/>
        <item x="168"/>
        <item m="1" x="261"/>
        <item m="1" x="245"/>
        <item m="1" x="412"/>
        <item m="1" x="432"/>
        <item x="169"/>
        <item m="1" x="444"/>
        <item m="1" x="370"/>
        <item x="170"/>
        <item x="171"/>
        <item x="172"/>
        <item m="1" x="287"/>
        <item m="1" x="273"/>
        <item x="173"/>
        <item m="1" x="487"/>
        <item x="174"/>
        <item m="1" x="463"/>
        <item x="175"/>
        <item m="1" x="335"/>
        <item x="176"/>
        <item m="1" x="380"/>
        <item m="1" x="364"/>
        <item x="177"/>
        <item x="178"/>
        <item x="179"/>
        <item x="180"/>
        <item m="1" x="181"/>
        <item t="default"/>
      </items>
    </pivotField>
    <pivotField axis="axisPage" multipleItemSelectionAllowed="1" showAll="0">
      <items count="41">
        <item h="1" x="2"/>
        <item h="1" x="7"/>
        <item h="1" x="3"/>
        <item h="1" m="1" x="35"/>
        <item h="1" x="20"/>
        <item h="1" m="1" x="32"/>
        <item h="1" x="5"/>
        <item h="1" x="6"/>
        <item h="1" x="11"/>
        <item h="1" x="15"/>
        <item h="1" m="1" x="30"/>
        <item h="1" x="1"/>
        <item h="1" x="16"/>
        <item h="1" x="21"/>
        <item h="1" x="19"/>
        <item h="1" x="8"/>
        <item h="1" x="0"/>
        <item h="1" x="9"/>
        <item h="1" x="13"/>
        <item h="1" x="4"/>
        <item h="1" x="10"/>
        <item h="1" m="1" x="38"/>
        <item h="1" m="1" x="33"/>
        <item m="1" x="26"/>
        <item h="1" x="12"/>
        <item h="1" m="1" x="28"/>
        <item h="1" m="1" x="36"/>
        <item h="1" m="1" x="37"/>
        <item h="1" m="1" x="29"/>
        <item h="1" m="1" x="39"/>
        <item h="1" m="1" x="23"/>
        <item h="1" m="1" x="31"/>
        <item h="1" m="1" x="25"/>
        <item h="1" x="17"/>
        <item h="1" m="1" x="34"/>
        <item h="1" x="14"/>
        <item h="1" m="1" x="24"/>
        <item h="1" m="1" x="27"/>
        <item h="1" x="18"/>
        <item h="1" x="22"/>
        <item t="default"/>
      </items>
    </pivotField>
    <pivotField showAll="0"/>
    <pivotField numFmtId="4" showAll="0"/>
    <pivotField numFmtId="4" showAll="0"/>
    <pivotField dataField="1" numFmtId="4" showAll="0"/>
    <pivotField numFmtId="4" showAll="0"/>
    <pivotField numFmtId="4" showAll="0"/>
    <pivotField numFmtId="166" showAll="0"/>
    <pivotField showAll="0"/>
    <pivotField showAll="0"/>
    <pivotField showAll="0"/>
    <pivotField showAll="0"/>
  </pivotFields>
  <rowFields count="1">
    <field x="2"/>
  </rowFields>
  <rowItems count="1">
    <i t="grand">
      <x/>
    </i>
  </rowItems>
  <colItems count="1">
    <i/>
  </colItems>
  <pageFields count="1">
    <pageField fld="3" hier="-1"/>
  </pageFields>
  <dataFields count="1">
    <dataField name="Total" fld="7" baseField="0" baseItem="0" numFmtId="44"/>
  </dataFields>
  <formats count="2">
    <format dxfId="41">
      <pivotArea field="2" type="button" dataOnly="0" labelOnly="1" outline="0" axis="axisRow" fieldPosition="0"/>
    </format>
    <format dxfId="40">
      <pivotArea dataOnly="0" labelOnly="1" outline="0" axis="axisValues" fieldPosition="0"/>
    </format>
  </formats>
  <pivotTableStyleInfo name="PivotStyleLight16" showRowHeaders="1" showColHeaders="1" showRowStripes="1" showColStripes="0" showLastColumn="1"/>
  <filters count="1">
    <filter fld="2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81A8D-23FB-E144-BD55-2880DAF4B6F2}" name="PivotTable6" cacheId="42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D4:E9" firstHeaderRow="1" firstDataRow="1" firstDataCol="1" rowPageCount="1" colPageCount="1"/>
  <pivotFields count="15">
    <pivotField showAll="0"/>
    <pivotField numFmtId="165" showAll="0"/>
    <pivotField axis="axisRow" showAll="0" measureFilter="1" sortType="ascending">
      <items count="537">
        <item m="1" x="433"/>
        <item x="0"/>
        <item x="1"/>
        <item x="2"/>
        <item m="1" x="209"/>
        <item x="3"/>
        <item m="1" x="352"/>
        <item m="1" x="358"/>
        <item m="1" x="215"/>
        <item m="1" x="182"/>
        <item m="1" x="297"/>
        <item m="1" x="373"/>
        <item m="1" x="192"/>
        <item m="1" x="381"/>
        <item m="1" x="202"/>
        <item m="1" x="303"/>
        <item x="4"/>
        <item x="5"/>
        <item x="6"/>
        <item m="1" x="533"/>
        <item m="1" x="295"/>
        <item m="1" x="184"/>
        <item m="1" x="488"/>
        <item x="7"/>
        <item m="1" x="510"/>
        <item x="8"/>
        <item x="9"/>
        <item x="10"/>
        <item m="1" x="426"/>
        <item x="11"/>
        <item x="12"/>
        <item x="13"/>
        <item x="14"/>
        <item m="1" x="413"/>
        <item m="1" x="518"/>
        <item m="1" x="385"/>
        <item m="1" x="392"/>
        <item x="15"/>
        <item x="16"/>
        <item m="1" x="504"/>
        <item x="17"/>
        <item m="1" x="447"/>
        <item m="1" x="481"/>
        <item x="18"/>
        <item x="19"/>
        <item m="1" x="347"/>
        <item m="1" x="354"/>
        <item m="1" x="411"/>
        <item m="1" x="418"/>
        <item m="1" x="186"/>
        <item x="20"/>
        <item m="1" x="277"/>
        <item m="1" x="214"/>
        <item x="21"/>
        <item m="1" x="479"/>
        <item m="1" x="436"/>
        <item x="22"/>
        <item m="1" x="367"/>
        <item m="1" x="267"/>
        <item x="23"/>
        <item m="1" x="219"/>
        <item x="24"/>
        <item m="1" x="265"/>
        <item m="1" x="357"/>
        <item x="25"/>
        <item x="26"/>
        <item x="27"/>
        <item m="1" x="228"/>
        <item m="1" x="485"/>
        <item x="28"/>
        <item m="1" x="469"/>
        <item m="1" x="394"/>
        <item x="29"/>
        <item m="1" x="435"/>
        <item x="30"/>
        <item m="1" x="248"/>
        <item x="31"/>
        <item x="32"/>
        <item x="33"/>
        <item x="34"/>
        <item x="35"/>
        <item m="1" x="482"/>
        <item x="36"/>
        <item m="1" x="226"/>
        <item m="1" x="235"/>
        <item x="37"/>
        <item m="1" x="283"/>
        <item x="38"/>
        <item m="1" x="213"/>
        <item m="1" x="274"/>
        <item m="1" x="425"/>
        <item m="1" x="205"/>
        <item m="1" x="345"/>
        <item m="1" x="532"/>
        <item m="1" x="346"/>
        <item m="1" x="443"/>
        <item m="1" x="331"/>
        <item m="1" x="396"/>
        <item m="1" x="253"/>
        <item x="39"/>
        <item m="1" x="501"/>
        <item m="1" x="387"/>
        <item x="40"/>
        <item m="1" x="355"/>
        <item x="41"/>
        <item x="42"/>
        <item x="43"/>
        <item x="44"/>
        <item x="45"/>
        <item m="1" x="289"/>
        <item m="1" x="475"/>
        <item m="1" x="521"/>
        <item m="1" x="200"/>
        <item m="1" x="376"/>
        <item m="1" x="221"/>
        <item m="1" x="270"/>
        <item x="46"/>
        <item m="1" x="431"/>
        <item m="1" x="292"/>
        <item m="1" x="414"/>
        <item m="1" x="375"/>
        <item m="1" x="471"/>
        <item x="47"/>
        <item m="1" x="393"/>
        <item x="48"/>
        <item m="1" x="494"/>
        <item x="49"/>
        <item x="50"/>
        <item m="1" x="183"/>
        <item x="51"/>
        <item m="1" x="416"/>
        <item x="52"/>
        <item m="1" x="290"/>
        <item m="1" x="341"/>
        <item m="1" x="439"/>
        <item m="1" x="257"/>
        <item m="1" x="340"/>
        <item m="1" x="256"/>
        <item x="53"/>
        <item m="1" x="203"/>
        <item x="54"/>
        <item x="55"/>
        <item x="56"/>
        <item m="1" x="529"/>
        <item x="57"/>
        <item m="1" x="461"/>
        <item m="1" x="415"/>
        <item x="58"/>
        <item m="1" x="238"/>
        <item x="59"/>
        <item x="60"/>
        <item m="1" x="452"/>
        <item m="1" x="457"/>
        <item x="61"/>
        <item m="1" x="508"/>
        <item m="1" x="208"/>
        <item m="1" x="321"/>
        <item m="1" x="390"/>
        <item x="62"/>
        <item m="1" x="293"/>
        <item m="1" x="232"/>
        <item m="1" x="366"/>
        <item m="1" x="310"/>
        <item x="63"/>
        <item m="1" x="400"/>
        <item m="1" x="446"/>
        <item m="1" x="251"/>
        <item x="64"/>
        <item x="65"/>
        <item m="1" x="349"/>
        <item x="66"/>
        <item x="67"/>
        <item m="1" x="259"/>
        <item m="1" x="519"/>
        <item x="68"/>
        <item m="1" x="490"/>
        <item x="69"/>
        <item m="1" x="344"/>
        <item m="1" x="255"/>
        <item x="70"/>
        <item x="71"/>
        <item m="1" x="406"/>
        <item x="72"/>
        <item m="1" x="458"/>
        <item x="73"/>
        <item m="1" x="196"/>
        <item m="1" x="314"/>
        <item m="1" x="419"/>
        <item x="74"/>
        <item x="75"/>
        <item x="76"/>
        <item m="1" x="404"/>
        <item m="1" x="302"/>
        <item m="1" x="372"/>
        <item m="1" x="316"/>
        <item x="77"/>
        <item m="1" x="279"/>
        <item m="1" x="276"/>
        <item m="1" x="361"/>
        <item m="1" x="468"/>
        <item m="1" x="371"/>
        <item m="1" x="258"/>
        <item m="1" x="260"/>
        <item m="1" x="430"/>
        <item m="1" x="187"/>
        <item x="78"/>
        <item x="79"/>
        <item x="80"/>
        <item m="1" x="227"/>
        <item m="1" x="427"/>
        <item x="81"/>
        <item m="1" x="395"/>
        <item m="1" x="407"/>
        <item m="1" x="473"/>
        <item m="1" x="445"/>
        <item m="1" x="405"/>
        <item m="1" x="252"/>
        <item m="1" x="464"/>
        <item x="82"/>
        <item m="1" x="230"/>
        <item x="83"/>
        <item m="1" x="514"/>
        <item m="1" x="456"/>
        <item m="1" x="517"/>
        <item m="1" x="325"/>
        <item m="1" x="422"/>
        <item m="1" x="505"/>
        <item m="1" x="241"/>
        <item x="84"/>
        <item m="1" x="195"/>
        <item m="1" x="233"/>
        <item x="85"/>
        <item m="1" x="286"/>
        <item m="1" x="250"/>
        <item x="86"/>
        <item m="1" x="189"/>
        <item m="1" x="470"/>
        <item x="87"/>
        <item x="88"/>
        <item x="89"/>
        <item m="1" x="465"/>
        <item x="90"/>
        <item x="91"/>
        <item m="1" x="489"/>
        <item m="1" x="268"/>
        <item m="1" x="300"/>
        <item m="1" x="360"/>
        <item x="92"/>
        <item m="1" x="315"/>
        <item m="1" x="263"/>
        <item m="1" x="278"/>
        <item m="1" x="199"/>
        <item m="1" x="486"/>
        <item m="1" x="454"/>
        <item m="1" x="211"/>
        <item m="1" x="317"/>
        <item x="93"/>
        <item m="1" x="298"/>
        <item m="1" x="288"/>
        <item x="94"/>
        <item m="1" x="448"/>
        <item x="95"/>
        <item m="1" x="307"/>
        <item m="1" x="294"/>
        <item m="1" x="450"/>
        <item m="1" x="190"/>
        <item m="1" x="512"/>
        <item x="96"/>
        <item x="97"/>
        <item x="98"/>
        <item m="1" x="516"/>
        <item m="1" x="365"/>
        <item m="1" x="242"/>
        <item m="1" x="377"/>
        <item m="1" x="491"/>
        <item x="99"/>
        <item m="1" x="472"/>
        <item x="100"/>
        <item m="1" x="384"/>
        <item x="101"/>
        <item x="102"/>
        <item m="1" x="309"/>
        <item m="1" x="311"/>
        <item x="103"/>
        <item x="104"/>
        <item m="1" x="291"/>
        <item m="1" x="338"/>
        <item m="1" x="285"/>
        <item m="1" x="306"/>
        <item x="105"/>
        <item m="1" x="386"/>
        <item m="1" x="197"/>
        <item m="1" x="528"/>
        <item m="1" x="223"/>
        <item m="1" x="275"/>
        <item m="1" x="194"/>
        <item x="106"/>
        <item m="1" x="403"/>
        <item m="1" x="525"/>
        <item m="1" x="324"/>
        <item m="1" x="201"/>
        <item m="1" x="243"/>
        <item x="107"/>
        <item m="1" x="434"/>
        <item m="1" x="362"/>
        <item x="108"/>
        <item m="1" x="363"/>
        <item m="1" x="437"/>
        <item m="1" x="339"/>
        <item m="1" x="329"/>
        <item m="1" x="284"/>
        <item m="1" x="441"/>
        <item x="109"/>
        <item m="1" x="244"/>
        <item x="110"/>
        <item m="1" x="225"/>
        <item m="1" x="442"/>
        <item m="1" x="402"/>
        <item m="1" x="333"/>
        <item m="1" x="224"/>
        <item x="111"/>
        <item m="1" x="217"/>
        <item m="1" x="188"/>
        <item x="112"/>
        <item m="1" x="383"/>
        <item x="113"/>
        <item m="1" x="212"/>
        <item m="1" x="313"/>
        <item x="114"/>
        <item m="1" x="507"/>
        <item x="115"/>
        <item x="116"/>
        <item m="1" x="493"/>
        <item x="117"/>
        <item m="1" x="330"/>
        <item m="1" x="389"/>
        <item m="1" x="234"/>
        <item m="1" x="408"/>
        <item x="118"/>
        <item x="119"/>
        <item m="1" x="220"/>
        <item m="1" x="506"/>
        <item m="1" x="391"/>
        <item x="120"/>
        <item m="1" x="266"/>
        <item m="1" x="509"/>
        <item m="1" x="374"/>
        <item x="121"/>
        <item m="1" x="359"/>
        <item m="1" x="305"/>
        <item m="1" x="282"/>
        <item x="122"/>
        <item m="1" x="280"/>
        <item x="123"/>
        <item x="124"/>
        <item m="1" x="356"/>
        <item m="1" x="327"/>
        <item m="1" x="398"/>
        <item m="1" x="246"/>
        <item m="1" x="498"/>
        <item x="125"/>
        <item x="126"/>
        <item m="1" x="451"/>
        <item x="127"/>
        <item m="1" x="530"/>
        <item m="1" x="388"/>
        <item x="128"/>
        <item m="1" x="206"/>
        <item m="1" x="191"/>
        <item m="1" x="322"/>
        <item x="129"/>
        <item m="1" x="417"/>
        <item m="1" x="308"/>
        <item m="1" x="534"/>
        <item m="1" x="440"/>
        <item m="1" x="254"/>
        <item x="130"/>
        <item m="1" x="455"/>
        <item m="1" x="523"/>
        <item x="131"/>
        <item m="1" x="296"/>
        <item x="132"/>
        <item x="133"/>
        <item m="1" x="474"/>
        <item m="1" x="334"/>
        <item m="1" x="531"/>
        <item m="1" x="229"/>
        <item x="134"/>
        <item x="135"/>
        <item m="1" x="535"/>
        <item m="1" x="476"/>
        <item x="136"/>
        <item x="137"/>
        <item m="1" x="239"/>
        <item m="1" x="478"/>
        <item x="138"/>
        <item x="139"/>
        <item x="140"/>
        <item m="1" x="423"/>
        <item m="1" x="401"/>
        <item m="1" x="193"/>
        <item x="141"/>
        <item m="1" x="397"/>
        <item m="1" x="526"/>
        <item x="142"/>
        <item m="1" x="271"/>
        <item x="143"/>
        <item m="1" x="428"/>
        <item x="144"/>
        <item x="145"/>
        <item x="146"/>
        <item x="147"/>
        <item x="148"/>
        <item m="1" x="247"/>
        <item x="149"/>
        <item m="1" x="502"/>
        <item m="1" x="207"/>
        <item m="1" x="222"/>
        <item m="1" x="462"/>
        <item m="1" x="520"/>
        <item m="1" x="410"/>
        <item m="1" x="336"/>
        <item m="1" x="511"/>
        <item m="1" x="328"/>
        <item m="1" x="424"/>
        <item m="1" x="421"/>
        <item m="1" x="499"/>
        <item m="1" x="515"/>
        <item m="1" x="527"/>
        <item m="1" x="379"/>
        <item x="150"/>
        <item m="1" x="369"/>
        <item x="151"/>
        <item m="1" x="237"/>
        <item m="1" x="323"/>
        <item x="152"/>
        <item x="153"/>
        <item x="154"/>
        <item m="1" x="348"/>
        <item m="1" x="236"/>
        <item x="155"/>
        <item x="156"/>
        <item m="1" x="483"/>
        <item m="1" x="420"/>
        <item m="1" x="503"/>
        <item m="1" x="332"/>
        <item m="1" x="204"/>
        <item m="1" x="460"/>
        <item x="157"/>
        <item x="158"/>
        <item m="1" x="326"/>
        <item m="1" x="513"/>
        <item x="159"/>
        <item m="1" x="351"/>
        <item m="1" x="216"/>
        <item m="1" x="262"/>
        <item m="1" x="320"/>
        <item m="1" x="453"/>
        <item m="1" x="272"/>
        <item m="1" x="500"/>
        <item x="160"/>
        <item m="1" x="484"/>
        <item m="1" x="231"/>
        <item m="1" x="399"/>
        <item x="161"/>
        <item m="1" x="304"/>
        <item m="1" x="382"/>
        <item m="1" x="318"/>
        <item m="1" x="319"/>
        <item m="1" x="429"/>
        <item m="1" x="378"/>
        <item m="1" x="269"/>
        <item m="1" x="496"/>
        <item m="1" x="281"/>
        <item m="1" x="495"/>
        <item m="1" x="301"/>
        <item x="162"/>
        <item x="163"/>
        <item m="1" x="353"/>
        <item m="1" x="210"/>
        <item m="1" x="343"/>
        <item m="1" x="312"/>
        <item m="1" x="497"/>
        <item m="1" x="185"/>
        <item m="1" x="350"/>
        <item m="1" x="249"/>
        <item m="1" x="368"/>
        <item m="1" x="438"/>
        <item m="1" x="264"/>
        <item m="1" x="342"/>
        <item m="1" x="198"/>
        <item m="1" x="240"/>
        <item m="1" x="467"/>
        <item x="164"/>
        <item m="1" x="337"/>
        <item m="1" x="524"/>
        <item m="1" x="299"/>
        <item x="165"/>
        <item m="1" x="459"/>
        <item m="1" x="218"/>
        <item m="1" x="466"/>
        <item m="1" x="492"/>
        <item x="166"/>
        <item m="1" x="477"/>
        <item m="1" x="449"/>
        <item m="1" x="409"/>
        <item m="1" x="480"/>
        <item x="167"/>
        <item m="1" x="522"/>
        <item x="168"/>
        <item m="1" x="261"/>
        <item m="1" x="245"/>
        <item m="1" x="412"/>
        <item m="1" x="432"/>
        <item x="169"/>
        <item m="1" x="444"/>
        <item m="1" x="370"/>
        <item x="170"/>
        <item x="171"/>
        <item x="172"/>
        <item m="1" x="287"/>
        <item m="1" x="273"/>
        <item x="173"/>
        <item m="1" x="487"/>
        <item x="174"/>
        <item m="1" x="463"/>
        <item x="175"/>
        <item m="1" x="335"/>
        <item x="176"/>
        <item m="1" x="380"/>
        <item m="1" x="364"/>
        <item x="177"/>
        <item x="178"/>
        <item x="179"/>
        <item x="180"/>
        <item m="1" x="181"/>
        <item t="default"/>
      </items>
    </pivotField>
    <pivotField axis="axisPage" multipleItemSelectionAllowed="1" showAll="0">
      <items count="41">
        <item h="1" x="2"/>
        <item h="1" x="7"/>
        <item h="1" x="3"/>
        <item h="1" m="1" x="35"/>
        <item h="1" x="20"/>
        <item h="1" m="1" x="32"/>
        <item h="1" x="5"/>
        <item h="1" x="6"/>
        <item h="1" x="11"/>
        <item h="1" x="15"/>
        <item h="1" m="1" x="30"/>
        <item h="1" x="1"/>
        <item h="1" x="16"/>
        <item h="1" x="21"/>
        <item h="1" x="19"/>
        <item h="1" x="8"/>
        <item h="1" x="0"/>
        <item h="1" x="9"/>
        <item h="1" x="13"/>
        <item h="1" x="4"/>
        <item h="1" x="10"/>
        <item h="1" m="1" x="38"/>
        <item h="1" m="1" x="33"/>
        <item h="1" m="1" x="26"/>
        <item x="12"/>
        <item h="1" m="1" x="28"/>
        <item h="1" m="1" x="36"/>
        <item h="1" m="1" x="37"/>
        <item h="1" m="1" x="29"/>
        <item h="1" m="1" x="39"/>
        <item h="1" m="1" x="23"/>
        <item h="1" m="1" x="31"/>
        <item h="1" m="1" x="25"/>
        <item h="1" x="17"/>
        <item h="1" m="1" x="34"/>
        <item h="1" x="14"/>
        <item h="1" m="1" x="24"/>
        <item h="1" m="1" x="27"/>
        <item h="1" x="18"/>
        <item h="1" x="22"/>
        <item t="default"/>
      </items>
    </pivotField>
    <pivotField showAll="0"/>
    <pivotField numFmtId="4" showAll="0"/>
    <pivotField numFmtId="4" showAll="0"/>
    <pivotField dataField="1" numFmtId="4" showAll="0"/>
    <pivotField numFmtId="4" showAll="0"/>
    <pivotField numFmtId="4" showAll="0"/>
    <pivotField numFmtId="166" showAll="0"/>
    <pivotField showAll="0"/>
    <pivotField showAll="0"/>
    <pivotField showAll="0"/>
    <pivotField showAll="0"/>
  </pivotFields>
  <rowFields count="1">
    <field x="2"/>
  </rowFields>
  <rowItems count="5">
    <i>
      <x v="44"/>
    </i>
    <i>
      <x v="72"/>
    </i>
    <i>
      <x v="140"/>
    </i>
    <i>
      <x v="150"/>
    </i>
    <i t="grand">
      <x/>
    </i>
  </rowItems>
  <colItems count="1">
    <i/>
  </colItems>
  <pageFields count="1">
    <pageField fld="3" hier="-1"/>
  </pageFields>
  <dataFields count="1">
    <dataField name="Total" fld="7" baseField="0" baseItem="0" numFmtId="44"/>
  </dataFields>
  <formats count="2">
    <format dxfId="21">
      <pivotArea field="2" type="button" dataOnly="0" labelOnly="1" outline="0" axis="axisRow" fieldPosition="0"/>
    </format>
    <format dxfId="20">
      <pivotArea dataOnly="0" labelOnly="1" outline="0" axis="axisValues" fieldPosition="0"/>
    </format>
  </formats>
  <pivotTableStyleInfo name="PivotStyleLight16" showRowHeaders="1" showColHeaders="1" showRowStripes="1" showColStripes="0" showLastColumn="1"/>
  <filters count="1">
    <filter fld="2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3DB54C-61E7-9545-A3A2-4A9C71FE3452}" name="PivotTable5" cacheId="4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lient">
  <location ref="A4:B6" firstHeaderRow="1" firstDataRow="1" firstDataCol="1" rowPageCount="1" colPageCount="1"/>
  <pivotFields count="15">
    <pivotField axis="axisRow" showAll="0">
      <items count="71">
        <item x="56"/>
        <item x="64"/>
        <item x="57"/>
        <item x="65"/>
        <item x="25"/>
        <item x="34"/>
        <item x="36"/>
        <item x="30"/>
        <item x="21"/>
        <item x="52"/>
        <item x="13"/>
        <item x="44"/>
        <item x="14"/>
        <item x="22"/>
        <item x="16"/>
        <item x="29"/>
        <item x="2"/>
        <item x="8"/>
        <item x="51"/>
        <item x="20"/>
        <item x="26"/>
        <item x="35"/>
        <item x="19"/>
        <item x="6"/>
        <item x="61"/>
        <item x="4"/>
        <item x="43"/>
        <item x="11"/>
        <item x="54"/>
        <item x="33"/>
        <item x="38"/>
        <item x="39"/>
        <item x="63"/>
        <item x="17"/>
        <item x="55"/>
        <item x="0"/>
        <item x="1"/>
        <item m="1" x="67"/>
        <item x="46"/>
        <item x="45"/>
        <item x="24"/>
        <item x="18"/>
        <item x="50"/>
        <item x="58"/>
        <item x="59"/>
        <item x="7"/>
        <item x="47"/>
        <item x="31"/>
        <item x="53"/>
        <item x="48"/>
        <item x="23"/>
        <item x="27"/>
        <item x="32"/>
        <item x="37"/>
        <item x="49"/>
        <item m="1" x="68"/>
        <item m="1" x="69"/>
        <item x="3"/>
        <item x="9"/>
        <item x="60"/>
        <item x="28"/>
        <item x="10"/>
        <item x="66"/>
        <item x="62"/>
        <item x="40"/>
        <item x="41"/>
        <item x="42"/>
        <item x="12"/>
        <item x="15"/>
        <item x="5"/>
        <item t="default"/>
      </items>
    </pivotField>
    <pivotField showAll="0"/>
    <pivotField showAll="0"/>
    <pivotField axis="axisPage" multipleItemSelectionAllowed="1" showAll="0">
      <items count="49">
        <item h="1" x="10"/>
        <item h="1" x="15"/>
        <item h="1" x="17"/>
        <item h="1" x="5"/>
        <item h="1" x="7"/>
        <item h="1" m="1" x="18"/>
        <item h="1" x="6"/>
        <item h="1" x="12"/>
        <item h="1" x="14"/>
        <item h="1" m="1" x="36"/>
        <item h="1" x="3"/>
        <item h="1" x="8"/>
        <item h="1" x="9"/>
        <item h="1" m="1" x="41"/>
        <item h="1" m="1" x="42"/>
        <item x="13"/>
        <item h="1" x="0"/>
        <item h="1" m="1" x="23"/>
        <item h="1" m="1" x="45"/>
        <item h="1" m="1" x="47"/>
        <item h="1" x="1"/>
        <item h="1" m="1" x="39"/>
        <item h="1" x="4"/>
        <item h="1" m="1" x="44"/>
        <item h="1" m="1" x="46"/>
        <item h="1" x="2"/>
        <item h="1" m="1" x="40"/>
        <item h="1" x="11"/>
        <item h="1" m="1" x="34"/>
        <item h="1" m="1" x="21"/>
        <item h="1" m="1" x="31"/>
        <item h="1" m="1" x="33"/>
        <item h="1" m="1" x="22"/>
        <item h="1" m="1" x="20"/>
        <item h="1" m="1" x="26"/>
        <item h="1" m="1" x="27"/>
        <item h="1" m="1" x="19"/>
        <item h="1" x="16"/>
        <item h="1" m="1" x="43"/>
        <item h="1" m="1" x="24"/>
        <item h="1" m="1" x="25"/>
        <item h="1" m="1" x="28"/>
        <item h="1" m="1" x="29"/>
        <item h="1" m="1" x="30"/>
        <item h="1" m="1" x="32"/>
        <item h="1" m="1" x="35"/>
        <item h="1" m="1" x="37"/>
        <item h="1" m="1" x="38"/>
        <item t="default"/>
      </items>
    </pivotField>
    <pivotField axis="axisRow" showAll="0" sortType="ascending">
      <items count="2742">
        <item m="1" x="956"/>
        <item m="1" x="1464"/>
        <item m="1" x="2141"/>
        <item m="1" x="272"/>
        <item m="1" x="870"/>
        <item m="1" x="575"/>
        <item m="1" x="2057"/>
        <item m="1" x="1442"/>
        <item m="1" x="361"/>
        <item m="1" x="118"/>
        <item m="1" x="1346"/>
        <item m="1" x="725"/>
        <item m="1" x="1254"/>
        <item m="1" x="282"/>
        <item m="1" x="2036"/>
        <item m="1" x="2157"/>
        <item m="1" x="1796"/>
        <item m="1" x="951"/>
        <item sd="0" m="1" x="1887"/>
        <item m="1" x="1870"/>
        <item sd="0" m="1" x="2717"/>
        <item x="5"/>
        <item m="1" x="491"/>
        <item m="1" x="1549"/>
        <item m="1" x="1484"/>
        <item m="1" x="727"/>
        <item m="1" x="1288"/>
        <item m="1" x="1739"/>
        <item m="1" x="804"/>
        <item m="1" x="451"/>
        <item m="1" x="1888"/>
        <item x="12"/>
        <item m="1" x="2159"/>
        <item m="1" x="1623"/>
        <item m="1" x="2037"/>
        <item m="1" x="78"/>
        <item m="1" x="2611"/>
        <item m="1" x="1378"/>
        <item m="1" x="1556"/>
        <item m="1" x="959"/>
        <item m="1" x="177"/>
        <item m="1" x="2038"/>
        <item m="1" x="1737"/>
        <item m="1" x="2160"/>
        <item m="1" x="2161"/>
        <item m="1" x="357"/>
        <item m="1" x="1142"/>
        <item m="1" x="1003"/>
        <item m="1" x="2688"/>
        <item m="1" x="2162"/>
        <item m="1" x="1096"/>
        <item m="1" x="1016"/>
        <item m="1" x="2039"/>
        <item m="1" x="88"/>
        <item m="1" x="1738"/>
        <item m="1" x="2163"/>
        <item m="1" x="1459"/>
        <item m="1" x="2164"/>
        <item m="1" x="2153"/>
        <item m="1" x="89"/>
        <item m="1" x="2165"/>
        <item m="1" x="730"/>
        <item m="1" x="1630"/>
        <item m="1" x="1005"/>
        <item m="1" x="2166"/>
        <item m="1" x="1348"/>
        <item m="1" x="1006"/>
        <item m="1" x="731"/>
        <item m="1" x="1651"/>
        <item m="1" x="2167"/>
        <item m="1" x="1008"/>
        <item m="1" x="2168"/>
        <item m="1" x="1367"/>
        <item m="1" x="2146"/>
        <item m="1" x="90"/>
        <item m="1" x="2169"/>
        <item m="1" x="266"/>
        <item m="1" x="922"/>
        <item m="1" x="442"/>
        <item m="1" x="364"/>
        <item m="1" x="732"/>
        <item m="1" x="1555"/>
        <item m="1" x="2170"/>
        <item m="1" x="418"/>
        <item m="1" x="887"/>
        <item m="1" x="265"/>
        <item m="1" x="292"/>
        <item m="1" x="2171"/>
        <item m="1" x="68"/>
        <item m="1" x="521"/>
        <item m="1" x="616"/>
        <item m="1" x="2484"/>
        <item m="1" x="617"/>
        <item m="1" x="284"/>
        <item m="1" x="2172"/>
        <item m="1" x="2659"/>
        <item m="1" x="1617"/>
        <item m="1" x="1363"/>
        <item m="1" x="2173"/>
        <item m="1" x="232"/>
        <item m="1" x="2174"/>
        <item m="1" x="2175"/>
        <item m="1" x="2176"/>
        <item m="1" x="2040"/>
        <item m="1" x="562"/>
        <item m="1" x="1476"/>
        <item m="1" x="242"/>
        <item m="1" x="181"/>
        <item m="1" x="1465"/>
        <item m="1" x="2678"/>
        <item m="1" x="1482"/>
        <item m="1" x="815"/>
        <item m="1" x="1128"/>
        <item m="1" x="2489"/>
        <item m="1" x="2177"/>
        <item m="1" x="2385"/>
        <item m="1" x="1129"/>
        <item m="1" x="2178"/>
        <item m="1" x="2181"/>
        <item m="1" x="1012"/>
        <item m="1" x="890"/>
        <item m="1" x="2182"/>
        <item m="1" x="1874"/>
        <item m="1" x="2183"/>
        <item m="1" x="1727"/>
        <item m="1" x="2184"/>
        <item m="1" x="1408"/>
        <item m="1" x="238"/>
        <item m="1" x="2185"/>
        <item m="1" x="93"/>
        <item m="1" x="1041"/>
        <item m="1" x="734"/>
        <item m="1" x="1042"/>
        <item m="1" x="1309"/>
        <item m="1" x="1399"/>
        <item m="1" x="1547"/>
        <item m="1" x="2186"/>
        <item m="1" x="344"/>
        <item m="1" x="94"/>
        <item m="1" x="2187"/>
        <item m="1" x="2188"/>
        <item m="1" x="983"/>
        <item m="1" x="2041"/>
        <item m="1" x="547"/>
        <item m="1" x="1359"/>
        <item m="1" x="1303"/>
        <item m="1" x="1552"/>
        <item m="1" x="981"/>
        <item m="1" x="54"/>
        <item m="1" x="255"/>
        <item m="1" x="497"/>
        <item m="1" x="2190"/>
        <item m="1" x="2191"/>
        <item m="1" x="2192"/>
        <item m="1" x="2650"/>
        <item m="1" x="621"/>
        <item m="1" x="1045"/>
        <item m="1" x="880"/>
        <item m="1" x="1046"/>
        <item m="1" x="274"/>
        <item m="1" x="1047"/>
        <item m="1" x="2193"/>
        <item m="1" x="1049"/>
        <item m="1" x="1050"/>
        <item m="1" x="1962"/>
        <item m="1" x="735"/>
        <item m="1" x="2194"/>
        <item m="1" x="2083"/>
        <item m="1" x="2682"/>
        <item m="1" x="287"/>
        <item m="1" x="432"/>
        <item m="1" x="472"/>
        <item m="1" x="1868"/>
        <item m="1" x="419"/>
        <item m="1" x="2389"/>
        <item m="1" x="1052"/>
        <item m="1" x="1053"/>
        <item m="1" x="2618"/>
        <item m="1" x="2637"/>
        <item m="1" x="2641"/>
        <item m="1" x="366"/>
        <item m="1" x="296"/>
        <item m="1" x="1218"/>
        <item m="1" x="1151"/>
        <item m="1" x="620"/>
        <item m="1" x="1344"/>
        <item m="1" x="1203"/>
        <item m="1" x="2195"/>
        <item m="1" x="736"/>
        <item m="1" x="538"/>
        <item m="1" x="2196"/>
        <item m="1" x="1200"/>
        <item m="1" x="1873"/>
        <item m="1" x="1744"/>
        <item m="1" x="2197"/>
        <item m="1" x="1505"/>
        <item m="1" x="622"/>
        <item m="1" x="2261"/>
        <item m="1" x="2000"/>
        <item m="1" x="374"/>
        <item m="1" x="1741"/>
        <item m="1" x="1948"/>
        <item m="1" x="1056"/>
        <item m="1" x="304"/>
        <item m="1" x="498"/>
        <item m="1" x="737"/>
        <item m="1" x="2042"/>
        <item m="1" x="2198"/>
        <item m="1" x="1643"/>
        <item m="1" x="1475"/>
        <item m="1" x="738"/>
        <item m="1" x="1058"/>
        <item m="1" x="1863"/>
        <item m="1" x="2635"/>
        <item m="1" x="97"/>
        <item m="1" x="739"/>
        <item m="1" x="516"/>
        <item m="1" x="807"/>
        <item m="1" x="2651"/>
        <item m="1" x="2115"/>
        <item m="1" x="625"/>
        <item m="1" x="1978"/>
        <item m="1" x="2043"/>
        <item m="1" x="895"/>
        <item m="1" x="626"/>
        <item m="1" x="1063"/>
        <item m="1" x="1253"/>
        <item m="1" x="1393"/>
        <item m="1" x="1020"/>
        <item m="1" x="492"/>
        <item m="1" x="1804"/>
        <item m="1" x="2085"/>
        <item m="1" x="1900"/>
        <item m="1" x="1886"/>
        <item m="1" x="573"/>
        <item m="1" x="2638"/>
        <item m="1" x="628"/>
        <item m="1" x="2508"/>
        <item m="1" x="464"/>
        <item m="1" x="1224"/>
        <item m="1" x="2002"/>
        <item m="1" x="1500"/>
        <item m="1" x="2199"/>
        <item m="1" x="448"/>
        <item m="1" x="412"/>
        <item m="1" x="98"/>
        <item m="1" x="1575"/>
        <item m="1" x="2601"/>
        <item m="1" x="1508"/>
        <item m="1" x="741"/>
        <item m="1" x="2200"/>
        <item m="1" x="175"/>
        <item m="1" x="1349"/>
        <item m="1" x="1622"/>
        <item m="1" x="2080"/>
        <item m="1" x="806"/>
        <item m="1" x="1981"/>
        <item m="1" x="594"/>
        <item m="1" x="2201"/>
        <item m="1" x="1947"/>
        <item m="1" x="1069"/>
        <item sd="0" m="1" x="47"/>
        <item m="1" x="1382"/>
        <item m="1" x="1701"/>
        <item m="1" x="2681"/>
        <item m="1" x="1355"/>
        <item m="1" x="2202"/>
        <item m="1" x="1364"/>
        <item m="1" x="743"/>
        <item m="1" x="1072"/>
        <item m="1" x="1327"/>
        <item m="1" x="1240"/>
        <item m="1" x="250"/>
        <item m="1" x="2704"/>
        <item sd="0" m="1" x="301"/>
        <item sd="0" m="1" x="2726"/>
        <item m="1" x="2572"/>
        <item m="1" x="744"/>
        <item m="1" x="2018"/>
        <item m="1" x="1073"/>
        <item m="1" x="745"/>
        <item m="1" x="746"/>
        <item m="1" x="2204"/>
        <item m="1" x="1137"/>
        <item m="1" x="2205"/>
        <item m="1" x="529"/>
        <item m="1" x="577"/>
        <item m="1" x="215"/>
        <item m="1" x="499"/>
        <item m="1" x="1418"/>
        <item m="1" x="1940"/>
        <item m="1" x="474"/>
        <item m="1" x="986"/>
        <item m="1" x="72"/>
        <item m="1" x="1388"/>
        <item m="1" x="2206"/>
        <item m="1" x="99"/>
        <item m="1" x="1330"/>
        <item m="1" x="1237"/>
        <item m="1" x="1282"/>
        <item m="1" x="1294"/>
        <item m="1" x="2207"/>
        <item m="1" x="2208"/>
        <item m="1" x="811"/>
        <item m="1" x="747"/>
        <item m="1" x="1310"/>
        <item m="1" x="2081"/>
        <item m="1" x="1771"/>
        <item m="1" x="449"/>
        <item m="1" x="1341"/>
        <item m="1" x="1878"/>
        <item m="1" x="159"/>
        <item m="1" x="576"/>
        <item m="1" x="551"/>
        <item m="1" x="2209"/>
        <item m="1" x="2003"/>
        <item m="1" x="1078"/>
        <item m="1" x="2210"/>
        <item m="1" x="1453"/>
        <item m="1" x="1935"/>
        <item m="1" x="251"/>
        <item m="1" x="1574"/>
        <item m="1" x="1306"/>
        <item m="1" x="1905"/>
        <item m="1" x="1652"/>
        <item m="1" x="313"/>
        <item sd="0" m="1" x="631"/>
        <item m="1" x="1079"/>
        <item m="1" x="526"/>
        <item m="1" x="1757"/>
        <item m="1" x="2211"/>
        <item m="1" x="1037"/>
        <item m="1" x="561"/>
        <item m="1" x="926"/>
        <item m="1" x="2577"/>
        <item m="1" x="2212"/>
        <item m="1" x="1360"/>
        <item m="1" x="2086"/>
        <item m="1" x="1377"/>
        <item m="1" x="2213"/>
        <item m="1" x="100"/>
        <item m="1" x="476"/>
        <item m="1" x="1336"/>
        <item m="1" x="1907"/>
        <item m="1" x="1956"/>
        <item m="1" x="1909"/>
        <item m="1" x="452"/>
        <item m="1" x="109"/>
        <item m="1" x="399"/>
        <item m="1" x="1083"/>
        <item m="1" x="2214"/>
        <item m="1" x="1085"/>
        <item m="1" x="748"/>
        <item m="1" x="2215"/>
        <item m="1" x="2589"/>
        <item m="1" x="1087"/>
        <item m="1" x="254"/>
        <item m="1" x="2563"/>
        <item m="1" x="749"/>
        <item m="1" x="1088"/>
        <item m="1" x="2581"/>
        <item m="1" x="81"/>
        <item m="1" x="1095"/>
        <item m="1" x="158"/>
        <item m="1" x="950"/>
        <item m="1" x="979"/>
        <item m="1" x="1098"/>
        <item sd="0" m="1" x="2571"/>
        <item m="1" x="1084"/>
        <item x="38"/>
        <item m="1" x="2630"/>
        <item m="1" x="103"/>
        <item m="1" x="2716"/>
        <item m="1" x="633"/>
        <item m="1" x="1438"/>
        <item m="1" x="1147"/>
        <item m="1" x="1520"/>
        <item m="1" x="1149"/>
        <item m="1" x="102"/>
        <item m="1" x="1091"/>
        <item m="1" x="115"/>
        <item sd="0" m="1" x="116"/>
        <item m="1" x="1152"/>
        <item m="1" x="618"/>
        <item m="1" x="1380"/>
        <item m="1" x="117"/>
        <item m="1" x="649"/>
        <item m="1" x="648"/>
        <item m="1" x="1089"/>
        <item m="1" x="2670"/>
        <item m="1" x="2216"/>
        <item m="1" x="1090"/>
        <item m="1" x="2004"/>
        <item m="1" x="1021"/>
        <item m="1" x="523"/>
        <item m="1" x="578"/>
        <item m="1" x="1764"/>
        <item m="1" x="908"/>
        <item m="1" x="2560"/>
        <item m="1" x="1803"/>
        <item m="1" x="2242"/>
        <item m="1" x="49"/>
        <item m="1" x="2044"/>
        <item m="1" x="1397"/>
        <item m="1" x="2649"/>
        <item m="1" x="2217"/>
        <item m="1" x="1163"/>
        <item m="1" x="148"/>
        <item m="1" x="2596"/>
        <item m="1" x="167"/>
        <item m="1" x="970"/>
        <item m="1" x="1094"/>
        <item m="1" x="2218"/>
        <item m="1" x="1898"/>
        <item m="1" x="2219"/>
        <item m="1" x="883"/>
        <item m="1" x="873"/>
        <item m="1" x="2600"/>
        <item m="1" x="2380"/>
        <item m="1" x="1932"/>
        <item m="1" x="1062"/>
        <item m="1" x="2220"/>
        <item m="1" x="1952"/>
        <item m="1" x="1082"/>
        <item m="1" x="1289"/>
        <item sd="0" m="1" x="2721"/>
        <item m="1" x="106"/>
        <item m="1" x="360"/>
        <item m="1" x="1998"/>
        <item m="1" x="2339"/>
        <item m="1" x="2667"/>
        <item m="1" x="545"/>
        <item m="1" x="2087"/>
        <item m="1" x="751"/>
        <item m="1" x="107"/>
        <item m="1" x="509"/>
        <item m="1" x="259"/>
        <item m="1" x="1097"/>
        <item m="1" x="1080"/>
        <item x="10"/>
        <item m="1" x="2559"/>
        <item m="1" x="1621"/>
        <item m="1" x="753"/>
        <item m="1" x="331"/>
        <item m="1" x="932"/>
        <item x="22"/>
        <item x="1"/>
        <item m="1" x="2221"/>
        <item m="1" x="2222"/>
        <item m="1" x="369"/>
        <item m="1" x="453"/>
        <item m="1" x="58"/>
        <item m="1" x="437"/>
        <item m="1" x="1687"/>
        <item m="1" x="1099"/>
        <item m="1" x="2224"/>
        <item m="1" x="2045"/>
        <item m="1" x="2608"/>
        <item m="1" x="1783"/>
        <item m="1" x="1885"/>
        <item m="1" x="636"/>
        <item m="1" x="108"/>
        <item m="1" x="52"/>
        <item m="1" x="1103"/>
        <item x="18"/>
        <item m="1" x="1993"/>
        <item m="1" x="2016"/>
        <item m="1" x="1911"/>
        <item m="1" x="593"/>
        <item m="1" x="754"/>
        <item m="1" x="755"/>
        <item m="1" x="407"/>
        <item m="1" x="356"/>
        <item m="1" x="1104"/>
        <item m="1" x="2225"/>
        <item m="1" x="1105"/>
        <item m="1" x="756"/>
        <item m="1" x="2158"/>
        <item m="1" x="752"/>
        <item m="1" x="2046"/>
        <item m="1" x="2226"/>
        <item m="1" x="1913"/>
        <item m="1" x="2150"/>
        <item m="1" x="919"/>
        <item m="1" x="2020"/>
        <item m="1" x="208"/>
        <item m="1" x="1708"/>
        <item m="1" x="1111"/>
        <item m="1" x="454"/>
        <item m="1" x="1112"/>
        <item m="1" x="309"/>
        <item m="1" x="1869"/>
        <item m="1" x="302"/>
        <item m="1" x="852"/>
        <item m="1" x="1205"/>
        <item m="1" x="1113"/>
        <item m="1" x="713"/>
        <item m="1" x="638"/>
        <item m="1" x="1210"/>
        <item m="1" x="1070"/>
        <item m="1" x="1805"/>
        <item m="1" x="1806"/>
        <item m="1" x="216"/>
        <item m="1" x="1809"/>
        <item m="1" x="875"/>
        <item m="1" x="2669"/>
        <item m="1" x="1126"/>
        <item m="1" x="110"/>
        <item m="1" x="1054"/>
        <item m="1" x="1830"/>
        <item m="1" x="1832"/>
        <item m="1" x="1818"/>
        <item m="1" x="1106"/>
        <item x="19"/>
        <item m="1" x="1043"/>
        <item m="1" x="1712"/>
        <item x="33"/>
        <item m="1" x="1615"/>
        <item m="1" x="1810"/>
        <item sd="0" m="1" x="1114"/>
        <item m="1" x="1143"/>
        <item m="1" x="1535"/>
        <item m="1" x="1812"/>
        <item m="1" x="2088"/>
        <item m="1" x="1813"/>
        <item m="1" x="111"/>
        <item m="1" x="2228"/>
        <item m="1" x="1000"/>
        <item m="1" x="2229"/>
        <item m="1" x="2578"/>
        <item m="1" x="2230"/>
        <item m="1" x="1030"/>
        <item m="1" x="2564"/>
        <item m="1" x="946"/>
        <item m="1" x="2231"/>
        <item m="1" x="50"/>
        <item m="1" x="378"/>
        <item m="1" x="2232"/>
        <item m="1" x="2456"/>
        <item m="1" x="276"/>
        <item m="1" x="758"/>
        <item m="1" x="1010"/>
        <item m="1" x="1120"/>
        <item m="1" x="900"/>
        <item m="1" x="2663"/>
        <item m="1" x="2233"/>
        <item m="1" x="1015"/>
        <item m="1" x="1026"/>
        <item m="1" x="641"/>
        <item m="1" x="642"/>
        <item m="1" x="597"/>
        <item m="1" x="2606"/>
        <item m="1" x="643"/>
        <item m="1" x="1918"/>
        <item m="1" x="635"/>
        <item m="1" x="1123"/>
        <item m="1" x="2234"/>
        <item m="1" x="112"/>
        <item m="1" x="1742"/>
        <item m="1" x="878"/>
        <item m="1" x="2235"/>
        <item m="1" x="1984"/>
        <item m="1" x="2007"/>
        <item m="1" x="2236"/>
        <item m="1" x="759"/>
        <item m="1" x="933"/>
        <item m="1" x="436"/>
        <item m="1" x="2664"/>
        <item m="1" x="2078"/>
        <item m="1" x="1775"/>
        <item m="1" x="2586"/>
        <item m="1" x="475"/>
        <item m="1" x="1109"/>
        <item m="1" x="2674"/>
        <item m="1" x="2657"/>
        <item m="1" x="1700"/>
        <item m="1" x="539"/>
        <item m="1" x="455"/>
        <item m="1" x="952"/>
        <item m="1" x="315"/>
        <item m="1" x="408"/>
        <item m="1" x="867"/>
        <item m="1" x="2506"/>
        <item m="1" x="114"/>
        <item m="1" x="2237"/>
        <item m="1" x="1402"/>
        <item m="1" x="164"/>
        <item m="1" x="645"/>
        <item m="1" x="1638"/>
        <item m="1" x="1139"/>
        <item m="1" x="1146"/>
        <item m="1" x="554"/>
        <item m="1" x="2634"/>
        <item m="1" x="994"/>
        <item m="1" x="2465"/>
        <item m="1" x="1406"/>
        <item m="1" x="1236"/>
        <item m="1" x="1959"/>
        <item m="1" x="1247"/>
        <item m="1" x="1481"/>
        <item m="1" x="1876"/>
        <item m="1" x="1141"/>
        <item m="1" x="1065"/>
        <item sd="0" m="1" x="646"/>
        <item sd="0" m="1" x="2731"/>
        <item m="1" x="1573"/>
        <item m="1" x="647"/>
        <item m="1" x="2239"/>
        <item m="1" x="126"/>
        <item m="1" x="96"/>
        <item m="1" x="1329"/>
        <item m="1" x="760"/>
        <item m="1" x="1270"/>
        <item m="1" x="2558"/>
        <item m="1" x="869"/>
        <item m="1" x="1145"/>
        <item m="1" x="1510"/>
        <item x="20"/>
        <item m="1" x="1175"/>
        <item m="1" x="1795"/>
        <item m="1" x="1124"/>
        <item m="1" x="1802"/>
        <item sd="0" x="7"/>
        <item x="37"/>
        <item m="1" x="1298"/>
        <item m="1" x="1339"/>
        <item m="1" x="1816"/>
        <item m="1" x="1762"/>
        <item m="1" x="1532"/>
        <item m="1" x="2240"/>
        <item m="1" x="871"/>
        <item sd="0" m="1" x="2718"/>
        <item m="1" x="91"/>
        <item m="1" x="2241"/>
        <item m="1" x="2030"/>
        <item m="1" x="1672"/>
        <item m="1" x="761"/>
        <item m="1" x="2089"/>
        <item m="1" x="2227"/>
        <item m="1" x="762"/>
        <item m="1" x="1148"/>
        <item m="1" x="316"/>
        <item m="1" x="2633"/>
        <item m="1" x="1242"/>
        <item m="1" x="260"/>
        <item m="1" x="1412"/>
        <item m="1" x="1384"/>
        <item m="1" x="763"/>
        <item m="1" x="1682"/>
        <item m="1" x="385"/>
        <item m="1" x="591"/>
        <item m="1" x="1565"/>
        <item m="1" x="2243"/>
        <item m="1" x="1153"/>
        <item m="1" x="500"/>
        <item m="1" x="2552"/>
        <item m="1" x="217"/>
        <item m="1" x="1229"/>
        <item m="1" x="373"/>
        <item m="1" x="433"/>
        <item m="1" x="2632"/>
        <item m="1" x="1092"/>
        <item m="1" x="1241"/>
        <item m="1" x="1743"/>
        <item sd="0" m="1" x="244"/>
        <item m="1" x="444"/>
        <item m="1" x="2047"/>
        <item m="1" x="1403"/>
        <item m="1" x="1644"/>
        <item m="1" x="1158"/>
        <item m="1" x="1612"/>
        <item m="1" x="372"/>
        <item m="1" x="2588"/>
        <item m="1" x="1872"/>
        <item m="1" x="1478"/>
        <item m="1" x="2244"/>
        <item m="1" x="1865"/>
        <item m="1" x="319"/>
        <item m="1" x="303"/>
        <item m="1" x="1879"/>
        <item m="1" x="2351"/>
        <item m="1" x="1875"/>
        <item sd="0" m="1" x="2090"/>
        <item m="1" x="2245"/>
        <item m="1" x="2072"/>
        <item m="1" x="2374"/>
        <item m="1" x="2091"/>
        <item m="1" x="311"/>
        <item m="1" x="2246"/>
        <item m="1" x="2247"/>
        <item m="1" x="333"/>
        <item m="1" x="765"/>
        <item m="1" x="1318"/>
        <item m="1" x="2248"/>
        <item m="1" x="1276"/>
        <item m="1" x="650"/>
        <item m="1" x="2557"/>
        <item m="1" x="997"/>
        <item m="1" x="1130"/>
        <item m="1" x="2249"/>
        <item m="1" x="1362"/>
        <item m="1" x="1836"/>
        <item m="1" x="131"/>
        <item m="1" x="202"/>
        <item m="1" x="2250"/>
        <item m="1" x="321"/>
        <item m="1" x="146"/>
        <item m="1" x="2697"/>
        <item m="1" x="652"/>
        <item m="1" x="740"/>
        <item m="1" x="920"/>
        <item m="1" x="291"/>
        <item m="1" x="1170"/>
        <item m="1" x="513"/>
        <item m="1" x="2251"/>
        <item m="1" x="1899"/>
        <item m="1" x="766"/>
        <item sd="0" m="1" x="456"/>
        <item m="1" x="1171"/>
        <item m="1" x="2687"/>
        <item m="1" x="1172"/>
        <item m="1" x="1439"/>
        <item m="1" x="2252"/>
        <item m="1" x="1544"/>
        <item m="1" x="2143"/>
        <item m="1" x="653"/>
        <item m="1" x="615"/>
        <item m="1" x="2615"/>
        <item m="1" x="550"/>
        <item m="1" x="1174"/>
        <item m="1" x="2253"/>
        <item m="1" x="2254"/>
        <item sd="0" m="1" x="445"/>
        <item m="1" x="290"/>
        <item m="1" x="1305"/>
        <item m="1" x="1930"/>
        <item m="1" x="767"/>
        <item m="1" x="992"/>
        <item sd="0" m="1" x="2565"/>
        <item m="1" x="2658"/>
        <item m="1" x="1915"/>
        <item m="1" x="1221"/>
        <item m="1" x="411"/>
        <item m="1" x="2257"/>
        <item m="1" x="1211"/>
        <item m="1" x="2258"/>
        <item m="1" x="1931"/>
        <item m="1" x="84"/>
        <item m="1" x="1745"/>
        <item m="1" x="1135"/>
        <item m="1" x="2092"/>
        <item m="1" x="654"/>
        <item m="1" x="1413"/>
        <item m="1" x="1131"/>
        <item m="1" x="1215"/>
        <item m="1" x="947"/>
        <item m="1" x="1668"/>
        <item m="1" x="1179"/>
        <item m="1" x="85"/>
        <item m="1" x="553"/>
        <item m="1" x="768"/>
        <item m="1" x="1194"/>
        <item sd="0" x="31"/>
        <item m="1" x="1140"/>
        <item m="1" x="655"/>
        <item m="1" x="233"/>
        <item m="1" x="769"/>
        <item x="27"/>
        <item m="1" x="1627"/>
        <item m="1" x="945"/>
        <item m="1" x="1746"/>
        <item m="1" x="322"/>
        <item m="1" x="1747"/>
        <item m="1" x="1664"/>
        <item m="1" x="1515"/>
        <item m="1" x="1600"/>
        <item m="1" x="1181"/>
        <item m="1" x="1877"/>
        <item m="1" x="2073"/>
        <item m="1" x="891"/>
        <item m="1" x="574"/>
        <item m="1" x="2262"/>
        <item m="1" x="1748"/>
        <item m="1" x="570"/>
        <item m="1" x="2093"/>
        <item m="1" x="2263"/>
        <item m="1" x="1183"/>
        <item m="1" x="2642"/>
        <item m="1" x="171"/>
        <item sd="0" m="1" x="256"/>
        <item m="1" x="1405"/>
        <item m="1" x="1531"/>
        <item m="1" x="488"/>
        <item m="1" x="443"/>
        <item m="1" x="122"/>
        <item m="1" x="1186"/>
        <item m="1" x="2264"/>
        <item m="1" x="326"/>
        <item m="1" x="2265"/>
        <item m="1" x="327"/>
        <item m="1" x="978"/>
        <item m="1" x="2266"/>
        <item m="1" x="248"/>
        <item m="1" x="534"/>
        <item m="1" x="1506"/>
        <item m="1" x="2077"/>
        <item m="1" x="1498"/>
        <item m="1" x="1287"/>
        <item m="1" x="156"/>
        <item m="1" x="394"/>
        <item m="1" x="1361"/>
        <item m="1" x="1592"/>
        <item m="1" x="1492"/>
        <item m="1" x="1468"/>
        <item m="1" x="2580"/>
        <item m="1" x="1568"/>
        <item m="1" x="2026"/>
        <item m="1" x="664"/>
        <item m="1" x="1955"/>
        <item m="1" x="2267"/>
        <item m="1" x="295"/>
        <item m="1" x="1191"/>
        <item m="1" x="1729"/>
        <item m="1" x="771"/>
        <item m="1" x="1195"/>
        <item m="1" x="1571"/>
        <item m="1" x="2094"/>
        <item m="1" x="2015"/>
        <item m="1" x="2524"/>
        <item m="1" x="2271"/>
        <item m="1" x="1789"/>
        <item m="1" x="306"/>
        <item m="1" x="1954"/>
        <item m="1" x="865"/>
        <item m="1" x="1835"/>
        <item m="1" x="801"/>
        <item m="1" x="1790"/>
        <item m="1" x="2272"/>
        <item m="1" x="1774"/>
        <item m="1" x="1653"/>
        <item m="1" x="1441"/>
        <item m="1" x="2095"/>
        <item m="1" x="2274"/>
        <item m="1" x="1793"/>
        <item m="1" x="990"/>
        <item m="1" x="2273"/>
        <item m="1" x="1819"/>
        <item m="1" x="2275"/>
        <item m="1" x="2076"/>
        <item m="1" x="2276"/>
        <item m="1" x="1204"/>
        <item m="1" x="1526"/>
        <item m="1" x="2145"/>
        <item m="1" x="1503"/>
        <item m="1" x="560"/>
        <item m="1" x="1550"/>
        <item m="1" x="872"/>
        <item m="1" x="2277"/>
        <item m="1" x="1425"/>
        <item m="1" x="1340"/>
        <item m="1" x="1167"/>
        <item m="1" x="2278"/>
        <item m="1" x="2279"/>
        <item m="1" x="772"/>
        <item m="1" x="728"/>
        <item m="1" x="658"/>
        <item m="1" x="1176"/>
        <item m="1" x="1315"/>
        <item m="1" x="2096"/>
        <item m="1" x="123"/>
        <item m="1" x="1337"/>
        <item m="1" x="270"/>
        <item m="1" x="2280"/>
        <item m="1" x="125"/>
        <item m="1" x="2074"/>
        <item m="1" x="2281"/>
        <item m="1" x="2282"/>
        <item m="1" x="659"/>
        <item m="1" x="1450"/>
        <item m="1" x="2283"/>
        <item m="1" x="925"/>
        <item m="1" x="1470"/>
        <item m="1" x="1209"/>
        <item m="1" x="660"/>
        <item m="1" x="2550"/>
        <item m="1" x="2648"/>
        <item m="1" x="2345"/>
        <item m="1" x="2097"/>
        <item m="1" x="2048"/>
        <item x="0"/>
        <item m="1" x="1497"/>
        <item m="1" x="2627"/>
        <item m="1" x="1763"/>
        <item m="1" x="1212"/>
        <item m="1" x="410"/>
        <item m="1" x="1961"/>
        <item m="1" x="917"/>
        <item m="1" x="988"/>
        <item m="1" x="1197"/>
        <item m="1" x="2284"/>
        <item m="1" x="1213"/>
        <item m="1" x="773"/>
        <item m="1" x="1214"/>
        <item m="1" x="1686"/>
        <item m="1" x="218"/>
        <item m="1" x="1509"/>
        <item m="1" x="724"/>
        <item m="1" x="1557"/>
        <item m="1" x="330"/>
        <item m="1" x="1216"/>
        <item m="1" x="457"/>
        <item m="1" x="1162"/>
        <item m="1" x="2285"/>
        <item m="1" x="2155"/>
        <item m="1" x="2286"/>
        <item m="1" x="2579"/>
        <item m="1" x="1219"/>
        <item m="1" x="2287"/>
        <item m="1" x="2098"/>
        <item m="1" x="2288"/>
        <item m="1" x="1466"/>
        <item m="1" x="2612"/>
        <item m="1" x="2049"/>
        <item m="1" x="176"/>
        <item m="1" x="1749"/>
        <item m="1" x="1455"/>
        <item m="1" x="458"/>
        <item m="1" x="1933"/>
        <item m="1" x="1658"/>
        <item m="1" x="775"/>
        <item m="1" x="459"/>
        <item m="1" x="129"/>
        <item m="1" x="219"/>
        <item m="1" x="2180"/>
        <item m="1" x="750"/>
        <item m="1" x="1044"/>
        <item m="1" x="661"/>
        <item m="1" x="663"/>
        <item m="1" x="809"/>
        <item m="1" x="130"/>
        <item m="1" x="585"/>
        <item m="1" x="1624"/>
        <item m="1" x="943"/>
        <item m="1" x="80"/>
        <item m="1" x="1817"/>
        <item m="1" x="2289"/>
        <item m="1" x="1997"/>
        <item m="1" x="960"/>
        <item m="1" x="665"/>
        <item m="1" x="505"/>
        <item m="1" x="2100"/>
        <item m="1" x="332"/>
        <item m="1" x="776"/>
        <item m="1" x="2290"/>
        <item m="1" x="2291"/>
        <item m="1" x="1169"/>
        <item m="1" x="1022"/>
        <item m="1" x="2101"/>
        <item sd="0" m="1" x="2710"/>
        <item m="1" x="2292"/>
        <item m="1" x="182"/>
        <item m="1" x="48"/>
        <item m="1" x="2269"/>
        <item m="1" x="607"/>
        <item m="1" x="2388"/>
        <item m="1" x="252"/>
        <item m="1" x="2692"/>
        <item m="1" x="320"/>
        <item m="1" x="863"/>
        <item m="1" x="2293"/>
        <item m="1" x="1436"/>
        <item m="1" x="2102"/>
        <item m="1" x="376"/>
        <item m="1" x="2513"/>
        <item m="1" x="359"/>
        <item m="1" x="2147"/>
        <item m="1" x="2154"/>
        <item m="1" x="662"/>
        <item m="1" x="334"/>
        <item m="1" x="235"/>
        <item m="1" x="2103"/>
        <item m="1" x="76"/>
        <item m="1" x="1919"/>
        <item m="1" x="405"/>
        <item m="1" x="2534"/>
        <item m="1" x="2104"/>
        <item m="1" x="2294"/>
        <item m="1" x="1972"/>
        <item m="1" x="1228"/>
        <item m="1" x="1788"/>
        <item x="46"/>
        <item m="1" x="1189"/>
        <item m="1" x="462"/>
        <item m="1" x="1901"/>
        <item m="1" x="777"/>
        <item m="1" x="2592"/>
        <item m="1" x="335"/>
        <item m="1" x="2295"/>
        <item m="1" x="2296"/>
        <item m="1" x="612"/>
        <item m="1" x="1027"/>
        <item m="1" x="363"/>
        <item m="1" x="1750"/>
        <item m="1" x="1230"/>
        <item m="1" x="1799"/>
        <item m="1" x="1231"/>
        <item m="1" x="2297"/>
        <item m="1" x="1936"/>
        <item m="1" x="579"/>
        <item m="1" x="220"/>
        <item m="1" x="666"/>
        <item m="1" x="391"/>
        <item sd="0" m="1" x="2724"/>
        <item m="1" x="2701"/>
        <item m="1" x="2656"/>
        <item m="1" x="778"/>
        <item m="1" x="1675"/>
        <item m="1" x="2298"/>
        <item m="1" x="53"/>
        <item m="1" x="1820"/>
        <item m="1" x="1232"/>
        <item m="1" x="1853"/>
        <item m="1" x="1469"/>
        <item m="1" x="61"/>
        <item m="1" x="1884"/>
        <item m="1" x="1941"/>
        <item m="1" x="623"/>
        <item m="1" x="2386"/>
        <item m="1" x="1263"/>
        <item m="1" x="1971"/>
        <item m="1" x="1039"/>
        <item m="1" x="1233"/>
        <item m="1" x="530"/>
        <item m="1" x="1892"/>
        <item m="1" x="2300"/>
        <item m="1" x="1165"/>
        <item m="1" x="1507"/>
        <item m="1" x="779"/>
        <item m="1" x="2645"/>
        <item m="1" x="2106"/>
        <item m="1" x="358"/>
        <item m="1" x="2301"/>
        <item m="1" x="1386"/>
        <item m="1" x="1822"/>
        <item m="1" x="1235"/>
        <item m="1" x="318"/>
        <item m="1" x="2302"/>
        <item m="1" x="1009"/>
        <item m="1" x="1108"/>
        <item m="1" x="2303"/>
        <item m="1" x="2304"/>
        <item m="1" x="1437"/>
        <item m="1" x="581"/>
        <item m="1" x="1100"/>
        <item m="1" x="1071"/>
        <item m="1" x="2305"/>
        <item m="1" x="370"/>
        <item m="1" x="1259"/>
        <item m="1" x="59"/>
        <item m="1" x="1683"/>
        <item m="1" x="336"/>
        <item m="1" x="60"/>
        <item m="1" x="337"/>
        <item m="1" x="2306"/>
        <item m="1" x="1245"/>
        <item m="1" x="2307"/>
        <item m="1" x="268"/>
        <item m="1" x="512"/>
        <item m="1" x="1177"/>
        <item m="1" x="868"/>
        <item m="1" x="667"/>
        <item m="1" x="1516"/>
        <item m="1" x="494"/>
        <item m="1" x="1238"/>
        <item m="1" x="388"/>
        <item m="1" x="283"/>
        <item m="1" x="104"/>
        <item m="1" x="1513"/>
        <item m="1" x="2107"/>
        <item m="1" x="1539"/>
        <item m="1" x="537"/>
        <item m="1" x="1752"/>
        <item m="1" x="101"/>
        <item m="1" x="195"/>
        <item m="1" x="338"/>
        <item m="1" x="668"/>
        <item m="1" x="1193"/>
        <item m="1" x="438"/>
        <item m="1" x="221"/>
        <item x="32"/>
        <item m="1" x="2309"/>
        <item m="1" x="2310"/>
        <item m="1" x="1679"/>
        <item m="1" x="2311"/>
        <item m="1" x="948"/>
        <item m="1" x="1928"/>
        <item m="1" x="1551"/>
        <item m="1" x="288"/>
        <item m="1" x="273"/>
        <item m="1" x="1711"/>
        <item m="1" x="185"/>
        <item m="1" x="1461"/>
        <item m="1" x="1239"/>
        <item m="1" x="1937"/>
        <item m="1" x="903"/>
        <item m="1" x="692"/>
        <item m="1" x="506"/>
        <item m="1" x="2312"/>
        <item m="1" x="2313"/>
        <item m="1" x="669"/>
        <item m="1" x="876"/>
        <item m="1" x="2314"/>
        <item m="1" x="1244"/>
        <item m="1" x="2108"/>
        <item m="1" x="1420"/>
        <item m="1" x="2315"/>
        <item m="1" x="1992"/>
        <item m="1" x="826"/>
        <item m="1" x="2567"/>
        <item m="1" x="774"/>
        <item m="1" x="75"/>
        <item m="1" x="1246"/>
        <item m="1" x="2317"/>
        <item m="1" x="2318"/>
        <item m="1" x="672"/>
        <item m="1" x="2319"/>
        <item m="1" x="1645"/>
        <item m="1" x="2017"/>
        <item m="1" x="1248"/>
        <item m="1" x="1249"/>
        <item m="1" x="781"/>
        <item m="1" x="1250"/>
        <item m="1" x="1060"/>
        <item m="1" x="671"/>
        <item m="1" x="1252"/>
        <item m="1" x="1880"/>
        <item m="1" x="1286"/>
        <item x="6"/>
        <item m="1" x="348"/>
        <item m="1" x="2320"/>
        <item m="1" x="1243"/>
        <item m="1" x="354"/>
        <item m="1" x="2179"/>
        <item m="1" x="2321"/>
        <item m="1" x="1440"/>
        <item m="1" x="884"/>
        <item m="1" x="629"/>
        <item m="1" x="2152"/>
        <item m="1" x="764"/>
        <item m="1" x="782"/>
        <item m="1" x="2322"/>
        <item m="1" x="783"/>
        <item m="1" x="1371"/>
        <item m="1" x="2323"/>
        <item m="1" x="971"/>
        <item m="1" x="1304"/>
        <item m="1" x="2324"/>
        <item m="1" x="1921"/>
        <item m="1" x="368"/>
        <item m="1" x="279"/>
        <item m="1" x="57"/>
        <item m="1" x="2325"/>
        <item m="1" x="240"/>
        <item m="1" x="286"/>
        <item m="1" x="1589"/>
        <item m="1" x="1271"/>
        <item m="1" x="294"/>
        <item m="1" x="549"/>
        <item m="1" x="784"/>
        <item m="1" x="1602"/>
        <item m="1" x="2326"/>
        <item m="1" x="1546"/>
        <item m="1" x="1487"/>
        <item m="1" x="1419"/>
        <item m="1" x="281"/>
        <item m="1" x="566"/>
        <item m="1" x="341"/>
        <item m="1" x="2554"/>
        <item m="1" x="1740"/>
        <item m="1" x="460"/>
        <item m="1" x="1897"/>
        <item m="1" x="1255"/>
        <item m="1" x="785"/>
        <item m="1" x="786"/>
        <item m="1" x="2598"/>
        <item m="1" x="477"/>
        <item m="1" x="1753"/>
        <item m="1" x="2056"/>
        <item m="1" x="417"/>
        <item x="4"/>
        <item m="1" x="2075"/>
        <item m="1" x="1093"/>
        <item sd="0" m="1" x="2737"/>
        <item m="1" x="590"/>
        <item sd="0" m="1" x="2707"/>
        <item m="1" x="1057"/>
        <item m="1" x="599"/>
        <item m="1" x="1654"/>
        <item m="1" x="1257"/>
        <item m="1" x="788"/>
        <item m="1" x="1754"/>
        <item m="1" x="536"/>
        <item m="1" x="1258"/>
        <item m="1" x="2327"/>
        <item m="1" x="789"/>
        <item m="1" x="567"/>
        <item m="1" x="2328"/>
        <item m="1" x="2329"/>
        <item sd="0" m="1" x="439"/>
        <item m="1" x="406"/>
        <item m="1" x="269"/>
        <item m="1" x="1208"/>
        <item m="1" x="1261"/>
        <item m="1" x="1262"/>
        <item m="1" x="592"/>
        <item m="1" x="1522"/>
        <item m="1" x="791"/>
        <item m="1" x="1614"/>
        <item m="1" x="1871"/>
        <item m="1" x="2109"/>
        <item m="1" x="1825"/>
        <item m="1" x="559"/>
        <item m="1" x="1591"/>
        <item m="1" x="580"/>
        <item m="1" x="1369"/>
        <item m="1" x="548"/>
        <item m="1" x="1192"/>
        <item sd="0" m="1" x="2105"/>
        <item m="1" x="1256"/>
        <item m="1" x="673"/>
        <item m="1" x="899"/>
        <item m="1" x="1264"/>
        <item m="1" x="1265"/>
        <item m="1" x="1824"/>
        <item m="1" x="2110"/>
        <item sd="0" x="8"/>
        <item m="1" x="511"/>
        <item m="1" x="546"/>
        <item m="1" x="64"/>
        <item m="1" x="1201"/>
        <item m="1" x="1266"/>
        <item m="1" x="792"/>
        <item m="1" x="1982"/>
        <item x="44"/>
        <item m="1" x="1577"/>
        <item m="1" x="1613"/>
        <item m="1" x="2330"/>
        <item m="1" x="793"/>
        <item m="1" x="2464"/>
        <item m="1" x="2084"/>
        <item m="1" x="794"/>
        <item m="1" x="583"/>
        <item m="1" x="1433"/>
        <item m="1" x="1640"/>
        <item m="1" x="2614"/>
        <item m="1" x="503"/>
        <item m="1" x="1267"/>
        <item m="1" x="1036"/>
        <item m="1" x="1302"/>
        <item m="1" x="1225"/>
        <item m="1" x="404"/>
        <item m="1" x="1251"/>
        <item m="1" x="2013"/>
        <item m="1" x="510"/>
        <item m="1" x="555"/>
        <item m="1" x="1671"/>
        <item m="1" x="1906"/>
        <item m="1" x="2111"/>
        <item m="1" x="1125"/>
        <item m="1" x="461"/>
        <item m="1" x="1351"/>
        <item m="1" x="518"/>
        <item m="1" x="2331"/>
        <item m="1" x="1368"/>
        <item m="1" x="222"/>
        <item m="1" x="2332"/>
        <item m="1" x="795"/>
        <item m="1" x="674"/>
        <item m="1" x="1132"/>
        <item m="1" x="584"/>
        <item m="1" x="1826"/>
        <item m="1" x="2605"/>
        <item m="1" x="1317"/>
        <item m="1" x="1980"/>
        <item m="1" x="1939"/>
        <item m="1" x="1272"/>
        <item m="1" x="675"/>
        <item m="1" x="676"/>
        <item m="1" x="1951"/>
        <item m="1" x="2625"/>
        <item x="13"/>
        <item m="1" x="1474"/>
        <item m="1" x="2333"/>
        <item m="1" x="1277"/>
        <item m="1" x="1572"/>
        <item m="1" x="1278"/>
        <item m="1" x="2334"/>
        <item m="1" x="2335"/>
        <item m="1" x="1784"/>
        <item m="1" x="300"/>
        <item m="1" x="1723"/>
        <item m="1" x="1279"/>
        <item m="1" x="1410"/>
        <item m="1" x="152"/>
        <item m="1" x="1594"/>
        <item m="1" x="277"/>
        <item m="1" x="1074"/>
        <item m="1" x="132"/>
        <item m="1" x="1934"/>
        <item m="1" x="236"/>
        <item m="1" x="1283"/>
        <item m="1" x="2337"/>
        <item m="1" x="426"/>
        <item m="1" x="1606"/>
        <item m="1" x="1966"/>
        <item m="1" x="2391"/>
        <item m="1" x="2338"/>
        <item m="1" x="1354"/>
        <item m="1" x="1463"/>
        <item m="1" x="2340"/>
        <item m="1" x="657"/>
        <item m="1" x="2668"/>
        <item m="1" x="906"/>
        <item m="1" x="2341"/>
        <item sd="0" m="1" x="2739"/>
        <item sd="0" x="45"/>
        <item m="1" x="463"/>
        <item m="1" x="924"/>
        <item m="1" x="1925"/>
        <item m="1" x="2342"/>
        <item m="1" x="2343"/>
        <item m="1" x="2344"/>
        <item m="1" x="963"/>
        <item m="1" x="2033"/>
        <item m="1" x="2346"/>
        <item sd="0" m="1" x="2223"/>
        <item sd="0" m="1" x="2715"/>
        <item m="1" x="2613"/>
        <item m="1" x="677"/>
        <item m="1" x="1598"/>
        <item m="1" x="2021"/>
        <item m="1" x="2347"/>
        <item m="1" x="2348"/>
        <item m="1" x="1297"/>
        <item m="1" x="343"/>
        <item m="1" x="2551"/>
        <item m="1" x="353"/>
        <item m="1" x="1964"/>
        <item m="1" x="441"/>
        <item m="1" x="2050"/>
        <item m="1" x="901"/>
        <item m="1" x="1499"/>
        <item m="1" x="450"/>
        <item m="1" x="2654"/>
        <item m="1" x="1646"/>
        <item m="1" x="2466"/>
        <item m="1" x="1860"/>
        <item m="1" x="1299"/>
        <item m="1" x="2028"/>
        <item m="1" x="904"/>
        <item m="1" x="2350"/>
        <item m="1" x="135"/>
        <item m="1" x="2336"/>
        <item m="1" x="2349"/>
        <item m="1" x="2582"/>
        <item sd="0" m="1" x="234"/>
        <item m="1" x="1524"/>
        <item m="1" x="1414"/>
        <item m="1" x="1301"/>
        <item m="1" x="133"/>
        <item m="1" x="507"/>
        <item m="1" x="527"/>
        <item m="1" x="2112"/>
        <item m="1" x="214"/>
        <item sd="0" m="1" x="213"/>
        <item m="1" x="1999"/>
        <item m="1" x="2352"/>
        <item m="1" x="1185"/>
        <item m="1" x="74"/>
        <item m="1" x="1311"/>
        <item m="1" x="2607"/>
        <item m="1" x="2151"/>
        <item m="1" x="1755"/>
        <item m="1" x="184"/>
        <item m="1" x="525"/>
        <item m="1" x="1312"/>
        <item m="1" x="1313"/>
        <item m="1" x="543"/>
        <item m="1" x="495"/>
        <item m="1" x="2008"/>
        <item m="1" x="1855"/>
        <item m="1" x="944"/>
        <item m="1" x="1081"/>
        <item m="1" x="223"/>
        <item m="1" x="2353"/>
        <item m="1" x="138"/>
        <item m="1" x="139"/>
        <item m="1" x="73"/>
        <item m="1" x="1007"/>
        <item m="1" x="2354"/>
        <item m="1" x="898"/>
        <item m="1" x="1756"/>
        <item m="1" x="2355"/>
        <item m="1" x="2356"/>
        <item m="1" x="1970"/>
        <item m="1" x="1985"/>
        <item m="1" x="1381"/>
        <item m="1" x="345"/>
        <item m="1" x="797"/>
        <item m="1" x="678"/>
        <item m="1" x="2358"/>
        <item m="1" x="2496"/>
        <item m="1" x="346"/>
        <item m="1" x="2661"/>
        <item m="1" x="237"/>
        <item m="1" x="1628"/>
        <item m="1" x="2359"/>
        <item m="1" x="140"/>
        <item m="1" x="1647"/>
        <item m="1" x="1316"/>
        <item m="1" x="1655"/>
        <item m="1" x="1632"/>
        <item m="1" x="1553"/>
        <item m="1" x="1942"/>
        <item m="1" x="1917"/>
        <item m="1" x="2683"/>
        <item m="1" x="836"/>
        <item m="1" x="2360"/>
        <item m="1" x="1949"/>
        <item m="1" x="712"/>
        <item m="1" x="2113"/>
        <item m="1" x="1285"/>
        <item m="1" x="271"/>
        <item m="1" x="1319"/>
        <item m="1" x="1011"/>
        <item m="1" x="2361"/>
        <item m="1" x="1357"/>
        <item m="1" x="349"/>
        <item m="1" x="2051"/>
        <item x="3"/>
        <item m="1" x="1963"/>
        <item m="1" x="619"/>
        <item m="1" x="2362"/>
        <item m="1" x="877"/>
        <item m="1" x="1893"/>
        <item m="1" x="1827"/>
        <item sd="0" m="1" x="245"/>
        <item m="1" x="996"/>
        <item m="1" x="384"/>
        <item m="1" x="2363"/>
        <item m="1" x="980"/>
        <item m="1" x="1548"/>
        <item sd="0" m="1" x="2720"/>
        <item m="1" x="949"/>
        <item m="1" x="1102"/>
        <item m="1" x="689"/>
        <item m="1" x="639"/>
        <item m="1" x="1639"/>
        <item m="1" x="1321"/>
        <item m="1" x="1322"/>
        <item m="1" x="2366"/>
        <item m="1" x="528"/>
        <item m="1" x="1973"/>
        <item m="1" x="2553"/>
        <item m="1" x="2590"/>
        <item m="1" x="2583"/>
        <item m="1" x="342"/>
        <item m="1" x="1323"/>
        <item m="1" x="2052"/>
        <item m="1" x="1523"/>
        <item m="1" x="1786"/>
        <item m="1" x="1641"/>
        <item m="1" x="1829"/>
        <item m="1" x="681"/>
        <item m="1" x="350"/>
        <item sd="0" m="1" x="2711"/>
        <item m="1" x="1324"/>
        <item m="1" x="390"/>
        <item m="1" x="1725"/>
        <item m="1" x="780"/>
        <item m="1" x="2621"/>
        <item m="1" x="955"/>
        <item m="1" x="1924"/>
        <item m="1" x="1950"/>
        <item m="1" x="787"/>
        <item sd="0" x="15"/>
        <item m="1" x="798"/>
        <item m="1" x="323"/>
        <item m="1" x="2364"/>
        <item m="1" x="973"/>
        <item m="1" x="142"/>
        <item m="1" x="2365"/>
        <item m="1" x="82"/>
        <item m="1" x="1372"/>
        <item m="1" x="1987"/>
        <item m="1" x="1831"/>
        <item m="1" x="1198"/>
        <item m="1" x="916"/>
        <item m="1" x="2685"/>
        <item m="1" x="1953"/>
        <item m="1" x="2703"/>
        <item m="1" x="682"/>
        <item m="1" x="264"/>
        <item m="1" x="2367"/>
        <item m="1" x="524"/>
        <item m="1" x="1328"/>
        <item m="1" x="1389"/>
        <item m="1" x="2369"/>
        <item m="1" x="1758"/>
        <item m="1" x="1821"/>
        <item m="1" x="965"/>
        <item m="1" x="1334"/>
        <item m="1" x="544"/>
        <item m="1" x="2053"/>
        <item m="1" x="2655"/>
        <item m="1" x="1807"/>
        <item m="1" x="2114"/>
        <item m="1" x="1345"/>
        <item m="1" x="2467"/>
        <item m="1" x="2370"/>
        <item m="1" x="964"/>
        <item m="1" x="209"/>
        <item m="1" x="2628"/>
        <item m="1" x="1588"/>
        <item m="1" x="1908"/>
        <item m="1" x="1385"/>
        <item m="1" x="1759"/>
        <item m="1" x="51"/>
        <item m="1" x="2371"/>
        <item m="1" x="1275"/>
        <item sd="0" m="1" x="2677"/>
        <item m="1" x="987"/>
        <item m="1" x="2010"/>
        <item m="1" x="683"/>
        <item m="1" x="1760"/>
        <item m="1" x="2373"/>
        <item m="1" x="864"/>
        <item m="1" x="2054"/>
        <item m="1" x="1945"/>
        <item m="1" x="684"/>
        <item m="1" x="572"/>
        <item m="1" x="145"/>
        <item m="1" x="479"/>
        <item m="1" x="1188"/>
        <item m="1" x="799"/>
        <item m="1" x="1833"/>
        <item m="1" x="2375"/>
        <item m="1" x="1761"/>
        <item m="1" x="1883"/>
        <item m="1" x="1048"/>
        <item m="1" x="2568"/>
        <item m="1" x="1891"/>
        <item m="1" x="2376"/>
        <item m="1" x="1716"/>
        <item m="1" x="1642"/>
        <item m="1" x="2377"/>
        <item m="1" x="2432"/>
        <item m="1" x="1542"/>
        <item m="1" x="2691"/>
        <item m="1" x="1370"/>
        <item m="1" x="1133"/>
        <item m="1" x="1636"/>
        <item m="1" x="1815"/>
        <item m="1" x="2665"/>
        <item m="1" x="1320"/>
        <item m="1" x="1447"/>
        <item m="1" x="466"/>
        <item m="1" x="1431"/>
        <item m="1" x="481"/>
        <item m="1" x="1307"/>
        <item m="1" x="1527"/>
        <item m="1" x="1077"/>
        <item m="1" x="297"/>
        <item m="1" x="2006"/>
        <item m="1" x="147"/>
        <item m="1" x="2378"/>
        <item m="1" x="1199"/>
        <item m="1" x="1452"/>
        <item m="1" x="999"/>
        <item m="1" x="2379"/>
        <item m="1" x="113"/>
        <item m="1" x="355"/>
        <item m="1" x="1196"/>
        <item m="1" x="1075"/>
        <item m="1" x="831"/>
        <item m="1" x="802"/>
        <item m="1" x="1202"/>
        <item m="1" x="2055"/>
        <item m="1" x="1536"/>
        <item m="1" x="568"/>
        <item m="1" x="1038"/>
        <item m="1" x="2025"/>
        <item m="1" x="317"/>
        <item m="1" x="1157"/>
        <item m="1" x="154"/>
        <item m="1" x="1300"/>
        <item m="1" x="1485"/>
        <item m="1" x="975"/>
        <item m="1" x="2555"/>
        <item m="1" x="2393"/>
        <item m="1" x="687"/>
        <item m="1" x="293"/>
        <item m="1" x="262"/>
        <item m="1" x="2673"/>
        <item m="1" x="1068"/>
        <item m="1" x="2394"/>
        <item m="1" x="2604"/>
        <item m="1" x="1059"/>
        <item m="1" x="2626"/>
        <item m="1" x="976"/>
        <item m="1" x="2620"/>
        <item m="1" x="1926"/>
        <item m="1" x="2395"/>
        <item m="1" x="2396"/>
        <item m="1" x="224"/>
        <item m="1" x="263"/>
        <item m="1" x="1530"/>
        <item m="1" x="1692"/>
        <item m="1" x="1227"/>
        <item m="1" x="83"/>
        <item m="1" x="2629"/>
        <item m="1" x="2397"/>
        <item m="1" x="2595"/>
        <item m="1" x="1427"/>
        <item m="1" x="1920"/>
        <item m="1" x="808"/>
        <item m="1" x="1428"/>
        <item m="1" x="810"/>
        <item m="1" x="2116"/>
        <item m="1" x="225"/>
        <item m="1" x="2398"/>
        <item m="1" x="1429"/>
        <item m="1" x="2399"/>
        <item m="1" x="688"/>
        <item m="1" x="377"/>
        <item m="1" x="2400"/>
        <item m="1" x="1430"/>
        <item m="1" x="1637"/>
        <item m="1" x="1488"/>
        <item m="1" x="1432"/>
        <item m="1" x="2401"/>
        <item m="1" x="2402"/>
        <item m="1" x="247"/>
        <item m="1" x="480"/>
        <item m="1" x="2623"/>
        <item m="1" x="1765"/>
        <item m="1" x="1518"/>
        <item m="1" x="957"/>
        <item m="1" x="2403"/>
        <item m="1" x="885"/>
        <item m="1" x="2405"/>
        <item m="1" x="2082"/>
        <item m="1" x="2060"/>
        <item m="1" x="467"/>
        <item m="1" x="1373"/>
        <item m="1" x="2406"/>
        <item m="1" x="1837"/>
        <item m="1" x="912"/>
        <item m="1" x="1576"/>
        <item m="1" x="1394"/>
        <item m="1" x="1448"/>
        <item m="1" x="1422"/>
        <item m="1" x="889"/>
        <item m="1" x="1449"/>
        <item m="1" x="1159"/>
        <item m="1" x="66"/>
        <item m="1" x="1894"/>
        <item m="1" x="314"/>
        <item m="1" x="163"/>
        <item m="1" x="1451"/>
        <item m="1" x="2491"/>
        <item m="1" x="381"/>
        <item m="1" x="2407"/>
        <item m="1" x="2408"/>
        <item m="1" x="2410"/>
        <item m="1" x="2675"/>
        <item m="1" x="1751"/>
        <item m="1" x="2409"/>
        <item m="1" x="382"/>
        <item m="1" x="1483"/>
        <item m="1" x="246"/>
        <item m="1" x="1454"/>
        <item m="1" x="1766"/>
        <item m="1" x="55"/>
        <item m="1" x="468"/>
        <item m="1" x="1220"/>
        <item m="1" x="395"/>
        <item m="1" x="1206"/>
        <item sd="0" m="1" x="2727"/>
        <item sd="0" m="1" x="308"/>
        <item m="1" x="1910"/>
        <item m="1" x="1457"/>
        <item m="1" x="1456"/>
        <item m="1" x="1458"/>
        <item m="1" x="624"/>
        <item m="1" x="1444"/>
        <item m="1" x="1787"/>
        <item m="1" x="2566"/>
        <item m="1" x="2411"/>
        <item m="1" x="367"/>
        <item m="1" x="2412"/>
        <item m="1" x="289"/>
        <item m="1" x="2413"/>
        <item m="1" x="1543"/>
        <item m="1" x="2414"/>
        <item m="1" x="1722"/>
        <item m="1" x="170"/>
        <item m="1" x="2404"/>
        <item m="1" x="160"/>
        <item m="1" x="1392"/>
        <item m="1" x="2693"/>
        <item m="1" x="2556"/>
        <item m="1" x="2415"/>
        <item m="1" x="733"/>
        <item m="1" x="1656"/>
        <item x="14"/>
        <item m="1" x="1912"/>
        <item m="1" x="1528"/>
        <item m="1" x="1284"/>
        <item m="1" x="165"/>
        <item m="1" x="2270"/>
        <item m="1" x="1914"/>
        <item m="1" x="2653"/>
        <item m="1" x="2118"/>
        <item m="1" x="1390"/>
        <item m="1" x="2034"/>
        <item m="1" x="816"/>
        <item m="1" x="166"/>
        <item m="1" x="1281"/>
        <item m="1" x="1395"/>
        <item m="1" x="1471"/>
        <item m="1" x="144"/>
        <item m="1" x="2019"/>
        <item m="1" x="586"/>
        <item m="1" x="2602"/>
        <item m="1" x="2417"/>
        <item m="1" x="2418"/>
        <item m="1" x="817"/>
        <item m="1" x="2636"/>
        <item m="1" x="1409"/>
        <item m="1" x="1472"/>
        <item m="1" x="690"/>
        <item m="1" x="1473"/>
        <item m="1" x="2419"/>
        <item m="1" x="2420"/>
        <item m="1" x="915"/>
        <item m="1" x="2421"/>
        <item sd="0" m="1" x="2709"/>
        <item m="1" x="2422"/>
        <item m="1" x="2423"/>
        <item m="1" x="2260"/>
        <item m="1" x="862"/>
        <item m="1" x="2684"/>
        <item m="1" x="882"/>
        <item m="1" x="2424"/>
        <item m="1" x="1882"/>
        <item m="1" x="1347"/>
        <item m="1" x="691"/>
        <item m="1" x="2690"/>
        <item m="1" x="351"/>
        <item m="1" x="2139"/>
        <item m="1" x="2469"/>
        <item m="1" x="1034"/>
        <item m="1" x="501"/>
        <item m="1" x="818"/>
        <item m="1" x="819"/>
        <item m="1" x="914"/>
        <item m="1" x="63"/>
        <item m="1" x="2119"/>
        <item m="1" x="656"/>
        <item m="1" x="2425"/>
        <item m="1" x="149"/>
        <item m="1" x="387"/>
        <item m="1" x="557"/>
        <item m="1" x="1785"/>
        <item m="1" x="2061"/>
        <item m="1" x="440"/>
        <item m="1" x="2099"/>
        <item m="1" x="2426"/>
        <item m="1" x="995"/>
        <item m="1" x="1767"/>
        <item m="1" x="991"/>
        <item m="1" x="386"/>
        <item m="1" x="434"/>
        <item m="1" x="2428"/>
        <item m="1" x="2120"/>
        <item m="1" x="820"/>
        <item m="1" x="1994"/>
        <item m="1" x="487"/>
        <item m="1" x="95"/>
        <item m="1" x="482"/>
        <item m="1" x="87"/>
        <item m="1" x="1938"/>
        <item m="1" x="2062"/>
        <item m="1" x="371"/>
        <item m="1" x="210"/>
        <item m="1" x="2671"/>
        <item m="1" x="312"/>
        <item m="1" x="1923"/>
        <item m="1" x="120"/>
        <item m="1" x="2429"/>
        <item m="1" x="966"/>
        <item m="1" x="821"/>
        <item m="1" x="2068"/>
        <item m="1" x="1489"/>
        <item m="1" x="1490"/>
        <item m="1" x="1491"/>
        <item m="1" x="2430"/>
        <item m="1" x="1684"/>
        <item m="1" x="1379"/>
        <item m="1" x="1730"/>
        <item m="1" x="1800"/>
        <item m="1" x="162"/>
        <item m="1" x="1314"/>
        <item m="1" x="694"/>
        <item m="1" x="1493"/>
        <item m="1" x="1435"/>
        <item m="1" x="611"/>
        <item m="1" x="1018"/>
        <item m="1" x="2384"/>
        <item m="1" x="2616"/>
        <item m="1" x="2561"/>
        <item m="1" x="1290"/>
        <item m="1" x="1156"/>
        <item m="1" x="401"/>
        <item m="1" x="2142"/>
        <item m="1" x="383"/>
        <item m="1" x="2433"/>
        <item m="1" x="380"/>
        <item m="1" x="2434"/>
        <item m="1" x="1986"/>
        <item m="1" x="695"/>
        <item m="1" x="1688"/>
        <item m="1" x="907"/>
        <item m="1" x="2387"/>
        <item m="1" x="310"/>
        <item m="1" x="168"/>
        <item m="1" x="954"/>
        <item m="1" x="1342"/>
        <item m="1" x="328"/>
        <item m="1" x="822"/>
        <item m="1" x="403"/>
        <item m="1" x="1486"/>
        <item m="1" x="339"/>
        <item m="1" x="823"/>
        <item m="1" x="2435"/>
        <item m="1" x="502"/>
        <item m="1" x="565"/>
        <item m="1" x="1501"/>
        <item m="1" x="1023"/>
        <item m="1" x="2436"/>
        <item sd="0" m="1" x="2733"/>
        <item m="1" x="1217"/>
        <item sd="0" m="1" x="800"/>
        <item m="1" x="1467"/>
        <item m="1" x="389"/>
        <item m="1" x="2063"/>
        <item m="1" x="2437"/>
        <item m="1" x="1064"/>
        <item m="1" x="853"/>
        <item m="1" x="936"/>
        <item m="1" x="1596"/>
        <item m="1" x="1502"/>
        <item m="1" x="2438"/>
        <item m="1" x="2129"/>
        <item m="1" x="174"/>
        <item m="1" x="2064"/>
        <item m="1" x="161"/>
        <item m="1" x="931"/>
        <item m="1" x="2584"/>
        <item m="1" x="923"/>
        <item m="1" x="2439"/>
        <item m="1" x="227"/>
        <item m="1" x="1517"/>
        <item m="1" x="2440"/>
        <item x="25"/>
        <item m="1" x="392"/>
        <item m="1" x="824"/>
        <item m="1" x="886"/>
        <item m="1" x="1396"/>
        <item m="1" x="1480"/>
        <item m="1" x="2065"/>
        <item m="1" x="1680"/>
        <item m="1" x="1511"/>
        <item m="1" x="393"/>
        <item m="1" x="2441"/>
        <item m="1" x="1792"/>
        <item m="1" x="172"/>
        <item m="1" x="1967"/>
        <item m="1" x="1512"/>
        <item m="1" x="825"/>
        <item m="1" x="71"/>
        <item m="1" x="1944"/>
        <item m="1" x="2594"/>
        <item m="1" x="2382"/>
        <item m="1" x="1665"/>
        <item m="1" x="2442"/>
        <item m="1" x="375"/>
        <item m="1" x="985"/>
        <item m="1" x="257"/>
        <item m="1" x="1119"/>
        <item m="1" x="2443"/>
        <item m="1" x="721"/>
        <item m="1" x="2444"/>
        <item m="1" x="1376"/>
        <item m="1" x="670"/>
        <item m="1" x="1768"/>
        <item m="1" x="2445"/>
        <item m="1" x="1943"/>
        <item m="1" x="67"/>
        <item m="1" x="1222"/>
        <item m="1" x="2070"/>
        <item m="1" x="180"/>
        <item m="1" x="124"/>
        <item m="1" x="1968"/>
        <item m="1" x="396"/>
        <item m="1" x="1525"/>
        <item m="1" x="1295"/>
        <item m="1" x="340"/>
        <item m="1" x="2447"/>
        <item m="1" x="422"/>
        <item m="1" x="2448"/>
        <item m="1" x="563"/>
        <item m="1" x="893"/>
        <item m="1" x="894"/>
        <item m="1" x="696"/>
        <item m="1" x="2450"/>
        <item m="1" x="1066"/>
        <item m="1" x="2066"/>
        <item m="1" x="2646"/>
        <item m="1" x="2570"/>
        <item m="1" x="1443"/>
        <item m="1" x="226"/>
        <item m="1" x="157"/>
        <item m="1" x="1383"/>
        <item m="1" x="940"/>
        <item m="1" x="2014"/>
        <item m="1" x="697"/>
        <item m="1" x="698"/>
        <item m="1" x="587"/>
        <item m="1" x="2451"/>
        <item m="1" x="1580"/>
        <item m="1" x="2532"/>
        <item m="1" x="253"/>
        <item m="1" x="1814"/>
        <item m="1" x="1118"/>
        <item m="1" x="1180"/>
        <item m="1" x="827"/>
        <item m="1" x="2121"/>
        <item m="1" x="1619"/>
        <item m="1" x="1035"/>
        <item sd="0" m="1" x="2723"/>
        <item m="1" x="2639"/>
        <item m="1" x="2009"/>
        <item m="1" x="119"/>
        <item m="1" x="1534"/>
        <item m="1" x="2452"/>
        <item m="1" x="1291"/>
        <item m="1" x="398"/>
        <item m="1" x="1728"/>
        <item m="1" x="2316"/>
        <item m="1" x="1560"/>
        <item m="1" x="2619"/>
        <item m="1" x="469"/>
        <item m="1" x="1769"/>
        <item m="1" x="1889"/>
        <item sd="0" m="1" x="699"/>
        <item sd="0" m="1" x="2732"/>
        <item m="1" x="569"/>
        <item m="1" x="803"/>
        <item x="17"/>
        <item m="1" x="2453"/>
        <item m="1" x="1995"/>
        <item m="1" x="2454"/>
        <item m="1" x="1296"/>
        <item m="1" x="1866"/>
        <item m="1" x="1731"/>
        <item m="1" x="1537"/>
        <item m="1" x="1609"/>
        <item m="1" x="2574"/>
        <item m="1" x="1538"/>
        <item m="1" x="483"/>
        <item m="1" x="1603"/>
        <item m="1" x="178"/>
        <item m="1" x="1791"/>
        <item m="1" x="1840"/>
        <item m="1" x="958"/>
        <item m="1" x="402"/>
        <item sd="0" m="1" x="258"/>
        <item sd="0" m="1" x="2725"/>
        <item m="1" x="1033"/>
        <item m="1" x="1798"/>
        <item m="1" x="1013"/>
        <item m="1" x="186"/>
        <item m="1" x="1916"/>
        <item m="1" x="968"/>
        <item m="1" x="2599"/>
        <item m="1" x="2140"/>
        <item m="1" x="796"/>
        <item m="1" x="1540"/>
        <item m="1" x="1541"/>
        <item m="1" x="701"/>
        <item m="1" x="1856"/>
        <item m="1" x="897"/>
        <item m="1" x="1857"/>
        <item m="1" x="2455"/>
        <item m="1" x="2660"/>
        <item m="1" x="1115"/>
        <item m="1" x="2471"/>
        <item m="1" x="1896"/>
        <item m="1" x="680"/>
        <item m="1" x="705"/>
        <item m="1" x="446"/>
        <item m="1" x="1350"/>
        <item m="1" x="600"/>
        <item m="1" x="1001"/>
        <item m="1" x="702"/>
        <item m="1" x="1545"/>
        <item x="2"/>
        <item m="1" x="531"/>
        <item m="1" x="634"/>
        <item m="1" x="814"/>
        <item m="1" x="556"/>
        <item x="21"/>
        <item m="1" x="2679"/>
        <item sd="0" m="1" x="1190"/>
        <item m="1" x="1823"/>
        <item m="1" x="790"/>
        <item m="1" x="2696"/>
        <item m="1" x="1127"/>
        <item m="1" x="845"/>
        <item m="1" x="347"/>
        <item m="1" x="1559"/>
        <item m="1" x="1116"/>
        <item m="1" x="1839"/>
        <item m="1" x="1721"/>
        <item m="1" x="1144"/>
        <item m="1" x="1107"/>
        <item m="1" x="888"/>
        <item m="1" x="1332"/>
        <item m="1" x="1845"/>
        <item sd="0" m="1" x="522"/>
        <item m="1" x="1714"/>
        <item m="1" x="1841"/>
        <item m="1" x="627"/>
        <item m="1" x="409"/>
        <item m="1" x="1040"/>
        <item m="1" x="1862"/>
        <item m="1" x="1969"/>
        <item m="1" x="379"/>
        <item m="1" x="1988"/>
        <item m="1" x="703"/>
        <item m="1" x="187"/>
        <item m="1" x="470"/>
        <item m="1" x="2122"/>
        <item m="1" x="1838"/>
        <item m="1" x="1564"/>
        <item m="1" x="198"/>
        <item x="39"/>
        <item m="1" x="913"/>
        <item m="1" x="1867"/>
        <item m="1" x="2458"/>
        <item m="1" x="1529"/>
        <item m="1" x="2459"/>
        <item m="1" x="2460"/>
        <item m="1" x="2462"/>
        <item m="1" x="830"/>
        <item m="1" x="704"/>
        <item m="1" x="2609"/>
        <item m="1" x="305"/>
        <item m="1" x="953"/>
        <item m="1" x="977"/>
        <item m="1" x="2463"/>
        <item m="1" x="2591"/>
        <item m="1" x="2299"/>
        <item m="1" x="189"/>
        <item m="1" x="2381"/>
        <item m="1" x="2662"/>
        <item m="1" x="228"/>
        <item m="1" x="2457"/>
        <item m="1" x="2032"/>
        <item m="1" x="961"/>
        <item m="1" x="1610"/>
        <item m="1" x="229"/>
        <item m="1" x="1772"/>
        <item m="1" x="1567"/>
        <item m="1" x="362"/>
        <item m="1" x="1029"/>
        <item m="1" x="829"/>
        <item m="1" x="1582"/>
        <item m="1" x="447"/>
        <item m="1" x="1150"/>
        <item sd="0" m="1" x="2736"/>
        <item m="1" x="1178"/>
        <item m="1" x="1514"/>
        <item m="1" x="1583"/>
        <item m="1" x="1584"/>
        <item m="1" x="1134"/>
        <item m="1" x="707"/>
        <item m="1" x="1561"/>
        <item m="1" x="2472"/>
        <item m="1" x="2011"/>
        <item m="1" x="1585"/>
        <item m="1" x="1338"/>
        <item m="1" x="909"/>
        <item m="1" x="700"/>
        <item m="1" x="77"/>
        <item m="1" x="2562"/>
        <item m="1" x="1586"/>
        <item m="1" x="2473"/>
        <item m="1" x="1685"/>
        <item m="1" x="564"/>
        <item m="1" x="1110"/>
        <item x="30"/>
        <item m="1" x="2474"/>
        <item m="1" x="2576"/>
        <item m="1" x="2610"/>
        <item m="1" x="1696"/>
        <item m="1" x="1051"/>
        <item m="1" x="2475"/>
        <item m="1" x="2476"/>
        <item m="1" x="1629"/>
        <item m="1" x="2477"/>
        <item m="1" x="1922"/>
        <item m="1" x="2479"/>
        <item m="1" x="2478"/>
        <item m="1" x="1676"/>
        <item m="1" x="1965"/>
        <item m="1" x="2695"/>
        <item m="1" x="496"/>
        <item m="1" x="1990"/>
        <item m="1" x="2689"/>
        <item m="1" x="1590"/>
        <item m="1" x="1155"/>
        <item m="1" x="881"/>
        <item m="1" x="2480"/>
        <item x="11"/>
        <item m="1" x="1960"/>
        <item m="1" x="2481"/>
        <item m="1" x="520"/>
        <item m="1" x="1028"/>
        <item m="1" x="352"/>
        <item m="1" x="2482"/>
        <item m="1" x="504"/>
        <item m="1" x="1496"/>
        <item m="1" x="928"/>
        <item m="1" x="2468"/>
        <item m="1" x="1024"/>
        <item m="1" x="1854"/>
        <item m="1" x="2483"/>
        <item m="1" x="1593"/>
        <item m="1" x="2680"/>
        <item m="1" x="1061"/>
        <item m="1" x="243"/>
        <item m="1" x="191"/>
        <item m="1" x="1579"/>
        <item m="1" x="1595"/>
        <item m="1" x="192"/>
        <item m="1" x="298"/>
        <item m="1" x="1601"/>
        <item m="1" x="962"/>
        <item m="1" x="2485"/>
        <item m="1" x="2124"/>
        <item m="1" x="1421"/>
        <item m="1" x="2005"/>
        <item m="1" x="1648"/>
        <item m="1" x="2125"/>
        <item m="1" x="1184"/>
        <item m="1" x="2676"/>
        <item m="1" x="1604"/>
        <item m="1" x="1558"/>
        <item m="1" x="194"/>
        <item m="1" x="2126"/>
        <item m="1" x="307"/>
        <item m="1" x="588"/>
        <item m="1" x="1168"/>
        <item m="1" x="193"/>
        <item m="1" x="972"/>
        <item m="1" x="413"/>
        <item m="1" x="414"/>
        <item m="1" x="415"/>
        <item m="1" x="169"/>
        <item m="1" x="416"/>
        <item m="1" x="1445"/>
        <item m="1" x="833"/>
        <item m="1" x="2486"/>
        <item m="1" x="1570"/>
        <item m="1" x="855"/>
        <item m="1" x="1533"/>
        <item m="1" x="2487"/>
        <item m="1" x="1842"/>
        <item m="1" x="1773"/>
        <item m="1" x="2488"/>
        <item m="1" x="1563"/>
        <item m="1" x="902"/>
        <item m="1" x="435"/>
        <item m="1" x="860"/>
        <item m="1" x="1121"/>
        <item m="1" x="708"/>
        <item m="1" x="2490"/>
        <item m="1" x="542"/>
        <item m="1" x="1607"/>
        <item m="1" x="1608"/>
        <item m="1" x="1335"/>
        <item sd="0" m="1" x="2719"/>
        <item m="1" x="1864"/>
        <item m="1" x="742"/>
        <item m="1" x="2368"/>
        <item m="1" x="832"/>
        <item m="1" x="1117"/>
        <item m="1" x="239"/>
        <item m="1" x="1426"/>
        <item m="1" x="2492"/>
        <item m="1" x="2493"/>
        <item m="1" x="196"/>
        <item m="1" x="2494"/>
        <item m="1" x="278"/>
        <item sd="0" m="1" x="2740"/>
        <item m="1" x="2069"/>
        <item m="1" x="1797"/>
        <item m="1" x="143"/>
        <item m="1" x="1611"/>
        <item x="42"/>
        <item m="1" x="608"/>
        <item m="1" x="1848"/>
        <item m="1" x="602"/>
        <item m="1" x="1858"/>
        <item m="1" x="1849"/>
        <item m="1" x="1976"/>
        <item m="1" x="1929"/>
        <item m="1" x="603"/>
        <item m="1" x="770"/>
        <item m="1" x="1850"/>
        <item m="1" x="601"/>
        <item m="1" x="606"/>
        <item m="1" x="610"/>
        <item m="1" x="1852"/>
        <item m="1" x="515"/>
        <item sd="0" x="29"/>
        <item m="1" x="1661"/>
        <item x="41"/>
        <item m="1" x="596"/>
        <item m="1" x="1662"/>
        <item m="1" x="514"/>
        <item m="1" x="595"/>
        <item m="1" x="1977"/>
        <item m="1" x="1358"/>
        <item m="1" x="1847"/>
        <item m="1" x="605"/>
        <item m="1" x="1846"/>
        <item m="1" x="609"/>
        <item sd="0" m="1" x="604"/>
        <item sd="0" x="28"/>
        <item sd="0" m="1" x="2730"/>
        <item sd="0" m="1" x="2735"/>
        <item sd="0" x="26"/>
        <item m="1" x="857"/>
        <item m="1" x="1861"/>
        <item m="1" x="2027"/>
        <item m="1" x="2035"/>
        <item m="1" x="1881"/>
        <item m="1" x="92"/>
        <item m="1" x="1666"/>
        <item m="1" x="1974"/>
        <item m="1" x="1017"/>
        <item m="1" x="805"/>
        <item m="1" x="2699"/>
        <item m="1" x="2427"/>
        <item m="1" x="2446"/>
        <item m="1" x="151"/>
        <item m="1" x="709"/>
        <item m="1" x="1659"/>
        <item m="1" x="421"/>
        <item m="1" x="2067"/>
        <item m="1" x="2495"/>
        <item sd="0" m="1" x="921"/>
        <item sd="0" m="1" x="2238"/>
        <item sd="0" m="1" x="2738"/>
        <item m="1" x="1423"/>
        <item m="1" x="582"/>
        <item m="1" x="2123"/>
        <item m="1" x="70"/>
        <item m="1" x="2497"/>
        <item m="1" x="325"/>
        <item m="1" x="2156"/>
        <item m="1" x="2498"/>
        <item m="1" x="2461"/>
        <item m="1" x="1234"/>
        <item m="1" x="934"/>
        <item m="1" x="2672"/>
        <item m="1" x="1067"/>
        <item m="1" x="2256"/>
        <item m="1" x="1308"/>
        <item m="1" x="1669"/>
        <item m="1" x="1446"/>
        <item m="1" x="1154"/>
        <item m="1" x="2127"/>
        <item m="1" x="423"/>
        <item m="1" x="1400"/>
        <item m="1" x="424"/>
        <item m="1" x="1958"/>
        <item m="1" x="197"/>
        <item m="1" x="2499"/>
        <item m="1" x="1673"/>
        <item m="1" x="517"/>
        <item m="1" x="1477"/>
        <item m="1" x="2500"/>
        <item m="1" x="1808"/>
        <item m="1" x="892"/>
        <item m="1" x="1138"/>
        <item m="1" x="275"/>
        <item m="1" x="834"/>
        <item m="1" x="79"/>
        <item m="1" x="910"/>
        <item m="1" x="136"/>
        <item m="1" x="203"/>
        <item m="1" x="2575"/>
        <item m="1" x="2585"/>
        <item m="1" x="939"/>
        <item m="1" x="1366"/>
        <item m="1" x="1136"/>
        <item m="1" x="1605"/>
        <item m="1" x="1226"/>
        <item m="1" x="484"/>
        <item m="1" x="1677"/>
        <item m="1" x="2714"/>
        <item m="1" x="993"/>
        <item m="1" x="1387"/>
        <item m="1" x="1678"/>
        <item m="1" x="1895"/>
        <item m="1" x="1365"/>
        <item m="1" x="1649"/>
        <item m="1" x="1620"/>
        <item m="1" x="1599"/>
        <item m="1" x="1122"/>
        <item m="1" x="489"/>
        <item m="1" x="1352"/>
        <item m="1" x="1616"/>
        <item m="1" x="835"/>
        <item m="1" x="2515"/>
        <item m="1" x="230"/>
        <item m="1" x="533"/>
        <item m="1" x="2501"/>
        <item m="1" x="261"/>
        <item m="1" x="201"/>
        <item m="1" x="285"/>
        <item m="1" x="2502"/>
        <item m="1" x="1187"/>
        <item m="1" x="552"/>
        <item m="1" x="2503"/>
        <item m="1" x="630"/>
        <item m="1" x="859"/>
        <item m="1" x="1975"/>
        <item m="1" x="2504"/>
        <item m="1" x="2713"/>
        <item m="1" x="2694"/>
        <item m="1" x="1076"/>
        <item m="1" x="905"/>
        <item m="1" x="2514"/>
        <item m="1" x="1828"/>
        <item m="1" x="1164"/>
        <item m="1" x="1415"/>
        <item m="1" x="2587"/>
        <item m="1" x="2698"/>
        <item m="1" x="1697"/>
        <item m="1" x="1401"/>
        <item m="1" x="1292"/>
        <item m="1" x="2505"/>
        <item m="1" x="2702"/>
        <item m="1" x="280"/>
        <item m="1" x="879"/>
        <item m="1" x="937"/>
        <item x="34"/>
        <item m="1" x="365"/>
        <item m="1" x="1566"/>
        <item m="1" x="710"/>
        <item m="1" x="490"/>
        <item sd="0" m="1" x="493"/>
        <item m="1" x="711"/>
        <item m="1" x="400"/>
        <item m="1" x="2507"/>
        <item m="1" x="2624"/>
        <item m="1" x="632"/>
        <item m="1" x="2189"/>
        <item m="1" x="1631"/>
        <item m="1" x="2706"/>
        <item sd="0" m="1" x="729"/>
        <item m="1" x="2617"/>
        <item x="24"/>
        <item m="1" x="1331"/>
        <item m="1" x="838"/>
        <item m="1" x="2022"/>
        <item m="1" x="1689"/>
        <item m="1" x="1690"/>
        <item m="1" x="2308"/>
        <item m="1" x="1794"/>
        <item m="1" x="1173"/>
        <item m="1" x="651"/>
        <item m="1" x="2652"/>
        <item m="1" x="1101"/>
        <item m="1" x="2128"/>
        <item m="1" x="613"/>
        <item m="1" x="137"/>
        <item m="1" x="813"/>
        <item m="1" x="2603"/>
        <item m="1" x="1343"/>
        <item m="1" x="2509"/>
        <item m="1" x="839"/>
        <item m="1" x="1691"/>
        <item m="1" x="121"/>
        <item m="1" x="425"/>
        <item m="1" x="2431"/>
        <item m="1" x="1890"/>
        <item m="1" x="1776"/>
        <item m="1" x="1904"/>
        <item m="1" x="2144"/>
        <item m="1" x="62"/>
        <item m="1" x="1055"/>
        <item m="1" x="840"/>
        <item m="1" x="2383"/>
        <item m="1" x="1578"/>
        <item m="1" x="2510"/>
        <item m="1" x="1660"/>
        <item m="1" x="485"/>
        <item m="1" x="1207"/>
        <item m="1" x="1693"/>
        <item m="1" x="1663"/>
        <item m="1" x="1657"/>
        <item m="1" x="858"/>
        <item m="1" x="2511"/>
        <item m="1" x="2001"/>
        <item m="1" x="841"/>
        <item m="1" x="1411"/>
        <item m="1" x="837"/>
        <item m="1" x="2597"/>
        <item m="1" x="1694"/>
        <item m="1" x="1801"/>
        <item m="1" x="1695"/>
        <item m="1" x="1681"/>
        <item m="1" x="1587"/>
        <item m="1" x="1160"/>
        <item m="1" x="1569"/>
        <item m="1" x="998"/>
        <item m="1" x="856"/>
        <item m="1" x="1166"/>
        <item m="1" x="2512"/>
        <item m="1" x="150"/>
        <item m="1" x="2149"/>
        <item m="1" x="1223"/>
        <item m="1" x="212"/>
        <item m="1" x="918"/>
        <item m="1" x="1989"/>
        <item m="1" x="1979"/>
        <item m="1" x="2268"/>
        <item m="1" x="56"/>
        <item m="1" x="1562"/>
        <item m="1" x="1581"/>
        <item m="1" x="2390"/>
        <item m="1" x="969"/>
        <item m="1" x="473"/>
        <item m="1" x="843"/>
        <item m="1" x="1625"/>
        <item m="1" x="935"/>
        <item m="1" x="2023"/>
        <item m="1" x="1462"/>
        <item m="1" x="2666"/>
        <item m="1" x="2024"/>
        <item x="9"/>
        <item m="1" x="1698"/>
        <item m="1" x="1375"/>
        <item m="1" x="1699"/>
        <item m="1" x="179"/>
        <item m="1" x="2148"/>
        <item m="1" x="589"/>
        <item m="1" x="558"/>
        <item m="1" x="1019"/>
        <item m="1" x="69"/>
        <item m="1" x="199"/>
        <item m="1" x="844"/>
        <item m="1" x="714"/>
        <item m="1" x="2449"/>
        <item m="1" x="715"/>
        <item m="1" x="1670"/>
        <item m="1" x="1407"/>
        <item m="1" x="2130"/>
        <item m="1" x="1702"/>
        <item m="1" x="427"/>
        <item m="1" x="190"/>
        <item m="1" x="1479"/>
        <item m="1" x="679"/>
        <item m="1" x="716"/>
        <item m="1" x="65"/>
        <item m="1" x="1703"/>
        <item m="1" x="1851"/>
        <item m="1" x="717"/>
        <item m="1" x="486"/>
        <item m="1" x="231"/>
        <item m="1" x="2079"/>
        <item m="1" x="2131"/>
        <item m="1" x="1626"/>
        <item m="1" x="2516"/>
        <item m="1" x="1374"/>
        <item m="1" x="1280"/>
        <item m="1" x="927"/>
        <item m="1" x="299"/>
        <item sd="0" m="1" x="2734"/>
        <item sd="0" m="1" x="1843"/>
        <item m="1" x="1991"/>
        <item m="1" x="200"/>
        <item m="1" x="1859"/>
        <item m="1" x="86"/>
        <item m="1" x="1268"/>
        <item m="1" x="1417"/>
        <item m="1" x="1706"/>
        <item m="1" x="1269"/>
        <item m="1" x="2132"/>
        <item m="1" x="989"/>
        <item m="1" x="1704"/>
        <item m="1" x="637"/>
        <item m="1" x="706"/>
        <item sd="0" m="1" x="640"/>
        <item m="1" x="842"/>
        <item m="1" x="105"/>
        <item m="1" x="173"/>
        <item m="1" x="1495"/>
        <item m="1" x="896"/>
        <item m="1" x="2517"/>
        <item m="1" x="2518"/>
        <item m="1" x="982"/>
        <item m="1" x="2519"/>
        <item m="1" x="718"/>
        <item m="1" x="1705"/>
        <item m="1" x="1519"/>
        <item m="1" x="2644"/>
        <item m="1" x="2640"/>
        <item m="1" x="2520"/>
        <item m="1" x="1025"/>
        <item m="1" x="1182"/>
        <item m="1" x="1946"/>
        <item m="1" x="1635"/>
        <item m="1" x="984"/>
        <item m="1" x="1274"/>
        <item m="1" x="2521"/>
        <item m="1" x="1633"/>
        <item m="1" x="2522"/>
        <item m="1" x="861"/>
        <item m="1" x="1707"/>
        <item m="1" x="1834"/>
        <item m="1" x="1634"/>
        <item m="1" x="2700"/>
        <item m="1" x="127"/>
        <item m="1" x="1032"/>
        <item m="1" x="2203"/>
        <item m="1" x="1404"/>
        <item m="1" x="1494"/>
        <item m="1" x="1770"/>
        <item m="1" x="1983"/>
        <item m="1" x="2523"/>
        <item m="1" x="1709"/>
        <item m="1" x="1777"/>
        <item m="1" x="2525"/>
        <item m="1" x="719"/>
        <item m="1" x="1927"/>
        <item m="1" x="1996"/>
        <item m="1" x="846"/>
        <item m="1" x="2526"/>
        <item m="1" x="2392"/>
        <item m="1" x="519"/>
        <item m="1" x="1086"/>
        <item m="1" x="2059"/>
        <item m="1" x="598"/>
        <item m="1" x="757"/>
        <item m="1" x="535"/>
        <item m="1" x="2133"/>
        <item m="1" x="2527"/>
        <item m="1" x="204"/>
        <item m="1" x="720"/>
        <item x="35"/>
        <item m="1" x="1713"/>
        <item m="1" x="1014"/>
        <item m="1" x="1424"/>
        <item m="1" x="941"/>
        <item sd="0" m="1" x="2712"/>
        <item m="1" x="420"/>
        <item m="1" x="2528"/>
        <item m="1" x="1391"/>
        <item m="1" x="2012"/>
        <item m="1" x="2573"/>
        <item m="1" x="938"/>
        <item m="1" x="2134"/>
        <item m="1" x="267"/>
        <item m="1" x="2529"/>
        <item m="1" x="1293"/>
        <item m="1" x="614"/>
        <item sd="0" m="1" x="2722"/>
        <item m="1" x="2593"/>
        <item m="1" x="1416"/>
        <item m="1" x="324"/>
        <item m="1" x="428"/>
        <item m="1" x="2530"/>
        <item m="1" x="2029"/>
        <item m="1" x="723"/>
        <item m="1" x="2259"/>
        <item m="1" x="541"/>
        <item m="1" x="1618"/>
        <item m="1" x="1674"/>
        <item m="1" x="1778"/>
        <item m="1" x="911"/>
        <item m="1" x="2531"/>
        <item m="1" x="847"/>
        <item x="23"/>
        <item m="1" x="478"/>
        <item m="1" x="848"/>
        <item m="1" x="929"/>
        <item m="1" x="1844"/>
        <item m="1" x="1715"/>
        <item m="1" x="1710"/>
        <item m="1" x="1004"/>
        <item m="1" x="726"/>
        <item m="1" x="2135"/>
        <item m="1" x="1353"/>
        <item m="1" x="1717"/>
        <item m="1" x="1779"/>
        <item sd="0" m="1" x="465"/>
        <item m="1" x="1260"/>
        <item m="1" x="974"/>
        <item m="1" x="2533"/>
        <item m="1" x="188"/>
        <item m="1" x="2647"/>
        <item m="1" x="2686"/>
        <item m="1" x="866"/>
        <item m="1" x="1811"/>
        <item m="1" x="812"/>
        <item x="43"/>
        <item m="1" x="1718"/>
        <item m="1" x="1719"/>
        <item m="1" x="1398"/>
        <item m="1" x="1720"/>
        <item sd="0" m="1" x="2728"/>
        <item sd="0" m="1" x="128"/>
        <item m="1" x="205"/>
        <item m="1" x="686"/>
        <item m="1" x="2622"/>
        <item m="1" x="1780"/>
        <item m="1" x="685"/>
        <item m="1" x="2416"/>
        <item m="1" x="2705"/>
        <item m="1" x="1333"/>
        <item m="1" x="1667"/>
        <item m="1" x="2136"/>
        <item m="1" x="1781"/>
        <item m="1" x="329"/>
        <item m="1" x="1724"/>
        <item m="1" x="206"/>
        <item m="1" x="153"/>
        <item m="1" x="2643"/>
        <item m="1" x="849"/>
        <item m="1" x="854"/>
        <item m="1" x="2631"/>
        <item m="1" x="471"/>
        <item m="1" x="2535"/>
        <item m="1" x="1902"/>
        <item m="1" x="722"/>
        <item m="1" x="540"/>
        <item m="1" x="2255"/>
        <item m="1" x="850"/>
        <item m="1" x="183"/>
        <item m="1" x="693"/>
        <item m="1" x="644"/>
        <item m="1" x="1726"/>
        <item m="1" x="967"/>
        <item sd="0" m="1" x="2117"/>
        <item m="1" x="397"/>
        <item m="1" x="1504"/>
        <item sd="0" x="40"/>
        <item sd="0" m="1" x="2729"/>
        <item m="1" x="1273"/>
        <item m="1" x="2536"/>
        <item m="1" x="2470"/>
        <item m="1" x="429"/>
        <item m="1" x="2537"/>
        <item m="1" x="2538"/>
        <item m="1" x="2569"/>
        <item m="1" x="2539"/>
        <item m="1" x="1460"/>
        <item m="1" x="2058"/>
        <item m="1" x="2540"/>
        <item m="1" x="942"/>
        <item m="1" x="2031"/>
        <item m="1" x="1597"/>
        <item m="1" x="2541"/>
        <item m="1" x="1325"/>
        <item m="1" x="2071"/>
        <item m="1" x="828"/>
        <item m="1" x="430"/>
        <item m="1" x="1356"/>
        <item m="1" x="1031"/>
        <item x="16"/>
        <item m="1" x="1957"/>
        <item m="1" x="1434"/>
        <item m="1" x="874"/>
        <item m="1" x="2542"/>
        <item m="1" x="2543"/>
        <item m="1" x="249"/>
        <item m="1" x="207"/>
        <item m="1" x="2544"/>
        <item m="1" x="2545"/>
        <item m="1" x="2137"/>
        <item m="1" x="2138"/>
        <item m="1" x="1002"/>
        <item m="1" x="134"/>
        <item m="1" x="1732"/>
        <item m="1" x="1326"/>
        <item m="1" x="155"/>
        <item m="1" x="211"/>
        <item m="1" x="1161"/>
        <item x="36"/>
        <item m="1" x="141"/>
        <item m="1" x="2548"/>
        <item m="1" x="508"/>
        <item m="1" x="930"/>
        <item m="1" x="571"/>
        <item m="1" x="2372"/>
        <item m="1" x="2357"/>
        <item m="1" x="241"/>
        <item m="1" x="1733"/>
        <item m="1" x="1734"/>
        <item m="1" x="431"/>
        <item m="1" x="851"/>
        <item m="1" x="2546"/>
        <item m="1" x="532"/>
        <item m="1" x="1521"/>
        <item m="1" x="1554"/>
        <item m="1" x="2547"/>
        <item m="1" x="1782"/>
        <item m="1" x="1903"/>
        <item m="1" x="2549"/>
        <item m="1" x="1735"/>
        <item m="1" x="1650"/>
        <item m="1" x="1736"/>
        <item m="1" x="2708"/>
        <item t="default" sd="0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4"/>
    <field x="0"/>
  </rowFields>
  <rowItems count="2">
    <i>
      <x v="762"/>
    </i>
    <i t="grand">
      <x/>
    </i>
  </rowItems>
  <colItems count="1">
    <i/>
  </colItems>
  <pageFields count="1">
    <pageField fld="3" hier="-1"/>
  </pageFields>
  <dataFields count="1">
    <dataField name="Total" fld="9" baseField="0" baseItem="0" numFmtId="44"/>
  </dataFields>
  <formats count="9">
    <format dxfId="30">
      <pivotArea collapsedLevelsAreSubtotals="1" fieldPosition="0">
        <references count="1">
          <reference field="4" count="1">
            <x v="275"/>
          </reference>
        </references>
      </pivotArea>
    </format>
    <format dxfId="29">
      <pivotArea collapsedLevelsAreSubtotals="1" fieldPosition="0">
        <references count="1">
          <reference field="4" count="1">
            <x v="664"/>
          </reference>
        </references>
      </pivotArea>
    </format>
    <format dxfId="28">
      <pivotArea collapsedLevelsAreSubtotals="1" fieldPosition="0">
        <references count="1">
          <reference field="4" count="1">
            <x v="789"/>
          </reference>
        </references>
      </pivotArea>
    </format>
    <format dxfId="27">
      <pivotArea collapsedLevelsAreSubtotals="1" fieldPosition="0">
        <references count="1">
          <reference field="4" count="1">
            <x v="1446"/>
          </reference>
        </references>
      </pivotArea>
    </format>
    <format dxfId="26">
      <pivotArea collapsedLevelsAreSubtotals="1" fieldPosition="0">
        <references count="1">
          <reference field="4" count="1">
            <x v="1688"/>
          </reference>
        </references>
      </pivotArea>
    </format>
    <format dxfId="25">
      <pivotArea collapsedLevelsAreSubtotals="1" fieldPosition="0">
        <references count="1">
          <reference field="4" count="1">
            <x v="1989"/>
          </reference>
        </references>
      </pivotArea>
    </format>
    <format dxfId="24">
      <pivotArea dataOnly="0" labelOnly="1" fieldPosition="0">
        <references count="1">
          <reference field="4" count="6">
            <x v="275"/>
            <x v="664"/>
            <x v="789"/>
            <x v="1446"/>
            <x v="1688"/>
            <x v="1989"/>
          </reference>
        </references>
      </pivotArea>
    </format>
    <format dxfId="23">
      <pivotArea field="4" type="button" dataOnly="0" labelOnly="1" outline="0" axis="axisRow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68" totalsRowShown="0">
  <autoFilter ref="A1:O68" xr:uid="{00000000-0009-0000-0100-000001000000}"/>
  <sortState xmlns:xlrd2="http://schemas.microsoft.com/office/spreadsheetml/2017/richdata2" ref="A2:O68">
    <sortCondition ref="L2:L68"/>
  </sortState>
  <tableColumns count="15">
    <tableColumn id="1" xr3:uid="{00000000-0010-0000-0000-000001000000}" name="Deal Name"/>
    <tableColumn id="2" xr3:uid="{00000000-0010-0000-0000-000002000000}" name="Deal ID"/>
    <tableColumn id="11" xr3:uid="{BCF9F5A0-EBBF-1A45-AE82-177043BC5C38}" name="Stage"/>
    <tableColumn id="5" xr3:uid="{00000000-0010-0000-0000-000005000000}" name="Ownership"/>
    <tableColumn id="3" xr3:uid="{00000000-0010-0000-0000-000003000000}" name="Company"/>
    <tableColumn id="4" xr3:uid="{00000000-0010-0000-0000-000004000000}" name="Company ID"/>
    <tableColumn id="8" xr3:uid="{00000000-0010-0000-0000-000008000000}" name="Estimated Close Date" dataDxfId="284"/>
    <tableColumn id="9" xr3:uid="{00000000-0010-0000-0000-000009000000}" name="Expected Install Date" dataDxfId="283"/>
    <tableColumn id="13" xr3:uid="{B0545F16-AFCF-6A4E-9876-FDD878216DF8}" name="Added On" dataDxfId="282"/>
    <tableColumn id="6" xr3:uid="{00000000-0010-0000-0000-000006000000}" name="Value" dataCellStyle="Currency"/>
    <tableColumn id="7" xr3:uid="{00000000-0010-0000-0000-000007000000}" name="Currency"/>
    <tableColumn id="12" xr3:uid="{332B1791-5C64-D64E-B0B7-73D0BD5955C3}" name="Win Likelihood" dataDxfId="281"/>
    <tableColumn id="10" xr3:uid="{00000000-0010-0000-0000-00000A000000}" name="Last Activity Date" dataDxfId="280"/>
    <tableColumn id="14" xr3:uid="{5303CEDA-4AA3-5D48-9609-3AB3D7CA4C10}" name="Activity"/>
    <tableColumn id="15" xr3:uid="{D730D1DB-52D0-2740-A805-E03433961582}" name="Account 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6DC238-9634-5049-BC9D-20E20E5F83C9}" name="Table2" displayName="Table2" ref="A1:O1003" totalsRowShown="0" headerRowDxfId="279" dataDxfId="278" tableBorderDxfId="277">
  <autoFilter ref="A1:O1003" xr:uid="{0E6DC238-9634-5049-BC9D-20E20E5F83C9}"/>
  <sortState xmlns:xlrd2="http://schemas.microsoft.com/office/spreadsheetml/2017/richdata2" ref="A2:O579">
    <sortCondition ref="B2:B579"/>
  </sortState>
  <tableColumns count="15">
    <tableColumn id="1" xr3:uid="{1C2856A1-6079-D744-BEF2-D40078B07A05}" name="Order #" dataDxfId="276"/>
    <tableColumn id="2" xr3:uid="{063D50AA-0D65-5D40-AF11-2B7B3330FBDB}" name="Customer Order Date" dataDxfId="275"/>
    <tableColumn id="3" xr3:uid="{ECEACDD1-7085-C34B-80C2-CF36DF1AD93A}" name="Customer" dataDxfId="274"/>
    <tableColumn id="4" xr3:uid="{147900F9-42AC-924A-AC25-B70AED7D7756}" name="Salesperson" dataDxfId="273"/>
    <tableColumn id="5" xr3:uid="{500FD2C0-9270-8F4B-8309-B0189FE80370}" name="Company" dataDxfId="272"/>
    <tableColumn id="6" xr3:uid="{30751FDD-82C0-3C42-AC7E-699403E0CC09}" name="New Sell" dataDxfId="271" dataCellStyle="Currency"/>
    <tableColumn id="7" xr3:uid="{5ED7A34C-EACE-2246-A84E-F97C262B6158}" name="Adj Sell" dataDxfId="270" dataCellStyle="Currency"/>
    <tableColumn id="8" xr3:uid="{A3ED57B0-6849-2B43-A7B2-3F0A22940C90}" name="Total Sell" dataDxfId="269" dataCellStyle="Currency"/>
    <tableColumn id="9" xr3:uid="{7C1E68D2-C9ED-3049-9A2E-014E2FCB1DC8}" name="Total Cost" dataDxfId="268" dataCellStyle="Currency"/>
    <tableColumn id="10" xr3:uid="{CAC897AC-FA54-8947-BB57-269D16562D5C}" name="GP" dataDxfId="267" dataCellStyle="Currency"/>
    <tableColumn id="11" xr3:uid="{D71C1415-CAB9-3341-8B23-828E758AD799}" name="GP %" dataDxfId="266"/>
    <tableColumn id="12" xr3:uid="{5ACD0AC6-DA90-694B-84CB-9C516D898C25}" name="Account Manager" dataDxfId="265"/>
    <tableColumn id="13" xr3:uid="{7082169A-CF84-4242-ADA3-5E5CEBD80B8E}" name="Director" dataDxfId="264"/>
    <tableColumn id="14" xr3:uid="{67AA3355-E216-604B-B496-8CB3F4D30152}" name="AM" dataDxfId="263"/>
    <tableColumn id="15" xr3:uid="{CEB7C93C-DC7F-6842-9503-52510ECC0BA0}" name="Transaction" dataDxfId="262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2.xml"/><Relationship Id="rId1" Type="http://schemas.openxmlformats.org/officeDocument/2006/relationships/pivotTable" Target="../pivotTables/pivotTable2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4.xml"/><Relationship Id="rId1" Type="http://schemas.openxmlformats.org/officeDocument/2006/relationships/pivotTable" Target="../pivotTables/pivotTable2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6.xml"/><Relationship Id="rId1" Type="http://schemas.openxmlformats.org/officeDocument/2006/relationships/pivotTable" Target="../pivotTables/pivotTable2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8.xml"/><Relationship Id="rId1" Type="http://schemas.openxmlformats.org/officeDocument/2006/relationships/pivotTable" Target="../pivotTables/pivotTable27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0.xml"/><Relationship Id="rId1" Type="http://schemas.openxmlformats.org/officeDocument/2006/relationships/pivotTable" Target="../pivotTables/pivotTable29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2.xml"/><Relationship Id="rId1" Type="http://schemas.openxmlformats.org/officeDocument/2006/relationships/pivotTable" Target="../pivotTables/pivotTable31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4.xml"/><Relationship Id="rId1" Type="http://schemas.openxmlformats.org/officeDocument/2006/relationships/pivotTable" Target="../pivotTables/pivotTable33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6.xml"/><Relationship Id="rId1" Type="http://schemas.openxmlformats.org/officeDocument/2006/relationships/pivotTable" Target="../pivotTables/pivotTable35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8.xml"/><Relationship Id="rId1" Type="http://schemas.openxmlformats.org/officeDocument/2006/relationships/pivotTable" Target="../pivotTables/pivotTable37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0.xml"/><Relationship Id="rId1" Type="http://schemas.openxmlformats.org/officeDocument/2006/relationships/pivotTable" Target="../pivotTables/pivotTable39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2.xml"/><Relationship Id="rId1" Type="http://schemas.openxmlformats.org/officeDocument/2006/relationships/pivotTable" Target="../pivotTables/pivotTable4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4.xml"/><Relationship Id="rId1" Type="http://schemas.openxmlformats.org/officeDocument/2006/relationships/pivotTable" Target="../pivotTables/pivotTable43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6.xml"/><Relationship Id="rId1" Type="http://schemas.openxmlformats.org/officeDocument/2006/relationships/pivotTable" Target="../pivotTables/pivotTable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06CE2-41C5-D84E-A030-EF72A082412F}">
  <dimension ref="A1:G147"/>
  <sheetViews>
    <sheetView tabSelected="1" zoomScale="150" workbookViewId="0">
      <pane ySplit="2" topLeftCell="A3" activePane="bottomLeft" state="frozen"/>
      <selection activeCell="B15" sqref="B15"/>
      <selection pane="bottomLeft" activeCell="A16" sqref="A5:A51"/>
      <pivotSelection pane="topRight" showHeader="1" axis="axisRow" activeRow="15" previousRow="15" click="1" r:id="rId1">
        <pivotArea dataOnly="0" labelOnly="1" fieldPosition="0">
          <references count="1">
            <reference field="4" count="0"/>
          </references>
        </pivotArea>
      </pivotSelection>
    </sheetView>
  </sheetViews>
  <sheetFormatPr baseColWidth="10" defaultRowHeight="16" x14ac:dyDescent="0.2"/>
  <cols>
    <col min="1" max="1" width="50.83203125" customWidth="1"/>
    <col min="2" max="2" width="17.6640625" bestFit="1" customWidth="1"/>
    <col min="3" max="3" width="15.6640625" bestFit="1" customWidth="1"/>
    <col min="4" max="4" width="50.83203125" customWidth="1"/>
    <col min="5" max="5" width="15" bestFit="1" customWidth="1"/>
  </cols>
  <sheetData>
    <row r="1" spans="1:7" x14ac:dyDescent="0.2">
      <c r="A1" s="28" t="str">
        <f>CONCATENATE(G1," Zendesk Forecast")</f>
        <v>August Zendesk Forecast</v>
      </c>
      <c r="B1" s="28"/>
      <c r="D1" s="28" t="str">
        <f>CONCATENATE($G$1," Orders Booked")</f>
        <v>August Orders Booked</v>
      </c>
      <c r="E1" s="28"/>
      <c r="G1" s="21" t="s">
        <v>189</v>
      </c>
    </row>
    <row r="2" spans="1:7" s="20" customFormat="1" x14ac:dyDescent="0.2">
      <c r="A2" s="19" t="s">
        <v>22</v>
      </c>
      <c r="B2" t="s">
        <v>41</v>
      </c>
      <c r="D2" s="1" t="s">
        <v>26</v>
      </c>
      <c r="E2" t="s">
        <v>41</v>
      </c>
    </row>
    <row r="3" spans="1:7" x14ac:dyDescent="0.2">
      <c r="A3" s="24" t="s">
        <v>42</v>
      </c>
      <c r="B3" s="25">
        <f>GETPIVOTDATA("Value",$A$4)</f>
        <v>17232861</v>
      </c>
      <c r="C3" s="26">
        <f>E3-B3</f>
        <v>-2827690.1499999966</v>
      </c>
      <c r="D3" s="24" t="s">
        <v>42</v>
      </c>
      <c r="E3" s="25">
        <f>GETPIVOTDATA("Total Sell",$D$4)</f>
        <v>14405170.850000003</v>
      </c>
    </row>
    <row r="4" spans="1:7" s="20" customFormat="1" x14ac:dyDescent="0.2">
      <c r="A4" s="19" t="s">
        <v>37</v>
      </c>
      <c r="B4" s="20" t="s">
        <v>42</v>
      </c>
      <c r="D4" s="19" t="s">
        <v>37</v>
      </c>
      <c r="E4" s="20" t="s">
        <v>42</v>
      </c>
      <c r="F4"/>
    </row>
    <row r="5" spans="1:7" x14ac:dyDescent="0.2">
      <c r="A5" s="2" t="s">
        <v>110</v>
      </c>
      <c r="B5" s="3">
        <v>170000</v>
      </c>
      <c r="D5" s="2" t="s">
        <v>191</v>
      </c>
      <c r="E5" s="3">
        <v>2040</v>
      </c>
    </row>
    <row r="6" spans="1:7" x14ac:dyDescent="0.2">
      <c r="A6" s="2" t="s">
        <v>133</v>
      </c>
      <c r="B6" s="3">
        <v>230000</v>
      </c>
      <c r="D6" s="2" t="s">
        <v>196</v>
      </c>
      <c r="E6" s="3">
        <v>6786</v>
      </c>
    </row>
    <row r="7" spans="1:7" x14ac:dyDescent="0.2">
      <c r="A7" s="2" t="s">
        <v>108</v>
      </c>
      <c r="B7" s="3">
        <v>15000</v>
      </c>
      <c r="D7" s="2" t="s">
        <v>110</v>
      </c>
      <c r="E7" s="3">
        <v>239653.77000000002</v>
      </c>
    </row>
    <row r="8" spans="1:7" x14ac:dyDescent="0.2">
      <c r="A8" s="2" t="s">
        <v>63</v>
      </c>
      <c r="B8" s="3">
        <v>339740</v>
      </c>
      <c r="D8" s="2" t="s">
        <v>215</v>
      </c>
      <c r="E8" s="3">
        <v>13990</v>
      </c>
    </row>
    <row r="9" spans="1:7" x14ac:dyDescent="0.2">
      <c r="A9" s="2" t="s">
        <v>128</v>
      </c>
      <c r="B9" s="3">
        <v>1500000</v>
      </c>
      <c r="D9" s="2" t="s">
        <v>219</v>
      </c>
      <c r="E9" s="3">
        <v>645.14</v>
      </c>
    </row>
    <row r="10" spans="1:7" x14ac:dyDescent="0.2">
      <c r="A10" s="2" t="s">
        <v>117</v>
      </c>
      <c r="B10" s="3">
        <v>125000</v>
      </c>
      <c r="D10" s="2" t="s">
        <v>221</v>
      </c>
      <c r="E10" s="3">
        <v>9316.19</v>
      </c>
    </row>
    <row r="11" spans="1:7" x14ac:dyDescent="0.2">
      <c r="A11" s="2" t="s">
        <v>67</v>
      </c>
      <c r="B11" s="3">
        <v>85000</v>
      </c>
      <c r="D11" s="2" t="s">
        <v>236</v>
      </c>
      <c r="E11" s="3">
        <v>4723.32</v>
      </c>
    </row>
    <row r="12" spans="1:7" x14ac:dyDescent="0.2">
      <c r="A12" s="2" t="s">
        <v>58</v>
      </c>
      <c r="B12" s="3">
        <v>30000</v>
      </c>
      <c r="D12" s="2" t="s">
        <v>240</v>
      </c>
      <c r="E12" s="3">
        <v>5770</v>
      </c>
    </row>
    <row r="13" spans="1:7" x14ac:dyDescent="0.2">
      <c r="A13" s="2" t="s">
        <v>59</v>
      </c>
      <c r="B13" s="3">
        <v>6000</v>
      </c>
      <c r="D13" s="2" t="s">
        <v>245</v>
      </c>
      <c r="E13" s="3">
        <v>10240.14</v>
      </c>
    </row>
    <row r="14" spans="1:7" x14ac:dyDescent="0.2">
      <c r="A14" s="2" t="s">
        <v>149</v>
      </c>
      <c r="B14" s="3">
        <v>40000</v>
      </c>
      <c r="D14" s="2" t="s">
        <v>249</v>
      </c>
      <c r="E14" s="3">
        <v>-1316.41</v>
      </c>
    </row>
    <row r="15" spans="1:7" x14ac:dyDescent="0.2">
      <c r="A15" s="2" t="s">
        <v>14</v>
      </c>
      <c r="B15" s="3">
        <v>90000</v>
      </c>
      <c r="D15" s="2" t="s">
        <v>253</v>
      </c>
      <c r="E15" s="3">
        <v>39195.39</v>
      </c>
    </row>
    <row r="16" spans="1:7" x14ac:dyDescent="0.2">
      <c r="A16" s="2" t="s">
        <v>148</v>
      </c>
      <c r="B16" s="3">
        <v>60000</v>
      </c>
      <c r="D16" s="2" t="s">
        <v>259</v>
      </c>
      <c r="E16" s="3">
        <v>15018.3</v>
      </c>
    </row>
    <row r="17" spans="1:5" x14ac:dyDescent="0.2">
      <c r="A17" s="2" t="s">
        <v>49</v>
      </c>
      <c r="B17" s="3">
        <v>57000</v>
      </c>
      <c r="D17" s="2" t="s">
        <v>262</v>
      </c>
      <c r="E17" s="3">
        <v>65949.8</v>
      </c>
    </row>
    <row r="18" spans="1:5" x14ac:dyDescent="0.2">
      <c r="A18" s="2" t="s">
        <v>160</v>
      </c>
      <c r="B18" s="3">
        <v>150000</v>
      </c>
      <c r="D18" s="2" t="s">
        <v>267</v>
      </c>
      <c r="E18" s="3">
        <v>16708.48</v>
      </c>
    </row>
    <row r="19" spans="1:5" x14ac:dyDescent="0.2">
      <c r="A19" s="2" t="s">
        <v>115</v>
      </c>
      <c r="B19" s="3">
        <v>150000</v>
      </c>
      <c r="D19" s="2" t="s">
        <v>273</v>
      </c>
      <c r="E19" s="3">
        <v>2356.15</v>
      </c>
    </row>
    <row r="20" spans="1:5" x14ac:dyDescent="0.2">
      <c r="A20" s="2" t="s">
        <v>121</v>
      </c>
      <c r="B20" s="3">
        <v>250264</v>
      </c>
      <c r="D20" s="2" t="s">
        <v>275</v>
      </c>
      <c r="E20" s="3">
        <v>66450.049999999988</v>
      </c>
    </row>
    <row r="21" spans="1:5" x14ac:dyDescent="0.2">
      <c r="A21" s="2" t="s">
        <v>80</v>
      </c>
      <c r="B21" s="3">
        <v>85000</v>
      </c>
      <c r="D21" s="2" t="s">
        <v>280</v>
      </c>
      <c r="E21" s="3">
        <v>660</v>
      </c>
    </row>
    <row r="22" spans="1:5" x14ac:dyDescent="0.2">
      <c r="A22" s="2" t="s">
        <v>88</v>
      </c>
      <c r="B22" s="3">
        <v>1500000</v>
      </c>
      <c r="D22" s="2" t="s">
        <v>284</v>
      </c>
      <c r="E22" s="3">
        <v>15589.85</v>
      </c>
    </row>
    <row r="23" spans="1:5" x14ac:dyDescent="0.2">
      <c r="A23" s="2" t="s">
        <v>44</v>
      </c>
      <c r="B23" s="3">
        <v>570000</v>
      </c>
      <c r="D23" s="2" t="s">
        <v>286</v>
      </c>
      <c r="E23" s="3">
        <v>731</v>
      </c>
    </row>
    <row r="24" spans="1:5" x14ac:dyDescent="0.2">
      <c r="A24" s="2" t="s">
        <v>62</v>
      </c>
      <c r="B24" s="3">
        <v>110000</v>
      </c>
      <c r="D24" s="2" t="s">
        <v>288</v>
      </c>
      <c r="E24" s="3">
        <v>2898.25</v>
      </c>
    </row>
    <row r="25" spans="1:5" x14ac:dyDescent="0.2">
      <c r="A25" s="2" t="s">
        <v>60</v>
      </c>
      <c r="B25" s="3">
        <v>60000</v>
      </c>
      <c r="D25" s="2" t="s">
        <v>292</v>
      </c>
      <c r="E25" s="3">
        <v>8570</v>
      </c>
    </row>
    <row r="26" spans="1:5" x14ac:dyDescent="0.2">
      <c r="A26" s="2" t="s">
        <v>74</v>
      </c>
      <c r="B26" s="3">
        <v>25000</v>
      </c>
      <c r="D26" s="2" t="s">
        <v>294</v>
      </c>
      <c r="E26" s="3">
        <v>3240</v>
      </c>
    </row>
    <row r="27" spans="1:5" x14ac:dyDescent="0.2">
      <c r="A27" s="2" t="s">
        <v>137</v>
      </c>
      <c r="B27" s="3">
        <v>35307</v>
      </c>
      <c r="D27" s="2" t="s">
        <v>296</v>
      </c>
      <c r="E27" s="3">
        <v>206957.95</v>
      </c>
    </row>
    <row r="28" spans="1:5" x14ac:dyDescent="0.2">
      <c r="A28" s="2" t="s">
        <v>170</v>
      </c>
      <c r="B28" s="3">
        <v>200000</v>
      </c>
      <c r="D28" s="2" t="s">
        <v>299</v>
      </c>
      <c r="E28" s="3">
        <v>1048</v>
      </c>
    </row>
    <row r="29" spans="1:5" x14ac:dyDescent="0.2">
      <c r="A29" s="2" t="s">
        <v>64</v>
      </c>
      <c r="B29" s="3">
        <v>40000</v>
      </c>
      <c r="D29" s="2" t="s">
        <v>309</v>
      </c>
      <c r="E29" s="3">
        <v>138107.74</v>
      </c>
    </row>
    <row r="30" spans="1:5" x14ac:dyDescent="0.2">
      <c r="A30" s="2" t="s">
        <v>184</v>
      </c>
      <c r="B30" s="3">
        <v>250000</v>
      </c>
      <c r="D30" s="2" t="s">
        <v>311</v>
      </c>
      <c r="E30" s="3">
        <v>957.5</v>
      </c>
    </row>
    <row r="31" spans="1:5" x14ac:dyDescent="0.2">
      <c r="A31" s="2" t="s">
        <v>112</v>
      </c>
      <c r="B31" s="3">
        <v>60000</v>
      </c>
      <c r="D31" s="2" t="s">
        <v>67</v>
      </c>
      <c r="E31" s="3">
        <v>84548.73000000001</v>
      </c>
    </row>
    <row r="32" spans="1:5" x14ac:dyDescent="0.2">
      <c r="A32" s="2" t="s">
        <v>77</v>
      </c>
      <c r="B32" s="3">
        <v>35000</v>
      </c>
      <c r="D32" s="2" t="s">
        <v>321</v>
      </c>
      <c r="E32" s="3">
        <v>76966.47</v>
      </c>
    </row>
    <row r="33" spans="1:5" x14ac:dyDescent="0.2">
      <c r="A33" s="2" t="s">
        <v>135</v>
      </c>
      <c r="B33" s="3">
        <v>53000</v>
      </c>
      <c r="D33" s="2" t="s">
        <v>325</v>
      </c>
      <c r="E33" s="3">
        <v>-900</v>
      </c>
    </row>
    <row r="34" spans="1:5" x14ac:dyDescent="0.2">
      <c r="A34" s="2" t="s">
        <v>54</v>
      </c>
      <c r="B34" s="3">
        <v>365000</v>
      </c>
      <c r="D34" s="2" t="s">
        <v>327</v>
      </c>
      <c r="E34" s="3">
        <v>92488.31</v>
      </c>
    </row>
    <row r="35" spans="1:5" x14ac:dyDescent="0.2">
      <c r="A35" s="2" t="s">
        <v>119</v>
      </c>
      <c r="B35" s="3">
        <v>75000</v>
      </c>
      <c r="D35" s="2" t="s">
        <v>332</v>
      </c>
      <c r="E35" s="3">
        <v>13362.150000000001</v>
      </c>
    </row>
    <row r="36" spans="1:5" x14ac:dyDescent="0.2">
      <c r="A36" s="2" t="s">
        <v>103</v>
      </c>
      <c r="B36" s="3">
        <v>4419000</v>
      </c>
      <c r="D36" s="2" t="s">
        <v>337</v>
      </c>
      <c r="E36" s="3">
        <v>348.62</v>
      </c>
    </row>
    <row r="37" spans="1:5" x14ac:dyDescent="0.2">
      <c r="A37" s="2" t="s">
        <v>68</v>
      </c>
      <c r="B37" s="3">
        <v>4500000</v>
      </c>
      <c r="D37" s="2" t="s">
        <v>343</v>
      </c>
      <c r="E37" s="3">
        <v>12469.54</v>
      </c>
    </row>
    <row r="38" spans="1:5" x14ac:dyDescent="0.2">
      <c r="A38" s="2" t="s">
        <v>53</v>
      </c>
      <c r="B38" s="3">
        <v>16000</v>
      </c>
      <c r="D38" s="2" t="s">
        <v>14</v>
      </c>
      <c r="E38" s="3">
        <v>44479.950000000004</v>
      </c>
    </row>
    <row r="39" spans="1:5" x14ac:dyDescent="0.2">
      <c r="A39" s="2" t="s">
        <v>99</v>
      </c>
      <c r="B39" s="3">
        <v>50000</v>
      </c>
      <c r="D39" s="2" t="s">
        <v>373</v>
      </c>
      <c r="E39" s="3">
        <v>1650</v>
      </c>
    </row>
    <row r="40" spans="1:5" x14ac:dyDescent="0.2">
      <c r="A40" s="2" t="s">
        <v>142</v>
      </c>
      <c r="B40" s="3">
        <v>11000</v>
      </c>
      <c r="D40" s="2" t="s">
        <v>378</v>
      </c>
      <c r="E40" s="3">
        <v>9670.0400000000009</v>
      </c>
    </row>
    <row r="41" spans="1:5" x14ac:dyDescent="0.2">
      <c r="A41" s="2" t="s">
        <v>36</v>
      </c>
      <c r="B41" s="3">
        <v>21995</v>
      </c>
      <c r="D41" s="2" t="s">
        <v>383</v>
      </c>
      <c r="E41" s="3">
        <v>75</v>
      </c>
    </row>
    <row r="42" spans="1:5" x14ac:dyDescent="0.2">
      <c r="A42" s="2" t="s">
        <v>17</v>
      </c>
      <c r="B42" s="3">
        <v>182555</v>
      </c>
      <c r="D42" s="2" t="s">
        <v>388</v>
      </c>
      <c r="E42" s="3">
        <v>7157.3099999999995</v>
      </c>
    </row>
    <row r="43" spans="1:5" x14ac:dyDescent="0.2">
      <c r="A43" s="2" t="s">
        <v>147</v>
      </c>
      <c r="B43" s="3">
        <v>90000</v>
      </c>
      <c r="D43" s="2" t="s">
        <v>392</v>
      </c>
      <c r="E43" s="3">
        <v>2258.1</v>
      </c>
    </row>
    <row r="44" spans="1:5" x14ac:dyDescent="0.2">
      <c r="A44" s="2" t="s">
        <v>175</v>
      </c>
      <c r="B44" s="3">
        <v>96000</v>
      </c>
      <c r="D44" s="2" t="s">
        <v>395</v>
      </c>
      <c r="E44" s="3">
        <v>2105</v>
      </c>
    </row>
    <row r="45" spans="1:5" x14ac:dyDescent="0.2">
      <c r="A45" s="2" t="s">
        <v>172</v>
      </c>
      <c r="B45" s="3">
        <v>350000</v>
      </c>
      <c r="D45" s="2" t="s">
        <v>398</v>
      </c>
      <c r="E45" s="3">
        <v>35848.479999999996</v>
      </c>
    </row>
    <row r="46" spans="1:5" x14ac:dyDescent="0.2">
      <c r="A46" s="2" t="s">
        <v>129</v>
      </c>
      <c r="B46" s="3">
        <v>365000</v>
      </c>
      <c r="D46" s="2" t="s">
        <v>49</v>
      </c>
      <c r="E46" s="3">
        <v>60049.409999999996</v>
      </c>
    </row>
    <row r="47" spans="1:5" x14ac:dyDescent="0.2">
      <c r="A47" s="2" t="s">
        <v>71</v>
      </c>
      <c r="B47" s="3">
        <v>30000</v>
      </c>
      <c r="D47" s="2" t="s">
        <v>409</v>
      </c>
      <c r="E47" s="3">
        <v>282743.86</v>
      </c>
    </row>
    <row r="48" spans="1:5" x14ac:dyDescent="0.2">
      <c r="A48" s="2" t="s">
        <v>90</v>
      </c>
      <c r="B48" s="3">
        <v>163000</v>
      </c>
      <c r="D48" s="2" t="s">
        <v>418</v>
      </c>
      <c r="E48" s="3">
        <v>5513.49</v>
      </c>
    </row>
    <row r="49" spans="1:5" x14ac:dyDescent="0.2">
      <c r="A49" s="2" t="s">
        <v>51</v>
      </c>
      <c r="B49" s="3">
        <v>130000</v>
      </c>
      <c r="D49" s="2" t="s">
        <v>423</v>
      </c>
      <c r="E49" s="3">
        <v>1404.71</v>
      </c>
    </row>
    <row r="50" spans="1:5" x14ac:dyDescent="0.2">
      <c r="A50" s="2" t="s">
        <v>95</v>
      </c>
      <c r="B50" s="3">
        <v>5000</v>
      </c>
      <c r="D50" s="2" t="s">
        <v>425</v>
      </c>
      <c r="E50" s="3">
        <v>76740.02</v>
      </c>
    </row>
    <row r="51" spans="1:5" x14ac:dyDescent="0.2">
      <c r="A51" s="2" t="s">
        <v>151</v>
      </c>
      <c r="B51" s="3">
        <v>42000</v>
      </c>
      <c r="D51" s="2" t="s">
        <v>430</v>
      </c>
      <c r="E51" s="3">
        <v>2171.69</v>
      </c>
    </row>
    <row r="52" spans="1:5" x14ac:dyDescent="0.2">
      <c r="A52" s="2" t="s">
        <v>21</v>
      </c>
      <c r="B52" s="3">
        <v>17232861</v>
      </c>
      <c r="D52" s="2" t="s">
        <v>432</v>
      </c>
      <c r="E52" s="3">
        <v>1450</v>
      </c>
    </row>
    <row r="53" spans="1:5" x14ac:dyDescent="0.2">
      <c r="D53" s="2" t="s">
        <v>434</v>
      </c>
      <c r="E53" s="3">
        <v>752.24</v>
      </c>
    </row>
    <row r="54" spans="1:5" x14ac:dyDescent="0.2">
      <c r="D54" s="2" t="s">
        <v>115</v>
      </c>
      <c r="E54" s="3">
        <v>174857.43</v>
      </c>
    </row>
    <row r="55" spans="1:5" x14ac:dyDescent="0.2">
      <c r="D55" s="2" t="s">
        <v>443</v>
      </c>
      <c r="E55" s="3">
        <v>3610</v>
      </c>
    </row>
    <row r="56" spans="1:5" x14ac:dyDescent="0.2">
      <c r="D56" s="2" t="s">
        <v>449</v>
      </c>
      <c r="E56" s="3">
        <v>1811.32</v>
      </c>
    </row>
    <row r="57" spans="1:5" x14ac:dyDescent="0.2">
      <c r="D57" s="2" t="s">
        <v>452</v>
      </c>
      <c r="E57" s="3">
        <v>-756</v>
      </c>
    </row>
    <row r="58" spans="1:5" x14ac:dyDescent="0.2">
      <c r="D58" s="2" t="s">
        <v>454</v>
      </c>
      <c r="E58" s="3">
        <v>-2255.0400000000009</v>
      </c>
    </row>
    <row r="59" spans="1:5" x14ac:dyDescent="0.2">
      <c r="D59" s="2" t="s">
        <v>459</v>
      </c>
      <c r="E59" s="3">
        <v>714362.25</v>
      </c>
    </row>
    <row r="60" spans="1:5" x14ac:dyDescent="0.2">
      <c r="D60" s="2" t="s">
        <v>471</v>
      </c>
      <c r="E60" s="3">
        <v>627.45000000000005</v>
      </c>
    </row>
    <row r="61" spans="1:5" x14ac:dyDescent="0.2">
      <c r="D61" s="2" t="s">
        <v>474</v>
      </c>
      <c r="E61" s="3">
        <v>374089.85</v>
      </c>
    </row>
    <row r="62" spans="1:5" x14ac:dyDescent="0.2">
      <c r="D62" s="2" t="s">
        <v>479</v>
      </c>
      <c r="E62" s="3">
        <v>7154.4</v>
      </c>
    </row>
    <row r="63" spans="1:5" x14ac:dyDescent="0.2">
      <c r="D63" s="2" t="s">
        <v>483</v>
      </c>
      <c r="E63" s="3">
        <v>43.96</v>
      </c>
    </row>
    <row r="64" spans="1:5" x14ac:dyDescent="0.2">
      <c r="D64" s="2" t="s">
        <v>485</v>
      </c>
      <c r="E64" s="3">
        <v>89456.94</v>
      </c>
    </row>
    <row r="65" spans="4:5" x14ac:dyDescent="0.2">
      <c r="D65" s="2" t="s">
        <v>489</v>
      </c>
      <c r="E65" s="3">
        <v>1230.25</v>
      </c>
    </row>
    <row r="66" spans="4:5" x14ac:dyDescent="0.2">
      <c r="D66" s="2" t="s">
        <v>493</v>
      </c>
      <c r="E66" s="3">
        <v>880</v>
      </c>
    </row>
    <row r="67" spans="4:5" x14ac:dyDescent="0.2">
      <c r="D67" s="2" t="s">
        <v>496</v>
      </c>
      <c r="E67" s="3">
        <v>2638.41</v>
      </c>
    </row>
    <row r="68" spans="4:5" x14ac:dyDescent="0.2">
      <c r="D68" s="2" t="s">
        <v>500</v>
      </c>
      <c r="E68" s="3">
        <v>142037.47999999995</v>
      </c>
    </row>
    <row r="69" spans="4:5" x14ac:dyDescent="0.2">
      <c r="D69" s="2" t="s">
        <v>646</v>
      </c>
      <c r="E69" s="3">
        <v>828699.10999999987</v>
      </c>
    </row>
    <row r="70" spans="4:5" x14ac:dyDescent="0.2">
      <c r="D70" s="2" t="s">
        <v>698</v>
      </c>
      <c r="E70" s="3">
        <v>6190.17</v>
      </c>
    </row>
    <row r="71" spans="4:5" x14ac:dyDescent="0.2">
      <c r="D71" s="2" t="s">
        <v>701</v>
      </c>
      <c r="E71" s="3">
        <v>46207.43</v>
      </c>
    </row>
    <row r="72" spans="4:5" x14ac:dyDescent="0.2">
      <c r="D72" s="2" t="s">
        <v>703</v>
      </c>
      <c r="E72" s="3">
        <v>882.38</v>
      </c>
    </row>
    <row r="73" spans="4:5" x14ac:dyDescent="0.2">
      <c r="D73" s="2" t="s">
        <v>705</v>
      </c>
      <c r="E73" s="3">
        <v>240791</v>
      </c>
    </row>
    <row r="74" spans="4:5" x14ac:dyDescent="0.2">
      <c r="D74" s="2" t="s">
        <v>707</v>
      </c>
      <c r="E74" s="3">
        <v>132857.81</v>
      </c>
    </row>
    <row r="75" spans="4:5" x14ac:dyDescent="0.2">
      <c r="D75" s="2" t="s">
        <v>60</v>
      </c>
      <c r="E75" s="3">
        <v>2510</v>
      </c>
    </row>
    <row r="76" spans="4:5" x14ac:dyDescent="0.2">
      <c r="D76" s="2" t="s">
        <v>721</v>
      </c>
      <c r="E76" s="3">
        <v>179.19</v>
      </c>
    </row>
    <row r="77" spans="4:5" x14ac:dyDescent="0.2">
      <c r="D77" s="2" t="s">
        <v>723</v>
      </c>
      <c r="E77" s="3">
        <v>13218.18</v>
      </c>
    </row>
    <row r="78" spans="4:5" x14ac:dyDescent="0.2">
      <c r="D78" s="2" t="s">
        <v>726</v>
      </c>
      <c r="E78" s="3">
        <v>-45146.03</v>
      </c>
    </row>
    <row r="79" spans="4:5" x14ac:dyDescent="0.2">
      <c r="D79" s="2" t="s">
        <v>733</v>
      </c>
      <c r="E79" s="3">
        <v>45788.929999999993</v>
      </c>
    </row>
    <row r="80" spans="4:5" x14ac:dyDescent="0.2">
      <c r="D80" s="2" t="s">
        <v>752</v>
      </c>
      <c r="E80" s="3">
        <v>318.20999999999998</v>
      </c>
    </row>
    <row r="81" spans="4:5" x14ac:dyDescent="0.2">
      <c r="D81" s="2" t="s">
        <v>757</v>
      </c>
      <c r="E81" s="3">
        <v>460048</v>
      </c>
    </row>
    <row r="82" spans="4:5" x14ac:dyDescent="0.2">
      <c r="D82" s="2" t="s">
        <v>761</v>
      </c>
      <c r="E82" s="3">
        <v>69.5</v>
      </c>
    </row>
    <row r="83" spans="4:5" x14ac:dyDescent="0.2">
      <c r="D83" s="2" t="s">
        <v>763</v>
      </c>
      <c r="E83" s="3">
        <v>869.44</v>
      </c>
    </row>
    <row r="84" spans="4:5" x14ac:dyDescent="0.2">
      <c r="D84" s="2" t="s">
        <v>384</v>
      </c>
      <c r="E84" s="3">
        <v>180</v>
      </c>
    </row>
    <row r="85" spans="4:5" x14ac:dyDescent="0.2">
      <c r="D85" s="2" t="s">
        <v>169</v>
      </c>
      <c r="E85" s="3">
        <v>288113.87</v>
      </c>
    </row>
    <row r="86" spans="4:5" x14ac:dyDescent="0.2">
      <c r="D86" s="2" t="s">
        <v>772</v>
      </c>
      <c r="E86" s="3">
        <v>4862.87</v>
      </c>
    </row>
    <row r="87" spans="4:5" x14ac:dyDescent="0.2">
      <c r="D87" s="2" t="s">
        <v>776</v>
      </c>
      <c r="E87" s="3">
        <v>550.73</v>
      </c>
    </row>
    <row r="88" spans="4:5" x14ac:dyDescent="0.2">
      <c r="D88" s="2" t="s">
        <v>778</v>
      </c>
      <c r="E88" s="3">
        <v>-135</v>
      </c>
    </row>
    <row r="89" spans="4:5" x14ac:dyDescent="0.2">
      <c r="D89" s="2" t="s">
        <v>781</v>
      </c>
      <c r="E89" s="3">
        <v>55283</v>
      </c>
    </row>
    <row r="90" spans="4:5" x14ac:dyDescent="0.2">
      <c r="D90" s="2" t="s">
        <v>787</v>
      </c>
      <c r="E90" s="3">
        <v>19.86</v>
      </c>
    </row>
    <row r="91" spans="4:5" x14ac:dyDescent="0.2">
      <c r="D91" s="2" t="s">
        <v>789</v>
      </c>
      <c r="E91" s="3">
        <v>326.24</v>
      </c>
    </row>
    <row r="92" spans="4:5" x14ac:dyDescent="0.2">
      <c r="D92" s="2" t="s">
        <v>791</v>
      </c>
      <c r="E92" s="3">
        <v>4234.97</v>
      </c>
    </row>
    <row r="93" spans="4:5" x14ac:dyDescent="0.2">
      <c r="D93" s="2" t="s">
        <v>796</v>
      </c>
      <c r="E93" s="3">
        <v>3976.74</v>
      </c>
    </row>
    <row r="94" spans="4:5" x14ac:dyDescent="0.2">
      <c r="D94" s="2" t="s">
        <v>798</v>
      </c>
      <c r="E94" s="3">
        <v>90053.08</v>
      </c>
    </row>
    <row r="95" spans="4:5" x14ac:dyDescent="0.2">
      <c r="D95" s="2" t="s">
        <v>19</v>
      </c>
      <c r="E95" s="3">
        <v>1500</v>
      </c>
    </row>
    <row r="96" spans="4:5" x14ac:dyDescent="0.2">
      <c r="D96" s="2" t="s">
        <v>818</v>
      </c>
      <c r="E96" s="3">
        <v>-417</v>
      </c>
    </row>
    <row r="97" spans="4:5" x14ac:dyDescent="0.2">
      <c r="D97" s="2" t="s">
        <v>820</v>
      </c>
      <c r="E97" s="3">
        <v>4665</v>
      </c>
    </row>
    <row r="98" spans="4:5" x14ac:dyDescent="0.2">
      <c r="D98" s="2" t="s">
        <v>257</v>
      </c>
      <c r="E98" s="3">
        <v>250.8</v>
      </c>
    </row>
    <row r="99" spans="4:5" x14ac:dyDescent="0.2">
      <c r="D99" s="2" t="s">
        <v>828</v>
      </c>
      <c r="E99" s="3">
        <v>264</v>
      </c>
    </row>
    <row r="100" spans="4:5" x14ac:dyDescent="0.2">
      <c r="D100" s="2" t="s">
        <v>833</v>
      </c>
      <c r="E100" s="3">
        <v>1726.72</v>
      </c>
    </row>
    <row r="101" spans="4:5" x14ac:dyDescent="0.2">
      <c r="D101" s="2" t="s">
        <v>843</v>
      </c>
      <c r="E101" s="3">
        <v>-405</v>
      </c>
    </row>
    <row r="102" spans="4:5" x14ac:dyDescent="0.2">
      <c r="D102" s="2" t="s">
        <v>112</v>
      </c>
      <c r="E102" s="3">
        <v>15932.94</v>
      </c>
    </row>
    <row r="103" spans="4:5" x14ac:dyDescent="0.2">
      <c r="D103" s="2" t="s">
        <v>850</v>
      </c>
      <c r="E103" s="3">
        <v>13027.579999999998</v>
      </c>
    </row>
    <row r="104" spans="4:5" x14ac:dyDescent="0.2">
      <c r="D104" s="2" t="s">
        <v>860</v>
      </c>
      <c r="E104" s="3">
        <v>45634.090000000004</v>
      </c>
    </row>
    <row r="105" spans="4:5" x14ac:dyDescent="0.2">
      <c r="D105" s="2" t="s">
        <v>862</v>
      </c>
      <c r="E105" s="3">
        <v>49635.19</v>
      </c>
    </row>
    <row r="106" spans="4:5" x14ac:dyDescent="0.2">
      <c r="D106" s="2" t="s">
        <v>864</v>
      </c>
      <c r="E106" s="3">
        <v>4090.84</v>
      </c>
    </row>
    <row r="107" spans="4:5" x14ac:dyDescent="0.2">
      <c r="D107" s="2" t="s">
        <v>866</v>
      </c>
      <c r="E107" s="3">
        <v>-535</v>
      </c>
    </row>
    <row r="108" spans="4:5" x14ac:dyDescent="0.2">
      <c r="D108" s="2" t="s">
        <v>868</v>
      </c>
      <c r="E108" s="3">
        <v>277.02</v>
      </c>
    </row>
    <row r="109" spans="4:5" x14ac:dyDescent="0.2">
      <c r="D109" s="2" t="s">
        <v>54</v>
      </c>
      <c r="E109" s="3">
        <v>51477.610000000008</v>
      </c>
    </row>
    <row r="110" spans="4:5" x14ac:dyDescent="0.2">
      <c r="D110" s="2" t="s">
        <v>884</v>
      </c>
      <c r="E110" s="3">
        <v>12365.85</v>
      </c>
    </row>
    <row r="111" spans="4:5" x14ac:dyDescent="0.2">
      <c r="D111" s="2" t="s">
        <v>889</v>
      </c>
      <c r="E111" s="3">
        <v>268.23</v>
      </c>
    </row>
    <row r="112" spans="4:5" x14ac:dyDescent="0.2">
      <c r="D112" s="2" t="s">
        <v>892</v>
      </c>
      <c r="E112" s="3">
        <v>2186.08</v>
      </c>
    </row>
    <row r="113" spans="4:5" x14ac:dyDescent="0.2">
      <c r="D113" s="2" t="s">
        <v>896</v>
      </c>
      <c r="E113" s="3">
        <v>4430.76</v>
      </c>
    </row>
    <row r="114" spans="4:5" x14ac:dyDescent="0.2">
      <c r="D114" s="2" t="s">
        <v>898</v>
      </c>
      <c r="E114" s="3">
        <v>37553.269999999997</v>
      </c>
    </row>
    <row r="115" spans="4:5" x14ac:dyDescent="0.2">
      <c r="D115" s="2" t="s">
        <v>910</v>
      </c>
      <c r="E115" s="3">
        <v>1427.43</v>
      </c>
    </row>
    <row r="116" spans="4:5" x14ac:dyDescent="0.2">
      <c r="D116" s="2" t="s">
        <v>913</v>
      </c>
      <c r="E116" s="3">
        <v>22746.190000000002</v>
      </c>
    </row>
    <row r="117" spans="4:5" x14ac:dyDescent="0.2">
      <c r="D117" s="2" t="s">
        <v>923</v>
      </c>
      <c r="E117" s="3">
        <v>4208412.0200000005</v>
      </c>
    </row>
    <row r="118" spans="4:5" x14ac:dyDescent="0.2">
      <c r="D118" s="2" t="s">
        <v>929</v>
      </c>
      <c r="E118" s="3">
        <v>20099.63</v>
      </c>
    </row>
    <row r="119" spans="4:5" x14ac:dyDescent="0.2">
      <c r="D119" s="2" t="s">
        <v>68</v>
      </c>
      <c r="E119" s="3">
        <v>3494718.72</v>
      </c>
    </row>
    <row r="120" spans="4:5" x14ac:dyDescent="0.2">
      <c r="D120" s="2" t="s">
        <v>936</v>
      </c>
      <c r="E120" s="3">
        <v>3578.73</v>
      </c>
    </row>
    <row r="121" spans="4:5" x14ac:dyDescent="0.2">
      <c r="D121" s="2" t="s">
        <v>142</v>
      </c>
      <c r="E121" s="3">
        <v>11922</v>
      </c>
    </row>
    <row r="122" spans="4:5" x14ac:dyDescent="0.2">
      <c r="D122" s="2" t="s">
        <v>943</v>
      </c>
      <c r="E122" s="3">
        <v>420</v>
      </c>
    </row>
    <row r="123" spans="4:5" x14ac:dyDescent="0.2">
      <c r="D123" s="2" t="s">
        <v>36</v>
      </c>
      <c r="E123" s="3">
        <v>161</v>
      </c>
    </row>
    <row r="124" spans="4:5" x14ac:dyDescent="0.2">
      <c r="D124" s="2" t="s">
        <v>17</v>
      </c>
      <c r="E124" s="3">
        <v>125447.54</v>
      </c>
    </row>
    <row r="125" spans="4:5" x14ac:dyDescent="0.2">
      <c r="D125" s="2" t="s">
        <v>965</v>
      </c>
      <c r="E125" s="3">
        <v>63974.83</v>
      </c>
    </row>
    <row r="126" spans="4:5" x14ac:dyDescent="0.2">
      <c r="D126" s="2" t="s">
        <v>969</v>
      </c>
      <c r="E126" s="3">
        <v>9633.56</v>
      </c>
    </row>
    <row r="127" spans="4:5" x14ac:dyDescent="0.2">
      <c r="D127" s="2" t="s">
        <v>971</v>
      </c>
      <c r="E127" s="3">
        <v>1594.3</v>
      </c>
    </row>
    <row r="128" spans="4:5" x14ac:dyDescent="0.2">
      <c r="D128" s="2" t="s">
        <v>973</v>
      </c>
      <c r="E128" s="3">
        <v>4233</v>
      </c>
    </row>
    <row r="129" spans="4:5" x14ac:dyDescent="0.2">
      <c r="D129" s="2" t="s">
        <v>975</v>
      </c>
      <c r="E129" s="3">
        <v>570</v>
      </c>
    </row>
    <row r="130" spans="4:5" x14ac:dyDescent="0.2">
      <c r="D130" s="2" t="s">
        <v>977</v>
      </c>
      <c r="E130" s="3">
        <v>92206.67</v>
      </c>
    </row>
    <row r="131" spans="4:5" x14ac:dyDescent="0.2">
      <c r="D131" s="2" t="s">
        <v>984</v>
      </c>
      <c r="E131" s="3">
        <v>252105.8</v>
      </c>
    </row>
    <row r="132" spans="4:5" x14ac:dyDescent="0.2">
      <c r="D132" s="2" t="s">
        <v>986</v>
      </c>
      <c r="E132" s="3">
        <v>5104.28</v>
      </c>
    </row>
    <row r="133" spans="4:5" x14ac:dyDescent="0.2">
      <c r="D133" s="2" t="s">
        <v>988</v>
      </c>
      <c r="E133" s="3">
        <v>-1071.51</v>
      </c>
    </row>
    <row r="134" spans="4:5" x14ac:dyDescent="0.2">
      <c r="D134" s="2" t="s">
        <v>994</v>
      </c>
      <c r="E134" s="3">
        <v>3382.67</v>
      </c>
    </row>
    <row r="135" spans="4:5" x14ac:dyDescent="0.2">
      <c r="D135" s="2" t="s">
        <v>996</v>
      </c>
      <c r="E135" s="3">
        <v>8971.25</v>
      </c>
    </row>
    <row r="136" spans="4:5" x14ac:dyDescent="0.2">
      <c r="D136" s="2" t="s">
        <v>999</v>
      </c>
      <c r="E136" s="3">
        <v>572.02</v>
      </c>
    </row>
    <row r="137" spans="4:5" x14ac:dyDescent="0.2">
      <c r="D137" s="2" t="s">
        <v>1002</v>
      </c>
      <c r="E137" s="3">
        <v>2610</v>
      </c>
    </row>
    <row r="138" spans="4:5" x14ac:dyDescent="0.2">
      <c r="D138" s="2" t="s">
        <v>1004</v>
      </c>
      <c r="E138" s="3">
        <v>650</v>
      </c>
    </row>
    <row r="139" spans="4:5" x14ac:dyDescent="0.2">
      <c r="D139" s="2" t="s">
        <v>1008</v>
      </c>
      <c r="E139" s="3">
        <v>873.46</v>
      </c>
    </row>
    <row r="140" spans="4:5" x14ac:dyDescent="0.2">
      <c r="D140" s="2" t="s">
        <v>1011</v>
      </c>
      <c r="E140" s="3">
        <v>2870.5</v>
      </c>
    </row>
    <row r="141" spans="4:5" x14ac:dyDescent="0.2">
      <c r="D141" s="2" t="s">
        <v>51</v>
      </c>
      <c r="E141" s="3">
        <v>251142.99999999997</v>
      </c>
    </row>
    <row r="142" spans="4:5" x14ac:dyDescent="0.2">
      <c r="D142" s="2" t="s">
        <v>1045</v>
      </c>
      <c r="E142" s="3">
        <v>1040</v>
      </c>
    </row>
    <row r="143" spans="4:5" x14ac:dyDescent="0.2">
      <c r="D143" s="2" t="s">
        <v>1050</v>
      </c>
      <c r="E143" s="3">
        <v>14648.649999999998</v>
      </c>
    </row>
    <row r="144" spans="4:5" x14ac:dyDescent="0.2">
      <c r="D144" s="2" t="s">
        <v>1055</v>
      </c>
      <c r="E144" s="3">
        <v>93312.750000000015</v>
      </c>
    </row>
    <row r="145" spans="4:5" x14ac:dyDescent="0.2">
      <c r="D145" s="2" t="s">
        <v>1058</v>
      </c>
      <c r="E145" s="3">
        <v>82530.27</v>
      </c>
    </row>
    <row r="146" spans="4:5" x14ac:dyDescent="0.2">
      <c r="D146" s="2" t="s">
        <v>1064</v>
      </c>
      <c r="E146" s="3">
        <v>975</v>
      </c>
    </row>
    <row r="147" spans="4:5" x14ac:dyDescent="0.2">
      <c r="D147" s="2" t="s">
        <v>21</v>
      </c>
      <c r="E147" s="3">
        <v>14405170.850000003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8"/>
  <sheetViews>
    <sheetView workbookViewId="0">
      <pane xSplit="1" ySplit="1" topLeftCell="B32" activePane="bottomRight" state="frozen"/>
      <selection pane="topRight" activeCell="B1" sqref="B1"/>
      <selection pane="bottomLeft" activeCell="A2" sqref="A2"/>
      <selection pane="bottomRight" activeCell="B52" sqref="B52"/>
    </sheetView>
  </sheetViews>
  <sheetFormatPr baseColWidth="10" defaultRowHeight="16" x14ac:dyDescent="0.2"/>
  <cols>
    <col min="1" max="1" width="12.6640625" customWidth="1"/>
    <col min="4" max="4" width="12.33203125" customWidth="1"/>
    <col min="5" max="5" width="11.33203125" customWidth="1"/>
    <col min="6" max="6" width="13.5" customWidth="1"/>
    <col min="7" max="7" width="21.83203125" bestFit="1" customWidth="1"/>
    <col min="10" max="10" width="14" style="27" bestFit="1" customWidth="1"/>
    <col min="12" max="12" width="21.5" style="20" customWidth="1"/>
    <col min="13" max="13" width="18.1640625" bestFit="1" customWidth="1"/>
    <col min="14" max="14" width="18" customWidth="1"/>
    <col min="15" max="15" width="16.83203125" bestFit="1" customWidth="1"/>
  </cols>
  <sheetData>
    <row r="1" spans="1:15" x14ac:dyDescent="0.2">
      <c r="A1" t="s">
        <v>0</v>
      </c>
      <c r="B1" t="s">
        <v>1</v>
      </c>
      <c r="C1" t="s">
        <v>8</v>
      </c>
      <c r="D1" t="s">
        <v>4</v>
      </c>
      <c r="E1" t="s">
        <v>2</v>
      </c>
      <c r="F1" t="s">
        <v>3</v>
      </c>
      <c r="G1" t="s">
        <v>7</v>
      </c>
      <c r="H1" t="s">
        <v>50</v>
      </c>
      <c r="I1" t="s">
        <v>55</v>
      </c>
      <c r="J1" s="27" t="s">
        <v>5</v>
      </c>
      <c r="K1" t="s">
        <v>6</v>
      </c>
      <c r="L1" s="20" t="s">
        <v>45</v>
      </c>
      <c r="M1" t="s">
        <v>56</v>
      </c>
      <c r="N1" t="s">
        <v>104</v>
      </c>
      <c r="O1" t="s">
        <v>33</v>
      </c>
    </row>
    <row r="2" spans="1:15" x14ac:dyDescent="0.2">
      <c r="A2" t="s">
        <v>114</v>
      </c>
      <c r="B2">
        <v>185372492</v>
      </c>
      <c r="C2" t="s">
        <v>11</v>
      </c>
      <c r="D2" t="s">
        <v>106</v>
      </c>
      <c r="E2" t="s">
        <v>115</v>
      </c>
      <c r="F2">
        <v>481818224</v>
      </c>
      <c r="G2" s="23">
        <v>45898</v>
      </c>
      <c r="H2" s="23">
        <v>45989</v>
      </c>
      <c r="I2" s="23">
        <v>45792</v>
      </c>
      <c r="J2" s="27">
        <v>150000</v>
      </c>
      <c r="K2" t="s">
        <v>10</v>
      </c>
      <c r="L2" s="20">
        <v>70</v>
      </c>
      <c r="M2" s="23"/>
      <c r="O2" t="s">
        <v>111</v>
      </c>
    </row>
    <row r="3" spans="1:15" x14ac:dyDescent="0.2">
      <c r="A3" t="s">
        <v>116</v>
      </c>
      <c r="B3">
        <v>185372574</v>
      </c>
      <c r="C3" t="s">
        <v>11</v>
      </c>
      <c r="D3" t="s">
        <v>106</v>
      </c>
      <c r="E3" t="s">
        <v>117</v>
      </c>
      <c r="F3">
        <v>543379157</v>
      </c>
      <c r="G3" s="23">
        <v>45898</v>
      </c>
      <c r="H3" s="23">
        <v>45961</v>
      </c>
      <c r="I3" s="23">
        <v>45792</v>
      </c>
      <c r="J3" s="27">
        <v>125000</v>
      </c>
      <c r="K3" t="s">
        <v>10</v>
      </c>
      <c r="L3" s="20">
        <v>70</v>
      </c>
      <c r="M3" s="23"/>
      <c r="O3" t="s">
        <v>76</v>
      </c>
    </row>
    <row r="4" spans="1:15" x14ac:dyDescent="0.2">
      <c r="A4" t="s">
        <v>134</v>
      </c>
      <c r="B4">
        <v>183203429</v>
      </c>
      <c r="C4" t="s">
        <v>11</v>
      </c>
      <c r="D4" t="s">
        <v>43</v>
      </c>
      <c r="E4" t="s">
        <v>135</v>
      </c>
      <c r="F4">
        <v>481821730</v>
      </c>
      <c r="G4" s="23">
        <v>45898</v>
      </c>
      <c r="H4" s="23">
        <v>45989</v>
      </c>
      <c r="I4" s="23">
        <v>45721</v>
      </c>
      <c r="J4" s="27">
        <v>30000</v>
      </c>
      <c r="K4" t="s">
        <v>10</v>
      </c>
      <c r="L4" s="20">
        <v>70</v>
      </c>
      <c r="M4" s="23"/>
      <c r="O4" t="s">
        <v>43</v>
      </c>
    </row>
    <row r="5" spans="1:15" x14ac:dyDescent="0.2">
      <c r="A5" t="s">
        <v>169</v>
      </c>
      <c r="B5">
        <v>184917268</v>
      </c>
      <c r="C5" t="s">
        <v>11</v>
      </c>
      <c r="D5" t="s">
        <v>47</v>
      </c>
      <c r="E5" t="s">
        <v>170</v>
      </c>
      <c r="F5">
        <v>542264497</v>
      </c>
      <c r="G5" s="23">
        <v>45898</v>
      </c>
      <c r="H5" s="23">
        <v>45922</v>
      </c>
      <c r="I5" s="23">
        <v>45777</v>
      </c>
      <c r="J5" s="27">
        <v>200000</v>
      </c>
      <c r="K5" t="s">
        <v>10</v>
      </c>
      <c r="L5" s="20">
        <v>70</v>
      </c>
      <c r="M5" s="23">
        <v>45853.908159722225</v>
      </c>
      <c r="O5" t="s">
        <v>126</v>
      </c>
    </row>
    <row r="6" spans="1:15" x14ac:dyDescent="0.2">
      <c r="A6" t="s">
        <v>91</v>
      </c>
      <c r="B6">
        <v>185878620</v>
      </c>
      <c r="C6" t="s">
        <v>13</v>
      </c>
      <c r="D6" t="s">
        <v>18</v>
      </c>
      <c r="E6" t="s">
        <v>44</v>
      </c>
      <c r="F6">
        <v>481818388</v>
      </c>
      <c r="G6" s="23">
        <v>45898</v>
      </c>
      <c r="H6" s="23">
        <v>45930</v>
      </c>
      <c r="I6" s="23">
        <v>45806</v>
      </c>
      <c r="J6" s="27">
        <v>120000</v>
      </c>
      <c r="K6" t="s">
        <v>10</v>
      </c>
      <c r="L6" s="20">
        <v>70</v>
      </c>
      <c r="M6" s="23"/>
    </row>
    <row r="7" spans="1:15" x14ac:dyDescent="0.2">
      <c r="A7" t="s">
        <v>187</v>
      </c>
      <c r="B7">
        <v>186207101</v>
      </c>
      <c r="C7" t="s">
        <v>11</v>
      </c>
      <c r="D7" t="s">
        <v>76</v>
      </c>
      <c r="E7" t="s">
        <v>110</v>
      </c>
      <c r="F7">
        <v>481817481</v>
      </c>
      <c r="G7" s="23">
        <v>45898</v>
      </c>
      <c r="H7" s="23">
        <v>46022</v>
      </c>
      <c r="I7" s="23">
        <v>45817</v>
      </c>
      <c r="J7" s="27">
        <v>170000</v>
      </c>
      <c r="K7" t="s">
        <v>10</v>
      </c>
      <c r="L7" s="20">
        <v>70</v>
      </c>
      <c r="M7" s="23"/>
      <c r="O7" t="s">
        <v>76</v>
      </c>
    </row>
    <row r="8" spans="1:15" x14ac:dyDescent="0.2">
      <c r="A8" t="s">
        <v>87</v>
      </c>
      <c r="B8">
        <v>185514740</v>
      </c>
      <c r="C8" t="s">
        <v>13</v>
      </c>
      <c r="D8" t="s">
        <v>48</v>
      </c>
      <c r="E8" t="s">
        <v>88</v>
      </c>
      <c r="F8">
        <v>545005748</v>
      </c>
      <c r="G8" s="23">
        <v>45899</v>
      </c>
      <c r="H8" s="23">
        <v>46022</v>
      </c>
      <c r="I8" s="23">
        <v>45796</v>
      </c>
      <c r="J8" s="27">
        <v>1500000</v>
      </c>
      <c r="K8" t="s">
        <v>10</v>
      </c>
      <c r="L8" s="20">
        <v>70</v>
      </c>
      <c r="M8" s="23"/>
      <c r="O8" t="s">
        <v>144</v>
      </c>
    </row>
    <row r="9" spans="1:15" x14ac:dyDescent="0.2">
      <c r="A9" t="s">
        <v>155</v>
      </c>
      <c r="B9">
        <v>187415983</v>
      </c>
      <c r="C9" t="s">
        <v>13</v>
      </c>
      <c r="D9" t="s">
        <v>15</v>
      </c>
      <c r="E9" t="s">
        <v>14</v>
      </c>
      <c r="F9">
        <v>481817229</v>
      </c>
      <c r="G9" s="23">
        <v>45899</v>
      </c>
      <c r="H9" s="23">
        <v>45989</v>
      </c>
      <c r="I9" s="23">
        <v>45849</v>
      </c>
      <c r="J9" s="27">
        <v>30000</v>
      </c>
      <c r="K9" t="s">
        <v>10</v>
      </c>
      <c r="L9" s="20">
        <v>70</v>
      </c>
      <c r="M9" s="23"/>
      <c r="O9" t="s">
        <v>152</v>
      </c>
    </row>
    <row r="10" spans="1:15" x14ac:dyDescent="0.2">
      <c r="A10" t="s">
        <v>66</v>
      </c>
      <c r="B10">
        <v>183105912</v>
      </c>
      <c r="C10" t="s">
        <v>11</v>
      </c>
      <c r="D10" t="s">
        <v>65</v>
      </c>
      <c r="E10" t="s">
        <v>62</v>
      </c>
      <c r="F10">
        <v>481820941</v>
      </c>
      <c r="G10" s="23">
        <v>45900</v>
      </c>
      <c r="H10" s="23">
        <v>45821</v>
      </c>
      <c r="I10" s="23">
        <v>45719</v>
      </c>
      <c r="J10" s="27">
        <v>110000</v>
      </c>
      <c r="K10" t="s">
        <v>10</v>
      </c>
      <c r="L10" s="20">
        <v>70</v>
      </c>
      <c r="M10" s="23"/>
      <c r="O10" t="s">
        <v>126</v>
      </c>
    </row>
    <row r="11" spans="1:15" x14ac:dyDescent="0.2">
      <c r="A11" t="s">
        <v>171</v>
      </c>
      <c r="B11">
        <v>184917357</v>
      </c>
      <c r="C11" t="s">
        <v>11</v>
      </c>
      <c r="D11" t="s">
        <v>47</v>
      </c>
      <c r="E11" t="s">
        <v>172</v>
      </c>
      <c r="F11">
        <v>542265280</v>
      </c>
      <c r="G11" s="23">
        <v>45900</v>
      </c>
      <c r="H11" s="23">
        <v>45922</v>
      </c>
      <c r="I11" s="23">
        <v>45777</v>
      </c>
      <c r="J11" s="27">
        <v>350000</v>
      </c>
      <c r="K11" t="s">
        <v>10</v>
      </c>
      <c r="L11" s="20">
        <v>70</v>
      </c>
      <c r="M11" s="23">
        <v>45868.903958333336</v>
      </c>
      <c r="O11" t="s">
        <v>126</v>
      </c>
    </row>
    <row r="12" spans="1:15" x14ac:dyDescent="0.2">
      <c r="A12" t="s">
        <v>176</v>
      </c>
      <c r="B12">
        <v>186075084</v>
      </c>
      <c r="C12" t="s">
        <v>13</v>
      </c>
      <c r="D12" t="s">
        <v>46</v>
      </c>
      <c r="E12" t="s">
        <v>63</v>
      </c>
      <c r="F12">
        <v>481821097</v>
      </c>
      <c r="G12" s="23">
        <v>45900</v>
      </c>
      <c r="H12" s="23">
        <v>45869</v>
      </c>
      <c r="I12" s="23">
        <v>45813</v>
      </c>
      <c r="J12" s="27">
        <v>339740</v>
      </c>
      <c r="K12" t="s">
        <v>10</v>
      </c>
      <c r="L12" s="20">
        <v>70</v>
      </c>
      <c r="M12" s="23"/>
      <c r="O12" t="s">
        <v>120</v>
      </c>
    </row>
    <row r="13" spans="1:15" x14ac:dyDescent="0.2">
      <c r="A13" t="s">
        <v>93</v>
      </c>
      <c r="B13">
        <v>169782282</v>
      </c>
      <c r="C13" t="s">
        <v>11</v>
      </c>
      <c r="D13" t="s">
        <v>46</v>
      </c>
      <c r="E13" t="s">
        <v>68</v>
      </c>
      <c r="F13">
        <v>481819172</v>
      </c>
      <c r="G13" s="23">
        <v>45900</v>
      </c>
      <c r="H13" s="23">
        <v>46112</v>
      </c>
      <c r="I13" s="23">
        <v>45386</v>
      </c>
      <c r="J13" s="27">
        <v>3000000</v>
      </c>
      <c r="K13" t="s">
        <v>10</v>
      </c>
      <c r="L13" s="20">
        <v>70</v>
      </c>
      <c r="M13" s="23">
        <v>45387.034629629627</v>
      </c>
      <c r="O13" t="s">
        <v>120</v>
      </c>
    </row>
    <row r="14" spans="1:15" x14ac:dyDescent="0.2">
      <c r="A14" t="s">
        <v>183</v>
      </c>
      <c r="B14">
        <v>185600562</v>
      </c>
      <c r="C14" t="s">
        <v>105</v>
      </c>
      <c r="D14" t="s">
        <v>19</v>
      </c>
      <c r="E14" t="s">
        <v>133</v>
      </c>
      <c r="F14">
        <v>543962150</v>
      </c>
      <c r="G14" s="23">
        <v>45900</v>
      </c>
      <c r="H14" s="23">
        <v>45926</v>
      </c>
      <c r="I14" s="23">
        <v>45798</v>
      </c>
      <c r="J14" s="27">
        <v>100000</v>
      </c>
      <c r="K14" t="s">
        <v>10</v>
      </c>
      <c r="L14" s="20">
        <v>70</v>
      </c>
      <c r="M14" s="23"/>
      <c r="O14" t="s">
        <v>143</v>
      </c>
    </row>
    <row r="15" spans="1:15" x14ac:dyDescent="0.2">
      <c r="A15" t="s">
        <v>136</v>
      </c>
      <c r="B15">
        <v>181686854</v>
      </c>
      <c r="C15" t="s">
        <v>12</v>
      </c>
      <c r="D15" t="s">
        <v>43</v>
      </c>
      <c r="E15" t="s">
        <v>135</v>
      </c>
      <c r="F15">
        <v>481821730</v>
      </c>
      <c r="G15" s="23">
        <v>45898</v>
      </c>
      <c r="H15" s="23">
        <v>45870</v>
      </c>
      <c r="I15" s="23">
        <v>45678</v>
      </c>
      <c r="J15" s="27">
        <v>23000</v>
      </c>
      <c r="K15" t="s">
        <v>10</v>
      </c>
      <c r="L15" s="20">
        <v>75</v>
      </c>
      <c r="M15" s="23"/>
      <c r="O15" t="s">
        <v>43</v>
      </c>
    </row>
    <row r="16" spans="1:15" x14ac:dyDescent="0.2">
      <c r="A16" t="s">
        <v>83</v>
      </c>
      <c r="B16">
        <v>184958043</v>
      </c>
      <c r="C16" t="s">
        <v>11</v>
      </c>
      <c r="D16" t="s">
        <v>19</v>
      </c>
      <c r="E16" t="s">
        <v>74</v>
      </c>
      <c r="F16">
        <v>536836348</v>
      </c>
      <c r="G16" s="23">
        <v>45888</v>
      </c>
      <c r="H16" s="23">
        <v>45898</v>
      </c>
      <c r="I16" s="23">
        <v>45778</v>
      </c>
      <c r="J16" s="27">
        <v>25000</v>
      </c>
      <c r="K16" t="s">
        <v>10</v>
      </c>
      <c r="L16" s="20">
        <v>80</v>
      </c>
      <c r="M16" s="23"/>
      <c r="O16" t="s">
        <v>73</v>
      </c>
    </row>
    <row r="17" spans="1:15" x14ac:dyDescent="0.2">
      <c r="A17" t="s">
        <v>186</v>
      </c>
      <c r="B17">
        <v>176020679</v>
      </c>
      <c r="C17" t="s">
        <v>11</v>
      </c>
      <c r="D17" t="s">
        <v>19</v>
      </c>
      <c r="E17" t="s">
        <v>184</v>
      </c>
      <c r="F17">
        <v>481817326</v>
      </c>
      <c r="G17" s="23">
        <v>45890</v>
      </c>
      <c r="H17" s="23">
        <v>45869</v>
      </c>
      <c r="I17" s="23">
        <v>45523</v>
      </c>
      <c r="J17" s="27">
        <v>250000</v>
      </c>
      <c r="K17" t="s">
        <v>10</v>
      </c>
      <c r="L17" s="20">
        <v>80</v>
      </c>
      <c r="M17" s="23"/>
      <c r="N17" t="s">
        <v>185</v>
      </c>
      <c r="O17" t="s">
        <v>130</v>
      </c>
    </row>
    <row r="18" spans="1:15" x14ac:dyDescent="0.2">
      <c r="A18" t="s">
        <v>75</v>
      </c>
      <c r="B18">
        <v>179901465</v>
      </c>
      <c r="C18" t="s">
        <v>11</v>
      </c>
      <c r="D18" t="s">
        <v>19</v>
      </c>
      <c r="E18" t="s">
        <v>64</v>
      </c>
      <c r="F18">
        <v>481821587</v>
      </c>
      <c r="G18" s="23">
        <v>45891</v>
      </c>
      <c r="H18" s="23">
        <v>45869</v>
      </c>
      <c r="I18" s="23">
        <v>45623</v>
      </c>
      <c r="J18" s="27">
        <v>40000</v>
      </c>
      <c r="K18" t="s">
        <v>10</v>
      </c>
      <c r="L18" s="20">
        <v>80</v>
      </c>
      <c r="M18" s="23"/>
      <c r="O18" t="s">
        <v>73</v>
      </c>
    </row>
    <row r="19" spans="1:15" x14ac:dyDescent="0.2">
      <c r="A19" t="s">
        <v>102</v>
      </c>
      <c r="B19">
        <v>186623552</v>
      </c>
      <c r="C19" t="s">
        <v>11</v>
      </c>
      <c r="D19" t="s">
        <v>9</v>
      </c>
      <c r="E19" t="s">
        <v>95</v>
      </c>
      <c r="F19">
        <v>511064498</v>
      </c>
      <c r="G19" s="23">
        <v>45898</v>
      </c>
      <c r="H19" s="23">
        <v>45930</v>
      </c>
      <c r="I19" s="23">
        <v>45828</v>
      </c>
      <c r="J19" s="27">
        <v>5000</v>
      </c>
      <c r="K19" t="s">
        <v>10</v>
      </c>
      <c r="L19" s="20">
        <v>80</v>
      </c>
      <c r="M19" s="23"/>
      <c r="O19" t="s">
        <v>122</v>
      </c>
    </row>
    <row r="20" spans="1:15" x14ac:dyDescent="0.2">
      <c r="A20" t="s">
        <v>132</v>
      </c>
      <c r="B20">
        <v>187376877</v>
      </c>
      <c r="C20" t="s">
        <v>11</v>
      </c>
      <c r="D20" t="s">
        <v>131</v>
      </c>
      <c r="E20" t="s">
        <v>133</v>
      </c>
      <c r="F20">
        <v>543962150</v>
      </c>
      <c r="G20" s="23">
        <v>45898</v>
      </c>
      <c r="H20" s="23">
        <v>46017</v>
      </c>
      <c r="I20" s="23">
        <v>45848</v>
      </c>
      <c r="J20" s="27">
        <v>130000</v>
      </c>
      <c r="K20" t="s">
        <v>10</v>
      </c>
      <c r="L20" s="20">
        <v>80</v>
      </c>
      <c r="M20" s="23"/>
      <c r="O20" t="s">
        <v>131</v>
      </c>
    </row>
    <row r="21" spans="1:15" x14ac:dyDescent="0.2">
      <c r="A21" t="s">
        <v>78</v>
      </c>
      <c r="B21">
        <v>184427013</v>
      </c>
      <c r="C21" t="s">
        <v>11</v>
      </c>
      <c r="D21" t="s">
        <v>43</v>
      </c>
      <c r="E21" t="s">
        <v>77</v>
      </c>
      <c r="F21">
        <v>481819753</v>
      </c>
      <c r="G21" s="23">
        <v>45898</v>
      </c>
      <c r="H21" s="23">
        <v>45930</v>
      </c>
      <c r="I21" s="23">
        <v>45761</v>
      </c>
      <c r="J21" s="27">
        <v>35000</v>
      </c>
      <c r="K21" t="s">
        <v>10</v>
      </c>
      <c r="L21" s="20">
        <v>80</v>
      </c>
      <c r="M21" s="23"/>
      <c r="O21" t="s">
        <v>43</v>
      </c>
    </row>
    <row r="22" spans="1:15" x14ac:dyDescent="0.2">
      <c r="A22" t="s">
        <v>70</v>
      </c>
      <c r="B22">
        <v>177742628</v>
      </c>
      <c r="C22" t="s">
        <v>11</v>
      </c>
      <c r="D22" t="s">
        <v>15</v>
      </c>
      <c r="E22" t="s">
        <v>67</v>
      </c>
      <c r="F22">
        <v>481817878</v>
      </c>
      <c r="G22" s="23">
        <v>45898</v>
      </c>
      <c r="H22" s="23">
        <v>45989</v>
      </c>
      <c r="I22" s="23">
        <v>45569</v>
      </c>
      <c r="J22" s="27">
        <v>85000</v>
      </c>
      <c r="K22" t="s">
        <v>10</v>
      </c>
      <c r="L22" s="20">
        <v>80</v>
      </c>
      <c r="M22" s="23"/>
      <c r="O22" t="s">
        <v>152</v>
      </c>
    </row>
    <row r="23" spans="1:15" x14ac:dyDescent="0.2">
      <c r="A23" t="s">
        <v>57</v>
      </c>
      <c r="B23">
        <v>183019440</v>
      </c>
      <c r="C23" t="s">
        <v>11</v>
      </c>
      <c r="D23" t="s">
        <v>15</v>
      </c>
      <c r="E23" t="s">
        <v>58</v>
      </c>
      <c r="F23">
        <v>481820270</v>
      </c>
      <c r="G23" s="23">
        <v>45898</v>
      </c>
      <c r="H23" s="23">
        <v>46021</v>
      </c>
      <c r="I23" s="23">
        <v>45716</v>
      </c>
      <c r="J23" s="27">
        <v>30000</v>
      </c>
      <c r="K23" t="s">
        <v>10</v>
      </c>
      <c r="L23" s="20">
        <v>80</v>
      </c>
      <c r="M23" s="23"/>
      <c r="O23" t="s">
        <v>152</v>
      </c>
    </row>
    <row r="24" spans="1:15" x14ac:dyDescent="0.2">
      <c r="A24" t="s">
        <v>154</v>
      </c>
      <c r="B24">
        <v>184460337</v>
      </c>
      <c r="C24" t="s">
        <v>11</v>
      </c>
      <c r="D24" t="s">
        <v>15</v>
      </c>
      <c r="E24" t="s">
        <v>149</v>
      </c>
      <c r="F24">
        <v>481818000</v>
      </c>
      <c r="G24" s="23">
        <v>45898</v>
      </c>
      <c r="H24" s="23">
        <v>45989</v>
      </c>
      <c r="I24" s="23">
        <v>45762</v>
      </c>
      <c r="J24" s="27">
        <v>40000</v>
      </c>
      <c r="K24" t="s">
        <v>10</v>
      </c>
      <c r="L24" s="20">
        <v>80</v>
      </c>
      <c r="M24" s="23"/>
      <c r="O24" t="s">
        <v>152</v>
      </c>
    </row>
    <row r="25" spans="1:15" x14ac:dyDescent="0.2">
      <c r="A25" t="s">
        <v>163</v>
      </c>
      <c r="B25">
        <v>187415973</v>
      </c>
      <c r="C25" t="s">
        <v>11</v>
      </c>
      <c r="D25" t="s">
        <v>15</v>
      </c>
      <c r="E25" t="s">
        <v>54</v>
      </c>
      <c r="F25">
        <v>481819053</v>
      </c>
      <c r="G25" s="23">
        <v>45898</v>
      </c>
      <c r="H25" s="23">
        <v>45989</v>
      </c>
      <c r="I25" s="23">
        <v>45849</v>
      </c>
      <c r="J25" s="27">
        <v>25000</v>
      </c>
      <c r="K25" t="s">
        <v>10</v>
      </c>
      <c r="L25" s="20">
        <v>80</v>
      </c>
      <c r="M25" s="23"/>
      <c r="O25" t="s">
        <v>153</v>
      </c>
    </row>
    <row r="26" spans="1:15" x14ac:dyDescent="0.2">
      <c r="A26" t="s">
        <v>127</v>
      </c>
      <c r="B26">
        <v>177835900</v>
      </c>
      <c r="C26" t="s">
        <v>11</v>
      </c>
      <c r="D26" t="s">
        <v>9</v>
      </c>
      <c r="E26" t="s">
        <v>128</v>
      </c>
      <c r="F26">
        <v>520272043</v>
      </c>
      <c r="G26" s="23">
        <v>45899</v>
      </c>
      <c r="H26" s="23">
        <v>45899</v>
      </c>
      <c r="I26" s="23">
        <v>45572</v>
      </c>
      <c r="J26" s="27">
        <v>1500000</v>
      </c>
      <c r="K26" t="s">
        <v>10</v>
      </c>
      <c r="L26" s="20">
        <v>80</v>
      </c>
      <c r="M26" s="23"/>
      <c r="O26" t="s">
        <v>125</v>
      </c>
    </row>
    <row r="27" spans="1:15" x14ac:dyDescent="0.2">
      <c r="A27" t="s">
        <v>86</v>
      </c>
      <c r="B27">
        <v>180639502</v>
      </c>
      <c r="C27" t="s">
        <v>11</v>
      </c>
      <c r="D27" t="s">
        <v>15</v>
      </c>
      <c r="E27" t="s">
        <v>14</v>
      </c>
      <c r="F27">
        <v>481817229</v>
      </c>
      <c r="G27" s="23">
        <v>45899</v>
      </c>
      <c r="H27" s="23">
        <v>45961</v>
      </c>
      <c r="I27" s="23">
        <v>45644</v>
      </c>
      <c r="J27" s="27">
        <v>50000</v>
      </c>
      <c r="K27" t="s">
        <v>10</v>
      </c>
      <c r="L27" s="20">
        <v>80</v>
      </c>
      <c r="M27" s="23"/>
      <c r="O27" t="s">
        <v>152</v>
      </c>
    </row>
    <row r="28" spans="1:15" x14ac:dyDescent="0.2">
      <c r="A28" t="s">
        <v>81</v>
      </c>
      <c r="B28">
        <v>185678657</v>
      </c>
      <c r="C28" t="s">
        <v>11</v>
      </c>
      <c r="D28" t="s">
        <v>15</v>
      </c>
      <c r="E28" t="s">
        <v>71</v>
      </c>
      <c r="F28">
        <v>530250010</v>
      </c>
      <c r="G28" s="23">
        <v>45899</v>
      </c>
      <c r="H28" s="23">
        <v>45989</v>
      </c>
      <c r="I28" s="23">
        <v>45800</v>
      </c>
      <c r="J28" s="27">
        <v>30000</v>
      </c>
      <c r="K28" t="s">
        <v>10</v>
      </c>
      <c r="L28" s="20">
        <v>80</v>
      </c>
      <c r="M28" s="23"/>
      <c r="O28" t="s">
        <v>153</v>
      </c>
    </row>
    <row r="29" spans="1:15" x14ac:dyDescent="0.2">
      <c r="A29" t="s">
        <v>164</v>
      </c>
      <c r="B29">
        <v>187294539</v>
      </c>
      <c r="C29" t="s">
        <v>11</v>
      </c>
      <c r="D29" t="s">
        <v>15</v>
      </c>
      <c r="E29" t="s">
        <v>14</v>
      </c>
      <c r="F29">
        <v>481817229</v>
      </c>
      <c r="G29" s="23">
        <v>45899</v>
      </c>
      <c r="H29" s="23">
        <v>45989</v>
      </c>
      <c r="I29" s="23">
        <v>45846</v>
      </c>
      <c r="J29" s="27">
        <v>10000</v>
      </c>
      <c r="K29" t="s">
        <v>10</v>
      </c>
      <c r="L29" s="20">
        <v>80</v>
      </c>
      <c r="M29" s="23"/>
      <c r="O29" t="s">
        <v>158</v>
      </c>
    </row>
    <row r="30" spans="1:15" x14ac:dyDescent="0.2">
      <c r="A30" t="s">
        <v>174</v>
      </c>
      <c r="B30">
        <v>187248687</v>
      </c>
      <c r="C30" t="s">
        <v>11</v>
      </c>
      <c r="D30" t="s">
        <v>46</v>
      </c>
      <c r="E30" t="s">
        <v>175</v>
      </c>
      <c r="F30">
        <v>548680394</v>
      </c>
      <c r="G30" s="23">
        <v>45899</v>
      </c>
      <c r="H30" s="23">
        <v>45989</v>
      </c>
      <c r="I30" s="23">
        <v>45845</v>
      </c>
      <c r="J30" s="27">
        <v>96000</v>
      </c>
      <c r="K30" t="s">
        <v>10</v>
      </c>
      <c r="L30" s="20">
        <v>80</v>
      </c>
      <c r="M30" s="23"/>
      <c r="O30" t="s">
        <v>131</v>
      </c>
    </row>
    <row r="31" spans="1:15" x14ac:dyDescent="0.2">
      <c r="A31" t="s">
        <v>113</v>
      </c>
      <c r="B31">
        <v>184090153</v>
      </c>
      <c r="C31" t="s">
        <v>11</v>
      </c>
      <c r="D31" t="s">
        <v>106</v>
      </c>
      <c r="E31" t="s">
        <v>112</v>
      </c>
      <c r="F31">
        <v>481817206</v>
      </c>
      <c r="G31" s="23">
        <v>45900</v>
      </c>
      <c r="H31" s="23">
        <v>45901</v>
      </c>
      <c r="I31" s="23">
        <v>45749</v>
      </c>
      <c r="J31" s="27">
        <v>60000</v>
      </c>
      <c r="K31" t="s">
        <v>10</v>
      </c>
      <c r="L31" s="20">
        <v>80</v>
      </c>
      <c r="M31" s="23"/>
      <c r="O31" t="s">
        <v>109</v>
      </c>
    </row>
    <row r="32" spans="1:15" x14ac:dyDescent="0.2">
      <c r="A32" t="s">
        <v>84</v>
      </c>
      <c r="B32">
        <v>175199320</v>
      </c>
      <c r="C32" t="s">
        <v>11</v>
      </c>
      <c r="D32" t="s">
        <v>48</v>
      </c>
      <c r="E32" t="s">
        <v>17</v>
      </c>
      <c r="F32">
        <v>481817240</v>
      </c>
      <c r="G32" s="23">
        <v>45900</v>
      </c>
      <c r="H32" s="23">
        <v>45961</v>
      </c>
      <c r="I32" s="23">
        <v>45502</v>
      </c>
      <c r="J32" s="27">
        <v>80000</v>
      </c>
      <c r="K32" t="s">
        <v>10</v>
      </c>
      <c r="L32" s="20">
        <v>80</v>
      </c>
      <c r="M32" s="23"/>
      <c r="O32" t="s">
        <v>85</v>
      </c>
    </row>
    <row r="33" spans="1:15" x14ac:dyDescent="0.2">
      <c r="A33" t="s">
        <v>159</v>
      </c>
      <c r="B33">
        <v>185344637</v>
      </c>
      <c r="C33" t="s">
        <v>11</v>
      </c>
      <c r="D33" t="s">
        <v>15</v>
      </c>
      <c r="E33" t="s">
        <v>160</v>
      </c>
      <c r="F33">
        <v>543303345</v>
      </c>
      <c r="G33" s="23">
        <v>45900</v>
      </c>
      <c r="H33" s="23">
        <v>45930</v>
      </c>
      <c r="I33" s="23">
        <v>45791</v>
      </c>
      <c r="J33" s="27">
        <v>150000</v>
      </c>
      <c r="K33" t="s">
        <v>10</v>
      </c>
      <c r="L33" s="20">
        <v>80</v>
      </c>
      <c r="M33" s="23"/>
      <c r="O33" t="s">
        <v>109</v>
      </c>
    </row>
    <row r="34" spans="1:15" x14ac:dyDescent="0.2">
      <c r="A34" t="s">
        <v>165</v>
      </c>
      <c r="B34">
        <v>188169926</v>
      </c>
      <c r="C34" t="s">
        <v>11</v>
      </c>
      <c r="D34" t="s">
        <v>16</v>
      </c>
      <c r="E34" t="s">
        <v>36</v>
      </c>
      <c r="F34">
        <v>481819270</v>
      </c>
      <c r="G34" s="23">
        <v>45900</v>
      </c>
      <c r="H34" s="23">
        <v>45930</v>
      </c>
      <c r="I34" s="23">
        <v>45869</v>
      </c>
      <c r="J34" s="27">
        <v>4000</v>
      </c>
      <c r="K34" t="s">
        <v>10</v>
      </c>
      <c r="L34" s="20">
        <v>80</v>
      </c>
      <c r="M34" s="23"/>
      <c r="O34" t="s">
        <v>16</v>
      </c>
    </row>
    <row r="35" spans="1:15" x14ac:dyDescent="0.2">
      <c r="A35" t="s">
        <v>96</v>
      </c>
      <c r="B35">
        <v>186389201</v>
      </c>
      <c r="C35" t="s">
        <v>11</v>
      </c>
      <c r="D35" t="s">
        <v>16</v>
      </c>
      <c r="E35" t="s">
        <v>36</v>
      </c>
      <c r="F35">
        <v>481819270</v>
      </c>
      <c r="G35" s="23">
        <v>45900</v>
      </c>
      <c r="H35" s="23">
        <v>45900</v>
      </c>
      <c r="I35" s="23">
        <v>45822</v>
      </c>
      <c r="J35" s="27">
        <v>13795</v>
      </c>
      <c r="K35" t="s">
        <v>10</v>
      </c>
      <c r="L35" s="20">
        <v>80</v>
      </c>
      <c r="M35" s="23"/>
      <c r="O35" t="s">
        <v>16</v>
      </c>
    </row>
    <row r="36" spans="1:15" x14ac:dyDescent="0.2">
      <c r="A36" t="s">
        <v>72</v>
      </c>
      <c r="B36">
        <v>162878993</v>
      </c>
      <c r="C36" t="s">
        <v>105</v>
      </c>
      <c r="D36" t="s">
        <v>16</v>
      </c>
      <c r="E36" t="s">
        <v>17</v>
      </c>
      <c r="F36">
        <v>481817240</v>
      </c>
      <c r="G36" s="23">
        <v>45900</v>
      </c>
      <c r="H36" s="23">
        <v>45930</v>
      </c>
      <c r="I36" s="23">
        <v>45082</v>
      </c>
      <c r="J36" s="27">
        <v>70000</v>
      </c>
      <c r="K36" t="s">
        <v>10</v>
      </c>
      <c r="L36" s="20">
        <v>80</v>
      </c>
      <c r="M36" s="23"/>
      <c r="O36" t="s">
        <v>16</v>
      </c>
    </row>
    <row r="37" spans="1:15" x14ac:dyDescent="0.2">
      <c r="A37" t="s">
        <v>82</v>
      </c>
      <c r="B37">
        <v>185883061</v>
      </c>
      <c r="C37" t="s">
        <v>11</v>
      </c>
      <c r="D37" t="s">
        <v>16</v>
      </c>
      <c r="E37" t="s">
        <v>36</v>
      </c>
      <c r="F37">
        <v>481819270</v>
      </c>
      <c r="G37" s="23">
        <v>45900</v>
      </c>
      <c r="H37" s="23">
        <v>45930</v>
      </c>
      <c r="I37" s="23">
        <v>45806</v>
      </c>
      <c r="J37" s="27">
        <v>1200</v>
      </c>
      <c r="K37" t="s">
        <v>10</v>
      </c>
      <c r="L37" s="20">
        <v>80</v>
      </c>
      <c r="M37" s="23"/>
      <c r="O37" t="s">
        <v>16</v>
      </c>
    </row>
    <row r="38" spans="1:15" x14ac:dyDescent="0.2">
      <c r="A38" t="s">
        <v>97</v>
      </c>
      <c r="B38">
        <v>182402496</v>
      </c>
      <c r="C38" t="s">
        <v>11</v>
      </c>
      <c r="D38" t="s">
        <v>16</v>
      </c>
      <c r="E38" t="s">
        <v>36</v>
      </c>
      <c r="F38">
        <v>481819270</v>
      </c>
      <c r="G38" s="23">
        <v>45900</v>
      </c>
      <c r="H38" s="23">
        <v>45930</v>
      </c>
      <c r="I38" s="23">
        <v>45699</v>
      </c>
      <c r="J38" s="27">
        <v>3000</v>
      </c>
      <c r="K38" t="s">
        <v>10</v>
      </c>
      <c r="L38" s="20">
        <v>80</v>
      </c>
      <c r="M38" s="23"/>
      <c r="O38" t="s">
        <v>16</v>
      </c>
    </row>
    <row r="39" spans="1:15" x14ac:dyDescent="0.2">
      <c r="A39" t="s">
        <v>166</v>
      </c>
      <c r="B39">
        <v>187693711</v>
      </c>
      <c r="C39" t="s">
        <v>11</v>
      </c>
      <c r="D39" t="s">
        <v>16</v>
      </c>
      <c r="E39" t="s">
        <v>17</v>
      </c>
      <c r="F39">
        <v>481817240</v>
      </c>
      <c r="G39" s="23">
        <v>45900</v>
      </c>
      <c r="H39" s="23">
        <v>45930</v>
      </c>
      <c r="I39" s="23">
        <v>45857</v>
      </c>
      <c r="J39" s="27">
        <v>5555</v>
      </c>
      <c r="K39" t="s">
        <v>10</v>
      </c>
      <c r="L39" s="20">
        <v>80</v>
      </c>
      <c r="M39" s="23"/>
      <c r="O39" t="s">
        <v>16</v>
      </c>
    </row>
    <row r="40" spans="1:15" x14ac:dyDescent="0.2">
      <c r="A40" t="s">
        <v>98</v>
      </c>
      <c r="B40">
        <v>185882960</v>
      </c>
      <c r="C40" t="s">
        <v>11</v>
      </c>
      <c r="D40" t="s">
        <v>16</v>
      </c>
      <c r="E40" t="s">
        <v>99</v>
      </c>
      <c r="F40">
        <v>481819717</v>
      </c>
      <c r="G40" s="23">
        <v>45900</v>
      </c>
      <c r="H40" s="23">
        <v>45940</v>
      </c>
      <c r="I40" s="23">
        <v>45806</v>
      </c>
      <c r="J40" s="27">
        <v>50000</v>
      </c>
      <c r="K40" t="s">
        <v>10</v>
      </c>
      <c r="L40" s="20">
        <v>80</v>
      </c>
      <c r="M40" s="23"/>
      <c r="O40" t="s">
        <v>16</v>
      </c>
    </row>
    <row r="41" spans="1:15" x14ac:dyDescent="0.2">
      <c r="A41" t="s">
        <v>100</v>
      </c>
      <c r="B41">
        <v>181562098</v>
      </c>
      <c r="C41" t="s">
        <v>11</v>
      </c>
      <c r="D41" t="s">
        <v>16</v>
      </c>
      <c r="E41" t="s">
        <v>17</v>
      </c>
      <c r="F41">
        <v>481817240</v>
      </c>
      <c r="G41" s="23">
        <v>45900</v>
      </c>
      <c r="H41" s="23">
        <v>45930</v>
      </c>
      <c r="I41" s="23">
        <v>45674</v>
      </c>
      <c r="J41" s="27">
        <v>27000</v>
      </c>
      <c r="K41" t="s">
        <v>10</v>
      </c>
      <c r="L41" s="20">
        <v>80</v>
      </c>
      <c r="M41" s="23"/>
      <c r="O41" t="s">
        <v>16</v>
      </c>
    </row>
    <row r="42" spans="1:15" x14ac:dyDescent="0.2">
      <c r="A42" t="s">
        <v>180</v>
      </c>
      <c r="B42">
        <v>188092293</v>
      </c>
      <c r="C42" t="s">
        <v>11</v>
      </c>
      <c r="D42" t="s">
        <v>46</v>
      </c>
      <c r="E42" t="s">
        <v>103</v>
      </c>
      <c r="F42">
        <v>481819160</v>
      </c>
      <c r="G42" s="23">
        <v>45900</v>
      </c>
      <c r="H42" s="23">
        <v>46053</v>
      </c>
      <c r="I42" s="23">
        <v>45867</v>
      </c>
      <c r="J42" s="27">
        <v>1900000</v>
      </c>
      <c r="K42" t="s">
        <v>10</v>
      </c>
      <c r="L42" s="20">
        <v>80</v>
      </c>
      <c r="M42" s="23"/>
      <c r="N42" t="s">
        <v>179</v>
      </c>
      <c r="O42" t="s">
        <v>145</v>
      </c>
    </row>
    <row r="43" spans="1:15" x14ac:dyDescent="0.2">
      <c r="A43" t="s">
        <v>181</v>
      </c>
      <c r="B43">
        <v>163121035</v>
      </c>
      <c r="C43" t="s">
        <v>11</v>
      </c>
      <c r="D43" t="s">
        <v>46</v>
      </c>
      <c r="E43" t="s">
        <v>103</v>
      </c>
      <c r="F43">
        <v>481819160</v>
      </c>
      <c r="G43" s="23">
        <v>45900</v>
      </c>
      <c r="H43" s="23">
        <v>46053</v>
      </c>
      <c r="I43" s="23">
        <v>45231</v>
      </c>
      <c r="J43" s="27">
        <v>650000</v>
      </c>
      <c r="K43" t="s">
        <v>10</v>
      </c>
      <c r="L43" s="20">
        <v>80</v>
      </c>
      <c r="M43" s="23">
        <v>45680.742442129631</v>
      </c>
      <c r="N43" t="s">
        <v>179</v>
      </c>
      <c r="O43" t="s">
        <v>145</v>
      </c>
    </row>
    <row r="44" spans="1:15" x14ac:dyDescent="0.2">
      <c r="A44" t="s">
        <v>182</v>
      </c>
      <c r="B44">
        <v>188092230</v>
      </c>
      <c r="C44" t="s">
        <v>11</v>
      </c>
      <c r="D44" t="s">
        <v>46</v>
      </c>
      <c r="E44" t="s">
        <v>103</v>
      </c>
      <c r="F44">
        <v>481819160</v>
      </c>
      <c r="G44" s="23">
        <v>45900</v>
      </c>
      <c r="H44" s="23">
        <v>46053</v>
      </c>
      <c r="I44" s="23">
        <v>45867</v>
      </c>
      <c r="J44" s="27">
        <v>1000000</v>
      </c>
      <c r="K44" t="s">
        <v>10</v>
      </c>
      <c r="L44" s="20">
        <v>80</v>
      </c>
      <c r="M44" s="23"/>
      <c r="N44" t="s">
        <v>179</v>
      </c>
      <c r="O44" t="s">
        <v>145</v>
      </c>
    </row>
    <row r="45" spans="1:15" x14ac:dyDescent="0.2">
      <c r="A45" t="s">
        <v>92</v>
      </c>
      <c r="B45">
        <v>185958603</v>
      </c>
      <c r="C45" t="s">
        <v>11</v>
      </c>
      <c r="D45" t="s">
        <v>46</v>
      </c>
      <c r="E45" t="s">
        <v>68</v>
      </c>
      <c r="F45">
        <v>481819172</v>
      </c>
      <c r="G45" s="23">
        <v>45900</v>
      </c>
      <c r="H45" s="23">
        <v>46112</v>
      </c>
      <c r="I45" s="23">
        <v>45810</v>
      </c>
      <c r="J45" s="27">
        <v>1500000</v>
      </c>
      <c r="K45" t="s">
        <v>10</v>
      </c>
      <c r="L45" s="20">
        <v>80</v>
      </c>
      <c r="M45" s="23"/>
      <c r="O45" t="s">
        <v>120</v>
      </c>
    </row>
    <row r="46" spans="1:15" x14ac:dyDescent="0.2">
      <c r="A46" t="s">
        <v>188</v>
      </c>
      <c r="B46">
        <v>183016659</v>
      </c>
      <c r="C46" t="s">
        <v>105</v>
      </c>
      <c r="D46" t="s">
        <v>20</v>
      </c>
      <c r="E46" t="s">
        <v>49</v>
      </c>
      <c r="F46">
        <v>481821384</v>
      </c>
      <c r="G46" s="23">
        <v>45900</v>
      </c>
      <c r="H46" s="23">
        <v>45777</v>
      </c>
      <c r="I46" s="23">
        <v>45716</v>
      </c>
      <c r="J46" s="27">
        <v>7000</v>
      </c>
      <c r="K46" t="s">
        <v>10</v>
      </c>
      <c r="L46" s="20">
        <v>80</v>
      </c>
      <c r="M46" s="23"/>
      <c r="O46" t="s">
        <v>168</v>
      </c>
    </row>
    <row r="47" spans="1:15" x14ac:dyDescent="0.2">
      <c r="A47" t="s">
        <v>124</v>
      </c>
      <c r="B47">
        <v>185260539</v>
      </c>
      <c r="C47" t="s">
        <v>12</v>
      </c>
      <c r="D47" t="s">
        <v>9</v>
      </c>
      <c r="E47" t="s">
        <v>80</v>
      </c>
      <c r="F47">
        <v>543109518</v>
      </c>
      <c r="G47" s="23">
        <v>45898</v>
      </c>
      <c r="H47" s="23">
        <v>45930</v>
      </c>
      <c r="I47" s="23">
        <v>45789</v>
      </c>
      <c r="J47" s="27">
        <v>45000</v>
      </c>
      <c r="K47" t="s">
        <v>10</v>
      </c>
      <c r="L47" s="20">
        <v>85</v>
      </c>
      <c r="M47" s="23"/>
      <c r="O47" t="s">
        <v>122</v>
      </c>
    </row>
    <row r="48" spans="1:15" x14ac:dyDescent="0.2">
      <c r="A48" t="s">
        <v>123</v>
      </c>
      <c r="B48">
        <v>187832117</v>
      </c>
      <c r="C48" t="s">
        <v>12</v>
      </c>
      <c r="D48" t="s">
        <v>9</v>
      </c>
      <c r="E48" t="s">
        <v>80</v>
      </c>
      <c r="F48">
        <v>543109518</v>
      </c>
      <c r="G48" s="23">
        <v>45898</v>
      </c>
      <c r="H48" s="23">
        <v>45930</v>
      </c>
      <c r="I48" s="23">
        <v>45860</v>
      </c>
      <c r="J48" s="27">
        <v>40000</v>
      </c>
      <c r="K48" t="s">
        <v>10</v>
      </c>
      <c r="L48" s="20">
        <v>90</v>
      </c>
      <c r="M48" s="23"/>
      <c r="O48" t="s">
        <v>122</v>
      </c>
    </row>
    <row r="49" spans="1:15" x14ac:dyDescent="0.2">
      <c r="A49" t="s">
        <v>157</v>
      </c>
      <c r="B49">
        <v>187683066</v>
      </c>
      <c r="C49" t="s">
        <v>12</v>
      </c>
      <c r="D49" t="s">
        <v>15</v>
      </c>
      <c r="E49" t="s">
        <v>59</v>
      </c>
      <c r="F49">
        <v>481819704</v>
      </c>
      <c r="G49" s="23">
        <v>45898</v>
      </c>
      <c r="H49" s="23">
        <v>45989</v>
      </c>
      <c r="I49" s="23">
        <v>45856</v>
      </c>
      <c r="J49" s="27">
        <v>6000</v>
      </c>
      <c r="K49" t="s">
        <v>10</v>
      </c>
      <c r="L49" s="20">
        <v>90</v>
      </c>
      <c r="M49" s="23"/>
      <c r="O49" t="s">
        <v>153</v>
      </c>
    </row>
    <row r="50" spans="1:15" x14ac:dyDescent="0.2">
      <c r="A50" t="s">
        <v>162</v>
      </c>
      <c r="B50">
        <v>187428024</v>
      </c>
      <c r="C50" t="s">
        <v>12</v>
      </c>
      <c r="D50" t="s">
        <v>15</v>
      </c>
      <c r="E50" t="s">
        <v>54</v>
      </c>
      <c r="F50">
        <v>481819053</v>
      </c>
      <c r="G50" s="23">
        <v>45898</v>
      </c>
      <c r="H50" s="23">
        <v>45989</v>
      </c>
      <c r="I50" s="23">
        <v>45849</v>
      </c>
      <c r="J50" s="27">
        <v>10000</v>
      </c>
      <c r="K50" t="s">
        <v>10</v>
      </c>
      <c r="L50" s="20">
        <v>90</v>
      </c>
      <c r="M50" s="23"/>
      <c r="O50" t="s">
        <v>153</v>
      </c>
    </row>
    <row r="51" spans="1:15" x14ac:dyDescent="0.2">
      <c r="A51" t="s">
        <v>167</v>
      </c>
      <c r="B51">
        <v>187860848</v>
      </c>
      <c r="C51" t="s">
        <v>12</v>
      </c>
      <c r="D51" t="s">
        <v>122</v>
      </c>
      <c r="E51" t="s">
        <v>147</v>
      </c>
      <c r="F51">
        <v>481819353</v>
      </c>
      <c r="G51" s="23">
        <v>45898</v>
      </c>
      <c r="H51" s="23">
        <v>45961</v>
      </c>
      <c r="I51" s="23">
        <v>45861</v>
      </c>
      <c r="J51" s="27">
        <v>90000</v>
      </c>
      <c r="K51" t="s">
        <v>10</v>
      </c>
      <c r="L51" s="20">
        <v>90</v>
      </c>
      <c r="M51" s="23"/>
      <c r="O51" t="s">
        <v>168</v>
      </c>
    </row>
    <row r="52" spans="1:15" x14ac:dyDescent="0.2">
      <c r="A52" t="s">
        <v>139</v>
      </c>
      <c r="B52">
        <v>187596112</v>
      </c>
      <c r="C52" t="s">
        <v>12</v>
      </c>
      <c r="D52" t="s">
        <v>111</v>
      </c>
      <c r="E52" t="s">
        <v>129</v>
      </c>
      <c r="F52">
        <v>524170934</v>
      </c>
      <c r="G52" s="23">
        <v>45899</v>
      </c>
      <c r="H52" s="23">
        <v>45950</v>
      </c>
      <c r="I52" s="23">
        <v>45854</v>
      </c>
      <c r="J52" s="27">
        <v>365000</v>
      </c>
      <c r="K52" t="s">
        <v>10</v>
      </c>
      <c r="L52" s="20">
        <v>90</v>
      </c>
      <c r="M52" s="23"/>
      <c r="O52" t="s">
        <v>111</v>
      </c>
    </row>
    <row r="53" spans="1:15" x14ac:dyDescent="0.2">
      <c r="A53" t="s">
        <v>150</v>
      </c>
      <c r="B53">
        <v>183513639</v>
      </c>
      <c r="C53" t="s">
        <v>12</v>
      </c>
      <c r="D53" t="s">
        <v>69</v>
      </c>
      <c r="E53" t="s">
        <v>151</v>
      </c>
      <c r="F53">
        <v>542266186</v>
      </c>
      <c r="G53" s="23">
        <v>45899</v>
      </c>
      <c r="H53" s="23">
        <v>46022</v>
      </c>
      <c r="I53" s="23">
        <v>45730</v>
      </c>
      <c r="J53" s="27">
        <v>42000</v>
      </c>
      <c r="K53" t="s">
        <v>10</v>
      </c>
      <c r="L53" s="20">
        <v>90</v>
      </c>
      <c r="M53" s="23"/>
      <c r="O53" t="s">
        <v>111</v>
      </c>
    </row>
    <row r="54" spans="1:15" x14ac:dyDescent="0.2">
      <c r="A54" t="s">
        <v>156</v>
      </c>
      <c r="B54">
        <v>182167850</v>
      </c>
      <c r="C54" t="s">
        <v>12</v>
      </c>
      <c r="D54" t="s">
        <v>15</v>
      </c>
      <c r="E54" t="s">
        <v>148</v>
      </c>
      <c r="F54">
        <v>481816139</v>
      </c>
      <c r="G54" s="23">
        <v>45899</v>
      </c>
      <c r="H54" s="23">
        <v>45989</v>
      </c>
      <c r="I54" s="23">
        <v>45692</v>
      </c>
      <c r="J54" s="27">
        <v>60000</v>
      </c>
      <c r="K54" t="s">
        <v>10</v>
      </c>
      <c r="L54" s="20">
        <v>90</v>
      </c>
      <c r="M54" s="23"/>
      <c r="O54" t="s">
        <v>153</v>
      </c>
    </row>
    <row r="55" spans="1:15" x14ac:dyDescent="0.2">
      <c r="A55" t="s">
        <v>161</v>
      </c>
      <c r="B55">
        <v>185417196</v>
      </c>
      <c r="C55" t="s">
        <v>12</v>
      </c>
      <c r="D55" t="s">
        <v>15</v>
      </c>
      <c r="E55" t="s">
        <v>54</v>
      </c>
      <c r="F55">
        <v>481819053</v>
      </c>
      <c r="G55" s="23">
        <v>45899</v>
      </c>
      <c r="H55" s="23">
        <v>45961</v>
      </c>
      <c r="I55" s="23">
        <v>45793</v>
      </c>
      <c r="J55" s="27">
        <v>180000</v>
      </c>
      <c r="K55" t="s">
        <v>10</v>
      </c>
      <c r="L55" s="20">
        <v>90</v>
      </c>
      <c r="M55" s="23"/>
      <c r="O55" t="s">
        <v>153</v>
      </c>
    </row>
    <row r="56" spans="1:15" x14ac:dyDescent="0.2">
      <c r="A56" t="s">
        <v>94</v>
      </c>
      <c r="B56">
        <v>186838797</v>
      </c>
      <c r="C56" t="s">
        <v>12</v>
      </c>
      <c r="D56" t="s">
        <v>15</v>
      </c>
      <c r="E56" t="s">
        <v>54</v>
      </c>
      <c r="F56">
        <v>481819053</v>
      </c>
      <c r="G56" s="23">
        <v>45899</v>
      </c>
      <c r="H56" s="23">
        <v>45989</v>
      </c>
      <c r="I56" s="23">
        <v>45834</v>
      </c>
      <c r="J56" s="27">
        <v>150000</v>
      </c>
      <c r="K56" t="s">
        <v>10</v>
      </c>
      <c r="L56" s="20">
        <v>90</v>
      </c>
      <c r="M56" s="23"/>
      <c r="O56" t="s">
        <v>153</v>
      </c>
    </row>
    <row r="57" spans="1:15" x14ac:dyDescent="0.2">
      <c r="A57" t="s">
        <v>107</v>
      </c>
      <c r="B57">
        <v>187821751</v>
      </c>
      <c r="C57" t="s">
        <v>12</v>
      </c>
      <c r="D57" t="s">
        <v>106</v>
      </c>
      <c r="E57" t="s">
        <v>108</v>
      </c>
      <c r="F57">
        <v>481819786</v>
      </c>
      <c r="G57" s="23">
        <v>45900</v>
      </c>
      <c r="H57" s="23">
        <v>45900</v>
      </c>
      <c r="I57" s="23">
        <v>45860</v>
      </c>
      <c r="J57" s="27">
        <v>15000</v>
      </c>
      <c r="K57" t="s">
        <v>10</v>
      </c>
      <c r="L57" s="20">
        <v>90</v>
      </c>
      <c r="M57" s="23"/>
      <c r="O57" t="s">
        <v>109</v>
      </c>
    </row>
    <row r="58" spans="1:15" x14ac:dyDescent="0.2">
      <c r="A58" t="s">
        <v>118</v>
      </c>
      <c r="B58">
        <v>184836630</v>
      </c>
      <c r="C58" t="s">
        <v>11</v>
      </c>
      <c r="D58" t="s">
        <v>106</v>
      </c>
      <c r="E58" t="s">
        <v>119</v>
      </c>
      <c r="F58">
        <v>542044714</v>
      </c>
      <c r="G58" s="23">
        <v>45900</v>
      </c>
      <c r="H58" s="23">
        <v>45930</v>
      </c>
      <c r="I58" s="23">
        <v>45775</v>
      </c>
      <c r="J58" s="27">
        <v>75000</v>
      </c>
      <c r="K58" t="s">
        <v>10</v>
      </c>
      <c r="L58" s="20">
        <v>90</v>
      </c>
      <c r="M58" s="23"/>
      <c r="O58" t="s">
        <v>109</v>
      </c>
    </row>
    <row r="59" spans="1:15" x14ac:dyDescent="0.2">
      <c r="A59" t="s">
        <v>61</v>
      </c>
      <c r="B59">
        <v>178955517</v>
      </c>
      <c r="C59" t="s">
        <v>13</v>
      </c>
      <c r="D59" t="s">
        <v>52</v>
      </c>
      <c r="E59" t="s">
        <v>51</v>
      </c>
      <c r="F59">
        <v>481819601</v>
      </c>
      <c r="G59" s="23">
        <v>45900</v>
      </c>
      <c r="H59" s="23">
        <v>45898</v>
      </c>
      <c r="I59" s="23">
        <v>45600</v>
      </c>
      <c r="J59" s="27">
        <v>130000</v>
      </c>
      <c r="K59" t="s">
        <v>10</v>
      </c>
      <c r="L59" s="20">
        <v>90</v>
      </c>
      <c r="M59" s="23"/>
      <c r="O59" t="s">
        <v>140</v>
      </c>
    </row>
    <row r="60" spans="1:15" x14ac:dyDescent="0.2">
      <c r="A60" t="s">
        <v>141</v>
      </c>
      <c r="B60">
        <v>187564262</v>
      </c>
      <c r="C60" t="s">
        <v>12</v>
      </c>
      <c r="D60" t="s">
        <v>48</v>
      </c>
      <c r="E60" t="s">
        <v>142</v>
      </c>
      <c r="F60">
        <v>481821212</v>
      </c>
      <c r="G60" s="23">
        <v>45900</v>
      </c>
      <c r="H60" s="23">
        <v>45961</v>
      </c>
      <c r="I60" s="23">
        <v>45853</v>
      </c>
      <c r="J60" s="27">
        <v>11000</v>
      </c>
      <c r="K60" t="s">
        <v>10</v>
      </c>
      <c r="L60" s="20">
        <v>90</v>
      </c>
      <c r="M60" s="23"/>
      <c r="O60" t="s">
        <v>85</v>
      </c>
    </row>
    <row r="61" spans="1:15" x14ac:dyDescent="0.2">
      <c r="A61" t="s">
        <v>146</v>
      </c>
      <c r="B61">
        <v>188136248</v>
      </c>
      <c r="C61" t="s">
        <v>12</v>
      </c>
      <c r="D61" t="s">
        <v>48</v>
      </c>
      <c r="E61" t="s">
        <v>53</v>
      </c>
      <c r="F61">
        <v>481819234</v>
      </c>
      <c r="G61" s="23">
        <v>45900</v>
      </c>
      <c r="H61" s="23">
        <v>45961</v>
      </c>
      <c r="I61" s="23">
        <v>45868</v>
      </c>
      <c r="J61" s="27">
        <v>16000</v>
      </c>
      <c r="K61" t="s">
        <v>10</v>
      </c>
      <c r="L61" s="20">
        <v>90</v>
      </c>
      <c r="M61" s="23"/>
      <c r="O61" t="s">
        <v>85</v>
      </c>
    </row>
    <row r="62" spans="1:15" x14ac:dyDescent="0.2">
      <c r="A62" t="s">
        <v>173</v>
      </c>
      <c r="B62">
        <v>184957112</v>
      </c>
      <c r="C62" t="s">
        <v>13</v>
      </c>
      <c r="D62" t="s">
        <v>18</v>
      </c>
      <c r="E62" t="s">
        <v>44</v>
      </c>
      <c r="F62">
        <v>481818388</v>
      </c>
      <c r="G62" s="23">
        <v>45900</v>
      </c>
      <c r="H62" s="23">
        <v>45945</v>
      </c>
      <c r="I62" s="23">
        <v>45778</v>
      </c>
      <c r="J62" s="27">
        <v>450000</v>
      </c>
      <c r="K62" t="s">
        <v>10</v>
      </c>
      <c r="L62" s="20">
        <v>90</v>
      </c>
      <c r="M62" s="23"/>
      <c r="O62" t="s">
        <v>18</v>
      </c>
    </row>
    <row r="63" spans="1:15" x14ac:dyDescent="0.2">
      <c r="A63" t="s">
        <v>89</v>
      </c>
      <c r="B63">
        <v>185183800</v>
      </c>
      <c r="C63" t="s">
        <v>13</v>
      </c>
      <c r="D63" t="s">
        <v>46</v>
      </c>
      <c r="E63" t="s">
        <v>90</v>
      </c>
      <c r="F63">
        <v>542901881</v>
      </c>
      <c r="G63" s="23">
        <v>45900</v>
      </c>
      <c r="H63" s="23">
        <v>45989</v>
      </c>
      <c r="I63" s="23">
        <v>45785</v>
      </c>
      <c r="J63" s="27">
        <v>163000</v>
      </c>
      <c r="K63" t="s">
        <v>10</v>
      </c>
      <c r="L63" s="20">
        <v>90</v>
      </c>
      <c r="M63" s="23"/>
      <c r="O63" t="s">
        <v>140</v>
      </c>
    </row>
    <row r="64" spans="1:15" x14ac:dyDescent="0.2">
      <c r="A64" t="s">
        <v>178</v>
      </c>
      <c r="B64">
        <v>184695451</v>
      </c>
      <c r="C64" t="s">
        <v>12</v>
      </c>
      <c r="D64" t="s">
        <v>46</v>
      </c>
      <c r="E64" t="s">
        <v>103</v>
      </c>
      <c r="F64">
        <v>481819160</v>
      </c>
      <c r="G64" s="23">
        <v>45900</v>
      </c>
      <c r="H64" s="23">
        <v>46053</v>
      </c>
      <c r="I64" s="23">
        <v>45770</v>
      </c>
      <c r="J64" s="27">
        <v>869000</v>
      </c>
      <c r="K64" t="s">
        <v>10</v>
      </c>
      <c r="L64" s="20">
        <v>90</v>
      </c>
      <c r="M64" s="23"/>
      <c r="N64" t="s">
        <v>179</v>
      </c>
      <c r="O64" t="s">
        <v>145</v>
      </c>
    </row>
    <row r="65" spans="1:15" x14ac:dyDescent="0.2">
      <c r="A65" t="s">
        <v>101</v>
      </c>
      <c r="B65">
        <v>186475427</v>
      </c>
      <c r="C65" t="s">
        <v>12</v>
      </c>
      <c r="D65" t="s">
        <v>76</v>
      </c>
      <c r="E65" t="s">
        <v>60</v>
      </c>
      <c r="F65">
        <v>481818437</v>
      </c>
      <c r="G65" s="23">
        <v>45900</v>
      </c>
      <c r="H65" s="23">
        <v>46058</v>
      </c>
      <c r="I65" s="23">
        <v>45824</v>
      </c>
      <c r="J65" s="27">
        <v>60000</v>
      </c>
      <c r="K65" t="s">
        <v>10</v>
      </c>
      <c r="L65" s="20">
        <v>90</v>
      </c>
      <c r="M65" s="23"/>
      <c r="O65" t="s">
        <v>76</v>
      </c>
    </row>
    <row r="66" spans="1:15" x14ac:dyDescent="0.2">
      <c r="A66" t="s">
        <v>79</v>
      </c>
      <c r="B66">
        <v>172901721</v>
      </c>
      <c r="C66" t="s">
        <v>12</v>
      </c>
      <c r="D66" t="s">
        <v>20</v>
      </c>
      <c r="E66" t="s">
        <v>49</v>
      </c>
      <c r="F66">
        <v>481821384</v>
      </c>
      <c r="G66" s="23">
        <v>45900</v>
      </c>
      <c r="H66" s="23">
        <v>45989</v>
      </c>
      <c r="I66" s="23">
        <v>45448</v>
      </c>
      <c r="J66" s="27">
        <v>50000</v>
      </c>
      <c r="K66" t="s">
        <v>10</v>
      </c>
      <c r="L66" s="20">
        <v>90</v>
      </c>
      <c r="M66" s="23"/>
      <c r="O66" t="s">
        <v>168</v>
      </c>
    </row>
    <row r="67" spans="1:15" x14ac:dyDescent="0.2">
      <c r="A67" t="s">
        <v>138</v>
      </c>
      <c r="B67">
        <v>172946561</v>
      </c>
      <c r="C67" t="s">
        <v>12</v>
      </c>
      <c r="D67" t="s">
        <v>43</v>
      </c>
      <c r="E67" t="s">
        <v>137</v>
      </c>
      <c r="F67">
        <v>494885285</v>
      </c>
      <c r="G67" s="23">
        <v>45899</v>
      </c>
      <c r="H67" s="23">
        <v>46142</v>
      </c>
      <c r="I67" s="23">
        <v>45449</v>
      </c>
      <c r="J67" s="27">
        <v>35307</v>
      </c>
      <c r="K67" t="s">
        <v>10</v>
      </c>
      <c r="L67" s="20">
        <v>100</v>
      </c>
      <c r="M67" s="23"/>
      <c r="O67" t="s">
        <v>43</v>
      </c>
    </row>
    <row r="68" spans="1:15" x14ac:dyDescent="0.2">
      <c r="A68" t="s">
        <v>177</v>
      </c>
      <c r="B68">
        <v>187257581</v>
      </c>
      <c r="C68" t="s">
        <v>12</v>
      </c>
      <c r="D68" t="s">
        <v>46</v>
      </c>
      <c r="E68" t="s">
        <v>121</v>
      </c>
      <c r="F68">
        <v>481816702</v>
      </c>
      <c r="G68" s="23">
        <v>45900</v>
      </c>
      <c r="H68" s="23">
        <v>45900</v>
      </c>
      <c r="I68" s="23">
        <v>45846</v>
      </c>
      <c r="J68" s="27">
        <v>250264</v>
      </c>
      <c r="K68" t="s">
        <v>10</v>
      </c>
      <c r="L68" s="20">
        <v>100</v>
      </c>
      <c r="M68" s="23"/>
      <c r="O68" t="s">
        <v>120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4089-4314-6142-80CD-B5A72F6885FB}">
  <dimension ref="A1:O1003"/>
  <sheetViews>
    <sheetView zoomScale="215" workbookViewId="0">
      <pane xSplit="1" ySplit="1" topLeftCell="M158" activePane="bottomRight" state="frozen"/>
      <selection pane="topRight" activeCell="B1" sqref="B1"/>
      <selection pane="bottomLeft" activeCell="A2" sqref="A2"/>
      <selection pane="bottomRight" activeCell="A2" sqref="A2:O1003"/>
    </sheetView>
  </sheetViews>
  <sheetFormatPr baseColWidth="10" defaultColWidth="10.83203125" defaultRowHeight="16" x14ac:dyDescent="0.2"/>
  <cols>
    <col min="1" max="1" width="13.33203125" style="14" bestFit="1" customWidth="1"/>
    <col min="2" max="2" width="27" style="15" bestFit="1" customWidth="1"/>
    <col min="3" max="3" width="55.83203125" style="16" bestFit="1" customWidth="1"/>
    <col min="4" max="4" width="19.1640625" style="16" bestFit="1" customWidth="1"/>
    <col min="5" max="5" width="14.1640625" style="16" bestFit="1" customWidth="1"/>
    <col min="6" max="6" width="13.1640625" style="17" bestFit="1" customWidth="1"/>
    <col min="7" max="8" width="13.83203125" style="17" bestFit="1" customWidth="1"/>
    <col min="9" max="9" width="14.6640625" style="17" bestFit="1" customWidth="1"/>
    <col min="10" max="10" width="13.83203125" style="17" bestFit="1" customWidth="1"/>
    <col min="11" max="11" width="28" style="18" bestFit="1" customWidth="1"/>
    <col min="12" max="15" width="44.6640625" style="16" bestFit="1" customWidth="1"/>
    <col min="16" max="16" width="10.83203125" style="8"/>
    <col min="17" max="17" width="16.83203125" style="8" bestFit="1" customWidth="1"/>
    <col min="18" max="16384" width="10.83203125" style="8"/>
  </cols>
  <sheetData>
    <row r="1" spans="1:15" x14ac:dyDescent="0.2">
      <c r="A1" s="4" t="s">
        <v>23</v>
      </c>
      <c r="B1" s="5" t="s">
        <v>24</v>
      </c>
      <c r="C1" s="6" t="s">
        <v>25</v>
      </c>
      <c r="D1" s="6" t="s">
        <v>26</v>
      </c>
      <c r="E1" s="6" t="s">
        <v>2</v>
      </c>
      <c r="F1" s="7" t="s">
        <v>27</v>
      </c>
      <c r="G1" s="7" t="s">
        <v>28</v>
      </c>
      <c r="H1" s="7" t="s">
        <v>29</v>
      </c>
      <c r="I1" s="7" t="s">
        <v>30</v>
      </c>
      <c r="J1" s="7" t="s">
        <v>31</v>
      </c>
      <c r="K1" s="4" t="s">
        <v>32</v>
      </c>
      <c r="L1" s="6" t="s">
        <v>33</v>
      </c>
      <c r="M1" s="6" t="s">
        <v>22</v>
      </c>
      <c r="N1" s="6" t="s">
        <v>34</v>
      </c>
      <c r="O1" s="6" t="s">
        <v>35</v>
      </c>
    </row>
    <row r="2" spans="1:15" x14ac:dyDescent="0.2">
      <c r="A2" s="9" t="s">
        <v>190</v>
      </c>
      <c r="B2" s="10">
        <v>45877</v>
      </c>
      <c r="C2" s="9" t="s">
        <v>191</v>
      </c>
      <c r="D2" s="9" t="s">
        <v>19</v>
      </c>
      <c r="E2" s="9" t="s">
        <v>192</v>
      </c>
      <c r="F2" s="11">
        <v>0</v>
      </c>
      <c r="G2" s="11">
        <v>0</v>
      </c>
      <c r="H2" s="11">
        <v>0</v>
      </c>
      <c r="I2" s="11">
        <v>19.989999999999998</v>
      </c>
      <c r="J2" s="11">
        <v>-19.989999999999998</v>
      </c>
      <c r="K2" s="12">
        <v>0</v>
      </c>
      <c r="L2" s="9" t="s">
        <v>130</v>
      </c>
      <c r="M2" s="9" t="s">
        <v>19</v>
      </c>
      <c r="N2" s="9" t="s">
        <v>130</v>
      </c>
      <c r="O2" s="9">
        <v>0</v>
      </c>
    </row>
    <row r="3" spans="1:15" x14ac:dyDescent="0.2">
      <c r="A3" s="9" t="s">
        <v>190</v>
      </c>
      <c r="B3" s="10">
        <v>45884</v>
      </c>
      <c r="C3" s="9" t="s">
        <v>191</v>
      </c>
      <c r="D3" s="9" t="s">
        <v>19</v>
      </c>
      <c r="E3" s="9" t="s">
        <v>192</v>
      </c>
      <c r="F3" s="11">
        <v>0</v>
      </c>
      <c r="G3" s="11">
        <v>0</v>
      </c>
      <c r="H3" s="11">
        <v>0</v>
      </c>
      <c r="I3" s="11">
        <v>929.63</v>
      </c>
      <c r="J3" s="11">
        <v>-929.63</v>
      </c>
      <c r="K3" s="12">
        <v>0</v>
      </c>
      <c r="L3" s="9" t="s">
        <v>130</v>
      </c>
      <c r="M3" s="9" t="s">
        <v>19</v>
      </c>
      <c r="N3" s="9" t="s">
        <v>130</v>
      </c>
      <c r="O3" s="9">
        <v>0</v>
      </c>
    </row>
    <row r="4" spans="1:15" x14ac:dyDescent="0.2">
      <c r="A4" s="9" t="s">
        <v>190</v>
      </c>
      <c r="B4" s="10">
        <v>45887</v>
      </c>
      <c r="C4" s="9" t="s">
        <v>191</v>
      </c>
      <c r="D4" s="9" t="s">
        <v>19</v>
      </c>
      <c r="E4" s="9" t="s">
        <v>192</v>
      </c>
      <c r="F4" s="11">
        <v>0</v>
      </c>
      <c r="G4" s="11">
        <v>0</v>
      </c>
      <c r="H4" s="11">
        <v>0</v>
      </c>
      <c r="I4" s="11">
        <v>-780</v>
      </c>
      <c r="J4" s="11">
        <v>780</v>
      </c>
      <c r="K4" s="12">
        <v>0</v>
      </c>
      <c r="L4" s="9" t="s">
        <v>130</v>
      </c>
      <c r="M4" s="9" t="s">
        <v>19</v>
      </c>
      <c r="N4" s="9" t="s">
        <v>130</v>
      </c>
      <c r="O4" s="9">
        <v>0</v>
      </c>
    </row>
    <row r="5" spans="1:15" x14ac:dyDescent="0.2">
      <c r="A5" s="9" t="s">
        <v>193</v>
      </c>
      <c r="B5" s="10">
        <v>45890</v>
      </c>
      <c r="C5" s="9" t="s">
        <v>191</v>
      </c>
      <c r="D5" s="9" t="s">
        <v>19</v>
      </c>
      <c r="E5" s="9" t="s">
        <v>192</v>
      </c>
      <c r="F5" s="11">
        <v>2040</v>
      </c>
      <c r="G5" s="11">
        <v>0</v>
      </c>
      <c r="H5" s="11">
        <v>2040</v>
      </c>
      <c r="I5" s="11">
        <v>1000.03</v>
      </c>
      <c r="J5" s="11">
        <v>1039.97</v>
      </c>
      <c r="K5" s="12">
        <v>0.50978922000000004</v>
      </c>
      <c r="L5" s="9" t="s">
        <v>130</v>
      </c>
      <c r="M5" s="9" t="s">
        <v>19</v>
      </c>
      <c r="N5" s="9" t="s">
        <v>130</v>
      </c>
      <c r="O5" s="9">
        <v>1</v>
      </c>
    </row>
    <row r="6" spans="1:15" x14ac:dyDescent="0.2">
      <c r="A6" s="9" t="s">
        <v>190</v>
      </c>
      <c r="B6" s="10">
        <v>45891</v>
      </c>
      <c r="C6" s="9" t="s">
        <v>191</v>
      </c>
      <c r="D6" s="9" t="s">
        <v>19</v>
      </c>
      <c r="E6" s="9" t="s">
        <v>192</v>
      </c>
      <c r="F6" s="11">
        <v>0</v>
      </c>
      <c r="G6" s="11">
        <v>0</v>
      </c>
      <c r="H6" s="11">
        <v>0</v>
      </c>
      <c r="I6" s="11">
        <v>-160</v>
      </c>
      <c r="J6" s="11">
        <v>160</v>
      </c>
      <c r="K6" s="12">
        <v>0</v>
      </c>
      <c r="L6" s="9" t="s">
        <v>130</v>
      </c>
      <c r="M6" s="9" t="s">
        <v>19</v>
      </c>
      <c r="N6" s="9" t="s">
        <v>130</v>
      </c>
      <c r="O6" s="9">
        <v>0</v>
      </c>
    </row>
    <row r="7" spans="1:15" x14ac:dyDescent="0.2">
      <c r="A7" s="9" t="s">
        <v>194</v>
      </c>
      <c r="B7" s="10">
        <v>45897</v>
      </c>
      <c r="C7" s="9" t="s">
        <v>191</v>
      </c>
      <c r="D7" s="9" t="s">
        <v>19</v>
      </c>
      <c r="E7" s="9" t="s">
        <v>192</v>
      </c>
      <c r="F7" s="11">
        <v>0</v>
      </c>
      <c r="G7" s="11">
        <v>0</v>
      </c>
      <c r="H7" s="11">
        <v>0</v>
      </c>
      <c r="I7" s="11">
        <v>6805</v>
      </c>
      <c r="J7" s="11">
        <v>-6805</v>
      </c>
      <c r="K7" s="12">
        <v>0</v>
      </c>
      <c r="L7" s="9" t="s">
        <v>130</v>
      </c>
      <c r="M7" s="9" t="s">
        <v>19</v>
      </c>
      <c r="N7" s="9" t="s">
        <v>130</v>
      </c>
      <c r="O7" s="9">
        <v>0</v>
      </c>
    </row>
    <row r="8" spans="1:15" x14ac:dyDescent="0.2">
      <c r="A8" s="9" t="s">
        <v>190</v>
      </c>
      <c r="B8" s="10">
        <v>45897</v>
      </c>
      <c r="C8" s="9" t="s">
        <v>191</v>
      </c>
      <c r="D8" s="9" t="s">
        <v>19</v>
      </c>
      <c r="E8" s="9" t="s">
        <v>192</v>
      </c>
      <c r="F8" s="11">
        <v>0</v>
      </c>
      <c r="G8" s="11">
        <v>0</v>
      </c>
      <c r="H8" s="11">
        <v>0</v>
      </c>
      <c r="I8" s="11">
        <v>8.68</v>
      </c>
      <c r="J8" s="11">
        <v>-8.68</v>
      </c>
      <c r="K8" s="12">
        <v>0</v>
      </c>
      <c r="L8" s="9" t="s">
        <v>130</v>
      </c>
      <c r="M8" s="9" t="s">
        <v>19</v>
      </c>
      <c r="N8" s="9" t="s">
        <v>130</v>
      </c>
      <c r="O8" s="9">
        <v>0</v>
      </c>
    </row>
    <row r="9" spans="1:15" x14ac:dyDescent="0.2">
      <c r="A9" s="9" t="s">
        <v>195</v>
      </c>
      <c r="B9" s="10">
        <v>45897</v>
      </c>
      <c r="C9" s="9" t="s">
        <v>196</v>
      </c>
      <c r="D9" s="9" t="s">
        <v>19</v>
      </c>
      <c r="E9" s="9" t="s">
        <v>192</v>
      </c>
      <c r="F9" s="11">
        <v>6786</v>
      </c>
      <c r="G9" s="11">
        <v>0</v>
      </c>
      <c r="H9" s="11">
        <v>6786</v>
      </c>
      <c r="I9" s="11">
        <v>5588.38</v>
      </c>
      <c r="J9" s="11">
        <v>1197.6199999999999</v>
      </c>
      <c r="K9" s="12">
        <v>0.17648394000000001</v>
      </c>
      <c r="L9" s="9" t="s">
        <v>143</v>
      </c>
      <c r="M9" s="9" t="s">
        <v>19</v>
      </c>
      <c r="N9" s="9" t="s">
        <v>143</v>
      </c>
      <c r="O9" s="9">
        <v>1</v>
      </c>
    </row>
    <row r="10" spans="1:15" x14ac:dyDescent="0.2">
      <c r="A10" s="9" t="s">
        <v>197</v>
      </c>
      <c r="B10" s="10">
        <v>45870</v>
      </c>
      <c r="C10" s="9" t="s">
        <v>110</v>
      </c>
      <c r="D10" s="9" t="s">
        <v>198</v>
      </c>
      <c r="E10" s="9" t="s">
        <v>199</v>
      </c>
      <c r="F10" s="11">
        <v>1107</v>
      </c>
      <c r="G10" s="11">
        <v>0</v>
      </c>
      <c r="H10" s="11">
        <v>1107</v>
      </c>
      <c r="I10" s="11">
        <v>917.67</v>
      </c>
      <c r="J10" s="11">
        <v>189.33</v>
      </c>
      <c r="K10" s="12">
        <v>0.17102981</v>
      </c>
      <c r="L10" s="9" t="s">
        <v>76</v>
      </c>
      <c r="M10" s="9" t="s">
        <v>65</v>
      </c>
      <c r="N10" s="9" t="s">
        <v>76</v>
      </c>
      <c r="O10" s="9">
        <v>1</v>
      </c>
    </row>
    <row r="11" spans="1:15" x14ac:dyDescent="0.2">
      <c r="A11" s="9" t="s">
        <v>200</v>
      </c>
      <c r="B11" s="10">
        <v>45873</v>
      </c>
      <c r="C11" s="9" t="s">
        <v>110</v>
      </c>
      <c r="D11" s="9" t="s">
        <v>198</v>
      </c>
      <c r="E11" s="9" t="s">
        <v>199</v>
      </c>
      <c r="F11" s="11">
        <v>0</v>
      </c>
      <c r="G11" s="11">
        <v>280</v>
      </c>
      <c r="H11" s="11">
        <v>280</v>
      </c>
      <c r="I11" s="11">
        <v>230</v>
      </c>
      <c r="J11" s="11">
        <v>50</v>
      </c>
      <c r="K11" s="12">
        <v>0.17857143</v>
      </c>
      <c r="L11" s="9" t="s">
        <v>76</v>
      </c>
      <c r="M11" s="9" t="s">
        <v>65</v>
      </c>
      <c r="N11" s="9" t="s">
        <v>76</v>
      </c>
      <c r="O11" s="9">
        <v>0</v>
      </c>
    </row>
    <row r="12" spans="1:15" x14ac:dyDescent="0.2">
      <c r="A12" s="9" t="s">
        <v>201</v>
      </c>
      <c r="B12" s="10">
        <v>45873</v>
      </c>
      <c r="C12" s="9" t="s">
        <v>110</v>
      </c>
      <c r="D12" s="9" t="s">
        <v>198</v>
      </c>
      <c r="E12" s="9" t="s">
        <v>199</v>
      </c>
      <c r="F12" s="11">
        <v>4514.49</v>
      </c>
      <c r="G12" s="11">
        <v>0</v>
      </c>
      <c r="H12" s="11">
        <v>4514.49</v>
      </c>
      <c r="I12" s="11">
        <v>3898.71</v>
      </c>
      <c r="J12" s="11">
        <v>615.78</v>
      </c>
      <c r="K12" s="12">
        <v>0.13640078999999999</v>
      </c>
      <c r="L12" s="9" t="s">
        <v>76</v>
      </c>
      <c r="M12" s="9" t="s">
        <v>65</v>
      </c>
      <c r="N12" s="9" t="s">
        <v>76</v>
      </c>
      <c r="O12" s="9">
        <v>1</v>
      </c>
    </row>
    <row r="13" spans="1:15" x14ac:dyDescent="0.2">
      <c r="A13" s="9" t="s">
        <v>200</v>
      </c>
      <c r="B13" s="10">
        <v>45875</v>
      </c>
      <c r="C13" s="9" t="s">
        <v>110</v>
      </c>
      <c r="D13" s="9" t="s">
        <v>198</v>
      </c>
      <c r="E13" s="9" t="s">
        <v>199</v>
      </c>
      <c r="F13" s="11">
        <v>0</v>
      </c>
      <c r="G13" s="11">
        <v>126</v>
      </c>
      <c r="H13" s="11">
        <v>126</v>
      </c>
      <c r="I13" s="11">
        <v>105</v>
      </c>
      <c r="J13" s="11">
        <v>21</v>
      </c>
      <c r="K13" s="12">
        <v>0.16666666999999999</v>
      </c>
      <c r="L13" s="9" t="s">
        <v>76</v>
      </c>
      <c r="M13" s="9" t="s">
        <v>65</v>
      </c>
      <c r="N13" s="9" t="s">
        <v>76</v>
      </c>
      <c r="O13" s="9">
        <v>0</v>
      </c>
    </row>
    <row r="14" spans="1:15" x14ac:dyDescent="0.2">
      <c r="A14" s="9" t="s">
        <v>202</v>
      </c>
      <c r="B14" s="10">
        <v>45876</v>
      </c>
      <c r="C14" s="9" t="s">
        <v>110</v>
      </c>
      <c r="D14" s="9" t="s">
        <v>198</v>
      </c>
      <c r="E14" s="9" t="s">
        <v>199</v>
      </c>
      <c r="F14" s="11">
        <v>5520.6</v>
      </c>
      <c r="G14" s="11">
        <v>0</v>
      </c>
      <c r="H14" s="11">
        <v>5520.6</v>
      </c>
      <c r="I14" s="11">
        <v>4448.42</v>
      </c>
      <c r="J14" s="11">
        <v>1072.18</v>
      </c>
      <c r="K14" s="12">
        <v>0.19421440000000001</v>
      </c>
      <c r="L14" s="9" t="s">
        <v>76</v>
      </c>
      <c r="M14" s="9" t="s">
        <v>65</v>
      </c>
      <c r="N14" s="9" t="s">
        <v>76</v>
      </c>
      <c r="O14" s="9">
        <v>1</v>
      </c>
    </row>
    <row r="15" spans="1:15" x14ac:dyDescent="0.2">
      <c r="A15" s="9" t="s">
        <v>203</v>
      </c>
      <c r="B15" s="10">
        <v>45877</v>
      </c>
      <c r="C15" s="9" t="s">
        <v>110</v>
      </c>
      <c r="D15" s="9" t="s">
        <v>198</v>
      </c>
      <c r="E15" s="9" t="s">
        <v>199</v>
      </c>
      <c r="F15" s="11">
        <v>10388.75</v>
      </c>
      <c r="G15" s="11">
        <v>0</v>
      </c>
      <c r="H15" s="11">
        <v>10388.75</v>
      </c>
      <c r="I15" s="11">
        <v>8338.19</v>
      </c>
      <c r="J15" s="11">
        <v>2050.56</v>
      </c>
      <c r="K15" s="12">
        <v>0.19738275</v>
      </c>
      <c r="L15" s="9" t="s">
        <v>76</v>
      </c>
      <c r="M15" s="9" t="s">
        <v>65</v>
      </c>
      <c r="N15" s="9" t="s">
        <v>76</v>
      </c>
      <c r="O15" s="9">
        <v>1</v>
      </c>
    </row>
    <row r="16" spans="1:15" x14ac:dyDescent="0.2">
      <c r="A16" s="9" t="s">
        <v>204</v>
      </c>
      <c r="B16" s="10">
        <v>45880</v>
      </c>
      <c r="C16" s="9" t="s">
        <v>110</v>
      </c>
      <c r="D16" s="9" t="s">
        <v>198</v>
      </c>
      <c r="E16" s="9" t="s">
        <v>199</v>
      </c>
      <c r="F16" s="11">
        <v>0</v>
      </c>
      <c r="G16" s="11">
        <v>0</v>
      </c>
      <c r="H16" s="11">
        <v>0</v>
      </c>
      <c r="I16" s="11">
        <v>617.66</v>
      </c>
      <c r="J16" s="11">
        <v>-617.66</v>
      </c>
      <c r="K16" s="12">
        <v>0</v>
      </c>
      <c r="L16" s="9" t="s">
        <v>76</v>
      </c>
      <c r="M16" s="9" t="s">
        <v>65</v>
      </c>
      <c r="N16" s="9" t="s">
        <v>76</v>
      </c>
      <c r="O16" s="9">
        <v>0</v>
      </c>
    </row>
    <row r="17" spans="1:15" x14ac:dyDescent="0.2">
      <c r="A17" s="9" t="s">
        <v>205</v>
      </c>
      <c r="B17" s="10">
        <v>45884</v>
      </c>
      <c r="C17" s="9" t="s">
        <v>110</v>
      </c>
      <c r="D17" s="9" t="s">
        <v>198</v>
      </c>
      <c r="E17" s="9" t="s">
        <v>199</v>
      </c>
      <c r="F17" s="11">
        <v>0</v>
      </c>
      <c r="G17" s="11">
        <v>0</v>
      </c>
      <c r="H17" s="11">
        <v>0</v>
      </c>
      <c r="I17" s="11">
        <v>-0.01</v>
      </c>
      <c r="J17" s="11">
        <v>0.01</v>
      </c>
      <c r="K17" s="12">
        <v>0</v>
      </c>
      <c r="L17" s="9" t="s">
        <v>76</v>
      </c>
      <c r="M17" s="9" t="s">
        <v>65</v>
      </c>
      <c r="N17" s="9" t="s">
        <v>76</v>
      </c>
      <c r="O17" s="9">
        <v>0</v>
      </c>
    </row>
    <row r="18" spans="1:15" x14ac:dyDescent="0.2">
      <c r="A18" s="9" t="s">
        <v>200</v>
      </c>
      <c r="B18" s="10">
        <v>45887</v>
      </c>
      <c r="C18" s="9" t="s">
        <v>110</v>
      </c>
      <c r="D18" s="9" t="s">
        <v>198</v>
      </c>
      <c r="E18" s="9" t="s">
        <v>199</v>
      </c>
      <c r="F18" s="11">
        <v>0</v>
      </c>
      <c r="G18" s="11">
        <v>560</v>
      </c>
      <c r="H18" s="11">
        <v>560</v>
      </c>
      <c r="I18" s="11">
        <v>465</v>
      </c>
      <c r="J18" s="11">
        <v>95</v>
      </c>
      <c r="K18" s="12">
        <v>0.16964286000000001</v>
      </c>
      <c r="L18" s="9" t="s">
        <v>76</v>
      </c>
      <c r="M18" s="9" t="s">
        <v>65</v>
      </c>
      <c r="N18" s="9" t="s">
        <v>76</v>
      </c>
      <c r="O18" s="9">
        <v>0</v>
      </c>
    </row>
    <row r="19" spans="1:15" x14ac:dyDescent="0.2">
      <c r="A19" s="9" t="s">
        <v>206</v>
      </c>
      <c r="B19" s="10">
        <v>45889</v>
      </c>
      <c r="C19" s="9" t="s">
        <v>110</v>
      </c>
      <c r="D19" s="9" t="s">
        <v>198</v>
      </c>
      <c r="E19" s="9" t="s">
        <v>199</v>
      </c>
      <c r="F19" s="11">
        <v>0</v>
      </c>
      <c r="G19" s="11">
        <v>0</v>
      </c>
      <c r="H19" s="11">
        <v>0</v>
      </c>
      <c r="I19" s="11">
        <v>-0.01</v>
      </c>
      <c r="J19" s="11">
        <v>0.01</v>
      </c>
      <c r="K19" s="12">
        <v>0</v>
      </c>
      <c r="L19" s="9" t="s">
        <v>76</v>
      </c>
      <c r="M19" s="9" t="s">
        <v>65</v>
      </c>
      <c r="N19" s="9" t="s">
        <v>76</v>
      </c>
      <c r="O19" s="9">
        <v>0</v>
      </c>
    </row>
    <row r="20" spans="1:15" x14ac:dyDescent="0.2">
      <c r="A20" s="9" t="s">
        <v>207</v>
      </c>
      <c r="B20" s="10">
        <v>45891</v>
      </c>
      <c r="C20" s="9" t="s">
        <v>110</v>
      </c>
      <c r="D20" s="9" t="s">
        <v>198</v>
      </c>
      <c r="E20" s="9" t="s">
        <v>199</v>
      </c>
      <c r="F20" s="11">
        <v>917.87</v>
      </c>
      <c r="G20" s="11">
        <v>0</v>
      </c>
      <c r="H20" s="11">
        <v>917.87</v>
      </c>
      <c r="I20" s="11">
        <v>792.11</v>
      </c>
      <c r="J20" s="11">
        <v>125.76</v>
      </c>
      <c r="K20" s="12">
        <v>0.13701287000000001</v>
      </c>
      <c r="L20" s="9" t="s">
        <v>76</v>
      </c>
      <c r="M20" s="9" t="s">
        <v>65</v>
      </c>
      <c r="N20" s="9" t="s">
        <v>76</v>
      </c>
      <c r="O20" s="9">
        <v>1</v>
      </c>
    </row>
    <row r="21" spans="1:15" x14ac:dyDescent="0.2">
      <c r="A21" s="9" t="s">
        <v>208</v>
      </c>
      <c r="B21" s="10">
        <v>45895</v>
      </c>
      <c r="C21" s="9" t="s">
        <v>110</v>
      </c>
      <c r="D21" s="9" t="s">
        <v>198</v>
      </c>
      <c r="E21" s="9" t="s">
        <v>199</v>
      </c>
      <c r="F21" s="11">
        <v>0</v>
      </c>
      <c r="G21" s="11">
        <v>0</v>
      </c>
      <c r="H21" s="11">
        <v>0</v>
      </c>
      <c r="I21" s="11">
        <v>-2750</v>
      </c>
      <c r="J21" s="11">
        <v>2750</v>
      </c>
      <c r="K21" s="12">
        <v>0</v>
      </c>
      <c r="L21" s="9" t="s">
        <v>76</v>
      </c>
      <c r="M21" s="9" t="s">
        <v>65</v>
      </c>
      <c r="N21" s="9" t="s">
        <v>76</v>
      </c>
      <c r="O21" s="9">
        <v>0</v>
      </c>
    </row>
    <row r="22" spans="1:15" x14ac:dyDescent="0.2">
      <c r="A22" s="9" t="s">
        <v>209</v>
      </c>
      <c r="B22" s="10">
        <v>45896</v>
      </c>
      <c r="C22" s="9" t="s">
        <v>110</v>
      </c>
      <c r="D22" s="9" t="s">
        <v>198</v>
      </c>
      <c r="E22" s="9" t="s">
        <v>199</v>
      </c>
      <c r="F22" s="11">
        <v>425</v>
      </c>
      <c r="G22" s="11">
        <v>0</v>
      </c>
      <c r="H22" s="11">
        <v>425</v>
      </c>
      <c r="I22" s="11">
        <v>352.95</v>
      </c>
      <c r="J22" s="11">
        <v>72.05</v>
      </c>
      <c r="K22" s="12">
        <v>0.16952940999999999</v>
      </c>
      <c r="L22" s="9" t="s">
        <v>76</v>
      </c>
      <c r="M22" s="9" t="s">
        <v>65</v>
      </c>
      <c r="N22" s="9" t="s">
        <v>76</v>
      </c>
      <c r="O22" s="9">
        <v>1</v>
      </c>
    </row>
    <row r="23" spans="1:15" x14ac:dyDescent="0.2">
      <c r="A23" s="9" t="s">
        <v>210</v>
      </c>
      <c r="B23" s="10">
        <v>45897</v>
      </c>
      <c r="C23" s="9" t="s">
        <v>110</v>
      </c>
      <c r="D23" s="9" t="s">
        <v>198</v>
      </c>
      <c r="E23" s="9" t="s">
        <v>199</v>
      </c>
      <c r="F23" s="11">
        <v>9806.7000000000007</v>
      </c>
      <c r="G23" s="11">
        <v>0</v>
      </c>
      <c r="H23" s="11">
        <v>9806.7000000000007</v>
      </c>
      <c r="I23" s="11">
        <v>7896.76</v>
      </c>
      <c r="J23" s="11">
        <v>1909.94</v>
      </c>
      <c r="K23" s="12">
        <v>0.19475869000000001</v>
      </c>
      <c r="L23" s="9" t="s">
        <v>76</v>
      </c>
      <c r="M23" s="9" t="s">
        <v>65</v>
      </c>
      <c r="N23" s="9" t="s">
        <v>76</v>
      </c>
      <c r="O23" s="9">
        <v>1</v>
      </c>
    </row>
    <row r="24" spans="1:15" x14ac:dyDescent="0.2">
      <c r="A24" s="9" t="s">
        <v>211</v>
      </c>
      <c r="B24" s="10">
        <v>45897</v>
      </c>
      <c r="C24" s="9" t="s">
        <v>110</v>
      </c>
      <c r="D24" s="9" t="s">
        <v>198</v>
      </c>
      <c r="E24" s="9" t="s">
        <v>199</v>
      </c>
      <c r="F24" s="11">
        <v>13407.2</v>
      </c>
      <c r="G24" s="11">
        <v>0</v>
      </c>
      <c r="H24" s="11">
        <v>13407.2</v>
      </c>
      <c r="I24" s="11">
        <v>10686.41</v>
      </c>
      <c r="J24" s="11">
        <v>2720.79</v>
      </c>
      <c r="K24" s="12">
        <v>0.20293499000000001</v>
      </c>
      <c r="L24" s="9" t="s">
        <v>76</v>
      </c>
      <c r="M24" s="9" t="s">
        <v>65</v>
      </c>
      <c r="N24" s="9" t="s">
        <v>76</v>
      </c>
      <c r="O24" s="9">
        <v>1</v>
      </c>
    </row>
    <row r="25" spans="1:15" x14ac:dyDescent="0.2">
      <c r="A25" s="9" t="s">
        <v>212</v>
      </c>
      <c r="B25" s="10">
        <v>45897</v>
      </c>
      <c r="C25" s="9" t="s">
        <v>110</v>
      </c>
      <c r="D25" s="9" t="s">
        <v>198</v>
      </c>
      <c r="E25" s="9" t="s">
        <v>199</v>
      </c>
      <c r="F25" s="11">
        <v>1469</v>
      </c>
      <c r="G25" s="11">
        <v>0</v>
      </c>
      <c r="H25" s="11">
        <v>1469</v>
      </c>
      <c r="I25" s="11">
        <v>1223.56</v>
      </c>
      <c r="J25" s="11">
        <v>245.44</v>
      </c>
      <c r="K25" s="12">
        <v>0.16707965</v>
      </c>
      <c r="L25" s="9" t="s">
        <v>76</v>
      </c>
      <c r="M25" s="9" t="s">
        <v>65</v>
      </c>
      <c r="N25" s="9" t="s">
        <v>76</v>
      </c>
      <c r="O25" s="9">
        <v>1</v>
      </c>
    </row>
    <row r="26" spans="1:15" x14ac:dyDescent="0.2">
      <c r="A26" s="9" t="s">
        <v>213</v>
      </c>
      <c r="B26" s="10">
        <v>45898</v>
      </c>
      <c r="C26" s="9" t="s">
        <v>110</v>
      </c>
      <c r="D26" s="9" t="s">
        <v>198</v>
      </c>
      <c r="E26" s="9" t="s">
        <v>199</v>
      </c>
      <c r="F26" s="11">
        <v>191131.16</v>
      </c>
      <c r="G26" s="11">
        <v>0</v>
      </c>
      <c r="H26" s="11">
        <v>191131.16</v>
      </c>
      <c r="I26" s="11">
        <v>158829.32</v>
      </c>
      <c r="J26" s="11">
        <v>32301.84</v>
      </c>
      <c r="K26" s="12">
        <v>0.16900353000000001</v>
      </c>
      <c r="L26" s="9" t="s">
        <v>76</v>
      </c>
      <c r="M26" s="9" t="s">
        <v>65</v>
      </c>
      <c r="N26" s="9" t="s">
        <v>76</v>
      </c>
      <c r="O26" s="9">
        <v>1</v>
      </c>
    </row>
    <row r="27" spans="1:15" x14ac:dyDescent="0.2">
      <c r="A27" s="9" t="s">
        <v>214</v>
      </c>
      <c r="B27" s="10">
        <v>45884</v>
      </c>
      <c r="C27" s="9" t="s">
        <v>215</v>
      </c>
      <c r="D27" s="9" t="s">
        <v>19</v>
      </c>
      <c r="E27" s="9" t="s">
        <v>192</v>
      </c>
      <c r="F27" s="11">
        <v>13357</v>
      </c>
      <c r="G27" s="11">
        <v>0</v>
      </c>
      <c r="H27" s="11">
        <v>13357</v>
      </c>
      <c r="I27" s="11">
        <v>9853.84</v>
      </c>
      <c r="J27" s="11">
        <v>3503.16</v>
      </c>
      <c r="K27" s="12">
        <v>0.26227147000000001</v>
      </c>
      <c r="L27" s="9" t="s">
        <v>73</v>
      </c>
      <c r="M27" s="9" t="s">
        <v>19</v>
      </c>
      <c r="N27" s="9" t="s">
        <v>73</v>
      </c>
      <c r="O27" s="9">
        <v>1</v>
      </c>
    </row>
    <row r="28" spans="1:15" x14ac:dyDescent="0.2">
      <c r="A28" s="9" t="s">
        <v>216</v>
      </c>
      <c r="B28" s="10">
        <v>45884</v>
      </c>
      <c r="C28" s="9" t="s">
        <v>215</v>
      </c>
      <c r="D28" s="9" t="s">
        <v>19</v>
      </c>
      <c r="E28" s="9" t="s">
        <v>192</v>
      </c>
      <c r="F28" s="11">
        <v>2217</v>
      </c>
      <c r="G28" s="11">
        <v>0</v>
      </c>
      <c r="H28" s="11">
        <v>2217</v>
      </c>
      <c r="I28" s="11">
        <v>1583.86</v>
      </c>
      <c r="J28" s="11">
        <v>633.14</v>
      </c>
      <c r="K28" s="12">
        <v>0.28558412</v>
      </c>
      <c r="L28" s="9" t="s">
        <v>73</v>
      </c>
      <c r="M28" s="9" t="s">
        <v>19</v>
      </c>
      <c r="N28" s="9" t="s">
        <v>73</v>
      </c>
      <c r="O28" s="9">
        <v>1</v>
      </c>
    </row>
    <row r="29" spans="1:15" x14ac:dyDescent="0.2">
      <c r="A29" s="9" t="s">
        <v>217</v>
      </c>
      <c r="B29" s="10">
        <v>45888</v>
      </c>
      <c r="C29" s="9" t="s">
        <v>215</v>
      </c>
      <c r="D29" s="9" t="s">
        <v>19</v>
      </c>
      <c r="E29" s="9" t="s">
        <v>192</v>
      </c>
      <c r="F29" s="11">
        <v>0</v>
      </c>
      <c r="G29" s="11">
        <v>-1584</v>
      </c>
      <c r="H29" s="11">
        <v>-1584</v>
      </c>
      <c r="I29" s="11">
        <v>-931.79</v>
      </c>
      <c r="J29" s="11">
        <v>-652.21</v>
      </c>
      <c r="K29" s="12">
        <v>0.41174874</v>
      </c>
      <c r="L29" s="9" t="s">
        <v>73</v>
      </c>
      <c r="M29" s="9" t="s">
        <v>19</v>
      </c>
      <c r="N29" s="9" t="s">
        <v>73</v>
      </c>
      <c r="O29" s="9">
        <v>0</v>
      </c>
    </row>
    <row r="30" spans="1:15" x14ac:dyDescent="0.2">
      <c r="A30" s="9" t="s">
        <v>216</v>
      </c>
      <c r="B30" s="10">
        <v>45895</v>
      </c>
      <c r="C30" s="9" t="s">
        <v>215</v>
      </c>
      <c r="D30" s="9" t="s">
        <v>19</v>
      </c>
      <c r="E30" s="9" t="s">
        <v>192</v>
      </c>
      <c r="F30" s="11">
        <v>0</v>
      </c>
      <c r="G30" s="11">
        <v>0</v>
      </c>
      <c r="H30" s="11">
        <v>0</v>
      </c>
      <c r="I30" s="11">
        <v>-65.56</v>
      </c>
      <c r="J30" s="11">
        <v>65.56</v>
      </c>
      <c r="K30" s="12">
        <v>0</v>
      </c>
      <c r="L30" s="9" t="s">
        <v>73</v>
      </c>
      <c r="M30" s="9" t="s">
        <v>19</v>
      </c>
      <c r="N30" s="9" t="s">
        <v>73</v>
      </c>
      <c r="O30" s="9">
        <v>0</v>
      </c>
    </row>
    <row r="31" spans="1:15" x14ac:dyDescent="0.2">
      <c r="A31" s="9" t="s">
        <v>217</v>
      </c>
      <c r="B31" s="10">
        <v>45897</v>
      </c>
      <c r="C31" s="9" t="s">
        <v>215</v>
      </c>
      <c r="D31" s="9" t="s">
        <v>19</v>
      </c>
      <c r="E31" s="9" t="s">
        <v>192</v>
      </c>
      <c r="F31" s="11">
        <v>0</v>
      </c>
      <c r="G31" s="11">
        <v>0</v>
      </c>
      <c r="H31" s="11">
        <v>0</v>
      </c>
      <c r="I31" s="11">
        <v>-1072.96</v>
      </c>
      <c r="J31" s="11">
        <v>1072.96</v>
      </c>
      <c r="K31" s="12">
        <v>0</v>
      </c>
      <c r="L31" s="9" t="s">
        <v>73</v>
      </c>
      <c r="M31" s="9" t="s">
        <v>19</v>
      </c>
      <c r="N31" s="9" t="s">
        <v>73</v>
      </c>
      <c r="O31" s="9">
        <v>0</v>
      </c>
    </row>
    <row r="32" spans="1:15" x14ac:dyDescent="0.2">
      <c r="A32" s="9" t="s">
        <v>218</v>
      </c>
      <c r="B32" s="10">
        <v>45887</v>
      </c>
      <c r="C32" s="9" t="s">
        <v>219</v>
      </c>
      <c r="D32" s="9" t="s">
        <v>106</v>
      </c>
      <c r="E32" s="9" t="s">
        <v>199</v>
      </c>
      <c r="F32" s="11">
        <v>645.14</v>
      </c>
      <c r="G32" s="11">
        <v>0</v>
      </c>
      <c r="H32" s="11">
        <v>645.14</v>
      </c>
      <c r="I32" s="11">
        <v>451.83</v>
      </c>
      <c r="J32" s="11">
        <v>193.31</v>
      </c>
      <c r="K32" s="12">
        <v>0.29964038999999998</v>
      </c>
      <c r="L32" s="9" t="s">
        <v>76</v>
      </c>
      <c r="M32" s="9" t="s">
        <v>106</v>
      </c>
      <c r="N32" s="9" t="s">
        <v>76</v>
      </c>
      <c r="O32" s="9">
        <v>1</v>
      </c>
    </row>
    <row r="33" spans="1:15" x14ac:dyDescent="0.2">
      <c r="A33" s="9" t="s">
        <v>220</v>
      </c>
      <c r="B33" s="10">
        <v>45870</v>
      </c>
      <c r="C33" s="9" t="s">
        <v>221</v>
      </c>
      <c r="D33" s="9" t="s">
        <v>19</v>
      </c>
      <c r="E33" s="9" t="s">
        <v>192</v>
      </c>
      <c r="F33" s="11">
        <v>0</v>
      </c>
      <c r="G33" s="11">
        <v>0</v>
      </c>
      <c r="H33" s="11">
        <v>0</v>
      </c>
      <c r="I33" s="11">
        <v>13.58</v>
      </c>
      <c r="J33" s="11">
        <v>-13.58</v>
      </c>
      <c r="K33" s="12">
        <v>0</v>
      </c>
      <c r="L33" s="9" t="s">
        <v>222</v>
      </c>
      <c r="M33" s="9" t="s">
        <v>19</v>
      </c>
      <c r="N33" s="9" t="s">
        <v>222</v>
      </c>
      <c r="O33" s="9">
        <v>0</v>
      </c>
    </row>
    <row r="34" spans="1:15" x14ac:dyDescent="0.2">
      <c r="A34" s="9" t="s">
        <v>223</v>
      </c>
      <c r="B34" s="10">
        <v>45870</v>
      </c>
      <c r="C34" s="9" t="s">
        <v>221</v>
      </c>
      <c r="D34" s="9" t="s">
        <v>19</v>
      </c>
      <c r="E34" s="9" t="s">
        <v>192</v>
      </c>
      <c r="F34" s="11">
        <v>0</v>
      </c>
      <c r="G34" s="11">
        <v>-358.69</v>
      </c>
      <c r="H34" s="11">
        <v>-358.69</v>
      </c>
      <c r="I34" s="11">
        <v>-294.13</v>
      </c>
      <c r="J34" s="11">
        <v>-64.56</v>
      </c>
      <c r="K34" s="12">
        <v>0.17998829</v>
      </c>
      <c r="L34" s="9" t="s">
        <v>222</v>
      </c>
      <c r="M34" s="9" t="s">
        <v>19</v>
      </c>
      <c r="N34" s="9" t="s">
        <v>222</v>
      </c>
      <c r="O34" s="9">
        <v>0</v>
      </c>
    </row>
    <row r="35" spans="1:15" x14ac:dyDescent="0.2">
      <c r="A35" s="9" t="s">
        <v>224</v>
      </c>
      <c r="B35" s="10">
        <v>45875</v>
      </c>
      <c r="C35" s="9" t="s">
        <v>221</v>
      </c>
      <c r="D35" s="9" t="s">
        <v>19</v>
      </c>
      <c r="E35" s="9" t="s">
        <v>192</v>
      </c>
      <c r="F35" s="11">
        <v>0</v>
      </c>
      <c r="G35" s="11">
        <v>0</v>
      </c>
      <c r="H35" s="11">
        <v>0</v>
      </c>
      <c r="I35" s="11">
        <v>454.56</v>
      </c>
      <c r="J35" s="11">
        <v>-454.56</v>
      </c>
      <c r="K35" s="12">
        <v>0</v>
      </c>
      <c r="L35" s="9" t="s">
        <v>222</v>
      </c>
      <c r="M35" s="9" t="s">
        <v>19</v>
      </c>
      <c r="N35" s="9" t="s">
        <v>222</v>
      </c>
      <c r="O35" s="9">
        <v>0</v>
      </c>
    </row>
    <row r="36" spans="1:15" x14ac:dyDescent="0.2">
      <c r="A36" s="9" t="s">
        <v>225</v>
      </c>
      <c r="B36" s="10">
        <v>45875</v>
      </c>
      <c r="C36" s="9" t="s">
        <v>221</v>
      </c>
      <c r="D36" s="9" t="s">
        <v>19</v>
      </c>
      <c r="E36" s="9" t="s">
        <v>192</v>
      </c>
      <c r="F36" s="11">
        <v>0</v>
      </c>
      <c r="G36" s="11">
        <v>0</v>
      </c>
      <c r="H36" s="11">
        <v>0</v>
      </c>
      <c r="I36" s="11">
        <v>235.3</v>
      </c>
      <c r="J36" s="11">
        <v>-235.3</v>
      </c>
      <c r="K36" s="12">
        <v>0</v>
      </c>
      <c r="L36" s="9" t="s">
        <v>222</v>
      </c>
      <c r="M36" s="9" t="s">
        <v>19</v>
      </c>
      <c r="N36" s="9" t="s">
        <v>222</v>
      </c>
      <c r="O36" s="9">
        <v>0</v>
      </c>
    </row>
    <row r="37" spans="1:15" x14ac:dyDescent="0.2">
      <c r="A37" s="9" t="s">
        <v>226</v>
      </c>
      <c r="B37" s="10">
        <v>45882</v>
      </c>
      <c r="C37" s="9" t="s">
        <v>221</v>
      </c>
      <c r="D37" s="9" t="s">
        <v>19</v>
      </c>
      <c r="E37" s="9" t="s">
        <v>227</v>
      </c>
      <c r="F37" s="11">
        <v>7943.77</v>
      </c>
      <c r="G37" s="11">
        <v>0</v>
      </c>
      <c r="H37" s="11">
        <v>7943.77</v>
      </c>
      <c r="I37" s="11">
        <v>5741.79</v>
      </c>
      <c r="J37" s="11">
        <v>2201.98</v>
      </c>
      <c r="K37" s="12">
        <v>0.27719584000000003</v>
      </c>
      <c r="L37" s="9" t="s">
        <v>222</v>
      </c>
      <c r="M37" s="9" t="s">
        <v>19</v>
      </c>
      <c r="N37" s="9" t="s">
        <v>222</v>
      </c>
      <c r="O37" s="9">
        <v>1</v>
      </c>
    </row>
    <row r="38" spans="1:15" x14ac:dyDescent="0.2">
      <c r="A38" s="9" t="s">
        <v>228</v>
      </c>
      <c r="B38" s="10">
        <v>45891</v>
      </c>
      <c r="C38" s="9" t="s">
        <v>221</v>
      </c>
      <c r="D38" s="9" t="s">
        <v>19</v>
      </c>
      <c r="E38" s="9" t="s">
        <v>192</v>
      </c>
      <c r="F38" s="11">
        <v>1731.11</v>
      </c>
      <c r="G38" s="11">
        <v>0</v>
      </c>
      <c r="H38" s="11">
        <v>1731.11</v>
      </c>
      <c r="I38" s="11">
        <v>1298.33</v>
      </c>
      <c r="J38" s="11">
        <v>432.78</v>
      </c>
      <c r="K38" s="12">
        <v>0.25000144000000002</v>
      </c>
      <c r="L38" s="9" t="s">
        <v>222</v>
      </c>
      <c r="M38" s="9" t="s">
        <v>19</v>
      </c>
      <c r="N38" s="9" t="s">
        <v>222</v>
      </c>
      <c r="O38" s="9">
        <v>1</v>
      </c>
    </row>
    <row r="39" spans="1:15" x14ac:dyDescent="0.2">
      <c r="A39" s="9" t="s">
        <v>228</v>
      </c>
      <c r="B39" s="10">
        <v>45894</v>
      </c>
      <c r="C39" s="9" t="s">
        <v>221</v>
      </c>
      <c r="D39" s="9" t="s">
        <v>19</v>
      </c>
      <c r="E39" s="9" t="s">
        <v>192</v>
      </c>
      <c r="F39" s="11">
        <v>0</v>
      </c>
      <c r="G39" s="11">
        <v>0</v>
      </c>
      <c r="H39" s="11">
        <v>0</v>
      </c>
      <c r="I39" s="11">
        <v>389.83</v>
      </c>
      <c r="J39" s="11">
        <v>-389.83</v>
      </c>
      <c r="K39" s="12">
        <v>0</v>
      </c>
      <c r="L39" s="9" t="s">
        <v>222</v>
      </c>
      <c r="M39" s="9" t="s">
        <v>19</v>
      </c>
      <c r="N39" s="9" t="s">
        <v>222</v>
      </c>
      <c r="O39" s="9">
        <v>0</v>
      </c>
    </row>
    <row r="40" spans="1:15" x14ac:dyDescent="0.2">
      <c r="A40" s="9" t="s">
        <v>224</v>
      </c>
      <c r="B40" s="10">
        <v>45894</v>
      </c>
      <c r="C40" s="9" t="s">
        <v>221</v>
      </c>
      <c r="D40" s="9" t="s">
        <v>19</v>
      </c>
      <c r="E40" s="9" t="s">
        <v>192</v>
      </c>
      <c r="F40" s="11">
        <v>0</v>
      </c>
      <c r="G40" s="11">
        <v>0</v>
      </c>
      <c r="H40" s="11">
        <v>0</v>
      </c>
      <c r="I40" s="11">
        <v>389.83</v>
      </c>
      <c r="J40" s="11">
        <v>-389.83</v>
      </c>
      <c r="K40" s="12">
        <v>0</v>
      </c>
      <c r="L40" s="9" t="s">
        <v>222</v>
      </c>
      <c r="M40" s="9" t="s">
        <v>19</v>
      </c>
      <c r="N40" s="9" t="s">
        <v>222</v>
      </c>
      <c r="O40" s="9">
        <v>0</v>
      </c>
    </row>
    <row r="41" spans="1:15" x14ac:dyDescent="0.2">
      <c r="A41" s="9" t="s">
        <v>228</v>
      </c>
      <c r="B41" s="10">
        <v>45895</v>
      </c>
      <c r="C41" s="9" t="s">
        <v>221</v>
      </c>
      <c r="D41" s="9" t="s">
        <v>19</v>
      </c>
      <c r="E41" s="9" t="s">
        <v>192</v>
      </c>
      <c r="F41" s="11">
        <v>0</v>
      </c>
      <c r="G41" s="11">
        <v>0</v>
      </c>
      <c r="H41" s="11">
        <v>0</v>
      </c>
      <c r="I41" s="11">
        <v>0.01</v>
      </c>
      <c r="J41" s="11">
        <v>-0.01</v>
      </c>
      <c r="K41" s="12">
        <v>0</v>
      </c>
      <c r="L41" s="9" t="s">
        <v>222</v>
      </c>
      <c r="M41" s="9" t="s">
        <v>19</v>
      </c>
      <c r="N41" s="9" t="s">
        <v>222</v>
      </c>
      <c r="O41" s="9">
        <v>0</v>
      </c>
    </row>
    <row r="42" spans="1:15" x14ac:dyDescent="0.2">
      <c r="A42" s="9" t="s">
        <v>229</v>
      </c>
      <c r="B42" s="10">
        <v>45896</v>
      </c>
      <c r="C42" s="9" t="s">
        <v>221</v>
      </c>
      <c r="D42" s="9" t="s">
        <v>19</v>
      </c>
      <c r="E42" s="9" t="s">
        <v>192</v>
      </c>
      <c r="F42" s="11">
        <v>0</v>
      </c>
      <c r="G42" s="11">
        <v>0</v>
      </c>
      <c r="H42" s="11">
        <v>0</v>
      </c>
      <c r="I42" s="11">
        <v>-300</v>
      </c>
      <c r="J42" s="11">
        <v>300</v>
      </c>
      <c r="K42" s="12">
        <v>0</v>
      </c>
      <c r="L42" s="9" t="s">
        <v>222</v>
      </c>
      <c r="M42" s="9" t="s">
        <v>19</v>
      </c>
      <c r="N42" s="9" t="s">
        <v>222</v>
      </c>
      <c r="O42" s="9">
        <v>0</v>
      </c>
    </row>
    <row r="43" spans="1:15" x14ac:dyDescent="0.2">
      <c r="A43" s="9" t="s">
        <v>230</v>
      </c>
      <c r="B43" s="10">
        <v>45890</v>
      </c>
      <c r="C43" s="9" t="s">
        <v>231</v>
      </c>
      <c r="D43" s="9" t="s">
        <v>9</v>
      </c>
      <c r="E43" s="9" t="s">
        <v>227</v>
      </c>
      <c r="F43" s="11">
        <v>0</v>
      </c>
      <c r="G43" s="11">
        <v>0</v>
      </c>
      <c r="H43" s="11">
        <v>0</v>
      </c>
      <c r="I43" s="11">
        <v>95</v>
      </c>
      <c r="J43" s="11">
        <v>-95</v>
      </c>
      <c r="K43" s="12">
        <v>0</v>
      </c>
      <c r="L43" s="9" t="s">
        <v>122</v>
      </c>
      <c r="M43" s="9" t="s">
        <v>9</v>
      </c>
      <c r="N43" s="9" t="s">
        <v>122</v>
      </c>
      <c r="O43" s="9">
        <v>0</v>
      </c>
    </row>
    <row r="44" spans="1:15" x14ac:dyDescent="0.2">
      <c r="A44" s="9" t="s">
        <v>232</v>
      </c>
      <c r="B44" s="10">
        <v>45873</v>
      </c>
      <c r="C44" s="9" t="s">
        <v>233</v>
      </c>
      <c r="D44" s="9" t="s">
        <v>234</v>
      </c>
      <c r="E44" s="9" t="s">
        <v>199</v>
      </c>
      <c r="F44" s="11">
        <v>0</v>
      </c>
      <c r="G44" s="11">
        <v>0</v>
      </c>
      <c r="H44" s="11">
        <v>0</v>
      </c>
      <c r="I44" s="11">
        <v>120.36</v>
      </c>
      <c r="J44" s="11">
        <v>-120.36</v>
      </c>
      <c r="K44" s="12">
        <v>0</v>
      </c>
      <c r="L44" s="9" t="s">
        <v>111</v>
      </c>
      <c r="M44" s="9" t="s">
        <v>106</v>
      </c>
      <c r="N44" s="9" t="s">
        <v>111</v>
      </c>
      <c r="O44" s="9">
        <v>0</v>
      </c>
    </row>
    <row r="45" spans="1:15" x14ac:dyDescent="0.2">
      <c r="A45" s="9" t="s">
        <v>235</v>
      </c>
      <c r="B45" s="10">
        <v>45873</v>
      </c>
      <c r="C45" s="9" t="s">
        <v>236</v>
      </c>
      <c r="D45" s="9" t="s">
        <v>48</v>
      </c>
      <c r="E45" s="9" t="s">
        <v>192</v>
      </c>
      <c r="F45" s="11">
        <v>379</v>
      </c>
      <c r="G45" s="11">
        <v>0</v>
      </c>
      <c r="H45" s="11">
        <v>379</v>
      </c>
      <c r="I45" s="11">
        <v>265.07</v>
      </c>
      <c r="J45" s="11">
        <v>113.93</v>
      </c>
      <c r="K45" s="12">
        <v>0.30060685999999998</v>
      </c>
      <c r="L45" s="9" t="s">
        <v>237</v>
      </c>
      <c r="M45" s="9" t="s">
        <v>48</v>
      </c>
      <c r="N45" s="9" t="s">
        <v>131</v>
      </c>
      <c r="O45" s="9">
        <v>1</v>
      </c>
    </row>
    <row r="46" spans="1:15" x14ac:dyDescent="0.2">
      <c r="A46" s="9" t="s">
        <v>238</v>
      </c>
      <c r="B46" s="10">
        <v>45887</v>
      </c>
      <c r="C46" s="9" t="s">
        <v>236</v>
      </c>
      <c r="D46" s="9" t="s">
        <v>65</v>
      </c>
      <c r="E46" s="9" t="s">
        <v>199</v>
      </c>
      <c r="F46" s="11">
        <v>4344.32</v>
      </c>
      <c r="G46" s="11">
        <v>0</v>
      </c>
      <c r="H46" s="11">
        <v>4344.32</v>
      </c>
      <c r="I46" s="11">
        <v>3275.45</v>
      </c>
      <c r="J46" s="11">
        <v>1068.8699999999999</v>
      </c>
      <c r="K46" s="12">
        <v>0.24603850999999999</v>
      </c>
      <c r="L46" s="9" t="s">
        <v>43</v>
      </c>
      <c r="M46" s="9" t="s">
        <v>65</v>
      </c>
      <c r="N46" s="9" t="s">
        <v>43</v>
      </c>
      <c r="O46" s="9">
        <v>1</v>
      </c>
    </row>
    <row r="47" spans="1:15" x14ac:dyDescent="0.2">
      <c r="A47" s="9" t="s">
        <v>239</v>
      </c>
      <c r="B47" s="10">
        <v>45870</v>
      </c>
      <c r="C47" s="9" t="s">
        <v>240</v>
      </c>
      <c r="D47" s="9" t="s">
        <v>9</v>
      </c>
      <c r="E47" s="9" t="s">
        <v>227</v>
      </c>
      <c r="F47" s="11">
        <v>5770</v>
      </c>
      <c r="G47" s="11">
        <v>0</v>
      </c>
      <c r="H47" s="11">
        <v>5770</v>
      </c>
      <c r="I47" s="11">
        <v>4276.83</v>
      </c>
      <c r="J47" s="11">
        <v>1493.17</v>
      </c>
      <c r="K47" s="12">
        <v>0.25878162999999998</v>
      </c>
      <c r="L47" s="9" t="s">
        <v>122</v>
      </c>
      <c r="M47" s="9" t="s">
        <v>9</v>
      </c>
      <c r="N47" s="9" t="s">
        <v>122</v>
      </c>
      <c r="O47" s="9">
        <v>1</v>
      </c>
    </row>
    <row r="48" spans="1:15" x14ac:dyDescent="0.2">
      <c r="A48" s="9" t="s">
        <v>241</v>
      </c>
      <c r="B48" s="10">
        <v>45896</v>
      </c>
      <c r="C48" s="9" t="s">
        <v>242</v>
      </c>
      <c r="D48" s="9" t="s">
        <v>120</v>
      </c>
      <c r="E48" s="9" t="s">
        <v>192</v>
      </c>
      <c r="F48" s="11">
        <v>0</v>
      </c>
      <c r="G48" s="11">
        <v>0</v>
      </c>
      <c r="H48" s="11">
        <v>0</v>
      </c>
      <c r="I48" s="11">
        <v>1752.98</v>
      </c>
      <c r="J48" s="11">
        <v>-1752.98</v>
      </c>
      <c r="K48" s="12">
        <v>0</v>
      </c>
      <c r="L48" s="9" t="s">
        <v>243</v>
      </c>
      <c r="M48" s="9" t="s">
        <v>48</v>
      </c>
      <c r="N48" s="9" t="s">
        <v>243</v>
      </c>
      <c r="O48" s="9">
        <v>0</v>
      </c>
    </row>
    <row r="49" spans="1:15" x14ac:dyDescent="0.2">
      <c r="A49" s="9" t="s">
        <v>244</v>
      </c>
      <c r="B49" s="10">
        <v>45887</v>
      </c>
      <c r="C49" s="9" t="s">
        <v>245</v>
      </c>
      <c r="D49" s="9" t="s">
        <v>9</v>
      </c>
      <c r="E49" s="9" t="s">
        <v>227</v>
      </c>
      <c r="F49" s="11">
        <v>6152</v>
      </c>
      <c r="G49" s="11">
        <v>0</v>
      </c>
      <c r="H49" s="11">
        <v>6152</v>
      </c>
      <c r="I49" s="11">
        <v>4586.7</v>
      </c>
      <c r="J49" s="11">
        <v>1565.3</v>
      </c>
      <c r="K49" s="12">
        <v>0.25443758</v>
      </c>
      <c r="L49" s="9" t="s">
        <v>126</v>
      </c>
      <c r="M49" s="9" t="s">
        <v>9</v>
      </c>
      <c r="N49" s="9" t="s">
        <v>126</v>
      </c>
      <c r="O49" s="9">
        <v>1</v>
      </c>
    </row>
    <row r="50" spans="1:15" x14ac:dyDescent="0.2">
      <c r="A50" s="9" t="s">
        <v>244</v>
      </c>
      <c r="B50" s="10">
        <v>45890</v>
      </c>
      <c r="C50" s="9" t="s">
        <v>245</v>
      </c>
      <c r="D50" s="9" t="s">
        <v>9</v>
      </c>
      <c r="E50" s="9" t="s">
        <v>227</v>
      </c>
      <c r="F50" s="11">
        <v>0</v>
      </c>
      <c r="G50" s="11">
        <v>0</v>
      </c>
      <c r="H50" s="11">
        <v>0</v>
      </c>
      <c r="I50" s="11">
        <v>85.5</v>
      </c>
      <c r="J50" s="11">
        <v>-85.5</v>
      </c>
      <c r="K50" s="12">
        <v>0</v>
      </c>
      <c r="L50" s="9" t="s">
        <v>126</v>
      </c>
      <c r="M50" s="9" t="s">
        <v>9</v>
      </c>
      <c r="N50" s="9" t="s">
        <v>126</v>
      </c>
      <c r="O50" s="9">
        <v>0</v>
      </c>
    </row>
    <row r="51" spans="1:15" x14ac:dyDescent="0.2">
      <c r="A51" s="9" t="s">
        <v>246</v>
      </c>
      <c r="B51" s="10">
        <v>45895</v>
      </c>
      <c r="C51" s="9" t="s">
        <v>245</v>
      </c>
      <c r="D51" s="9" t="s">
        <v>9</v>
      </c>
      <c r="E51" s="9" t="s">
        <v>227</v>
      </c>
      <c r="F51" s="11">
        <v>0</v>
      </c>
      <c r="G51" s="11">
        <v>0</v>
      </c>
      <c r="H51" s="11">
        <v>0</v>
      </c>
      <c r="I51" s="11">
        <v>235.3</v>
      </c>
      <c r="J51" s="11">
        <v>-235.3</v>
      </c>
      <c r="K51" s="12">
        <v>0</v>
      </c>
      <c r="L51" s="9" t="s">
        <v>126</v>
      </c>
      <c r="M51" s="9" t="s">
        <v>9</v>
      </c>
      <c r="N51" s="9" t="s">
        <v>126</v>
      </c>
      <c r="O51" s="9">
        <v>0</v>
      </c>
    </row>
    <row r="52" spans="1:15" x14ac:dyDescent="0.2">
      <c r="A52" s="9" t="s">
        <v>247</v>
      </c>
      <c r="B52" s="10">
        <v>45895</v>
      </c>
      <c r="C52" s="9" t="s">
        <v>245</v>
      </c>
      <c r="D52" s="9" t="s">
        <v>9</v>
      </c>
      <c r="E52" s="9" t="s">
        <v>227</v>
      </c>
      <c r="F52" s="11">
        <v>4088.14</v>
      </c>
      <c r="G52" s="11">
        <v>0</v>
      </c>
      <c r="H52" s="11">
        <v>4088.14</v>
      </c>
      <c r="I52" s="11">
        <v>2633.6</v>
      </c>
      <c r="J52" s="11">
        <v>1454.54</v>
      </c>
      <c r="K52" s="12">
        <v>0.35579506</v>
      </c>
      <c r="L52" s="9" t="s">
        <v>126</v>
      </c>
      <c r="M52" s="9" t="s">
        <v>9</v>
      </c>
      <c r="N52" s="9" t="s">
        <v>126</v>
      </c>
      <c r="O52" s="9">
        <v>1</v>
      </c>
    </row>
    <row r="53" spans="1:15" x14ac:dyDescent="0.2">
      <c r="A53" s="9" t="s">
        <v>248</v>
      </c>
      <c r="B53" s="10">
        <v>45870</v>
      </c>
      <c r="C53" s="9" t="s">
        <v>249</v>
      </c>
      <c r="D53" s="9" t="s">
        <v>9</v>
      </c>
      <c r="E53" s="9" t="s">
        <v>227</v>
      </c>
      <c r="F53" s="11">
        <v>0</v>
      </c>
      <c r="G53" s="11">
        <v>-1316.41</v>
      </c>
      <c r="H53" s="11">
        <v>-1316.41</v>
      </c>
      <c r="I53" s="11">
        <v>0</v>
      </c>
      <c r="J53" s="11">
        <v>-1316.41</v>
      </c>
      <c r="K53" s="12">
        <v>1</v>
      </c>
      <c r="L53" s="9" t="s">
        <v>250</v>
      </c>
      <c r="M53" s="9" t="s">
        <v>9</v>
      </c>
      <c r="N53" s="9" t="s">
        <v>251</v>
      </c>
      <c r="O53" s="9">
        <v>0</v>
      </c>
    </row>
    <row r="54" spans="1:15" x14ac:dyDescent="0.2">
      <c r="A54" s="9" t="s">
        <v>252</v>
      </c>
      <c r="B54" s="10">
        <v>45873</v>
      </c>
      <c r="C54" s="9" t="s">
        <v>253</v>
      </c>
      <c r="D54" s="9" t="s">
        <v>65</v>
      </c>
      <c r="E54" s="9" t="s">
        <v>227</v>
      </c>
      <c r="F54" s="11">
        <v>39195.39</v>
      </c>
      <c r="G54" s="11">
        <v>0</v>
      </c>
      <c r="H54" s="11">
        <v>39195.39</v>
      </c>
      <c r="I54" s="11">
        <v>29396.59</v>
      </c>
      <c r="J54" s="11">
        <v>9798.7999999999993</v>
      </c>
      <c r="K54" s="12">
        <v>0.24999879</v>
      </c>
      <c r="L54" s="9" t="s">
        <v>222</v>
      </c>
      <c r="M54" s="9" t="s">
        <v>65</v>
      </c>
      <c r="N54" s="9" t="s">
        <v>222</v>
      </c>
      <c r="O54" s="9">
        <v>1</v>
      </c>
    </row>
    <row r="55" spans="1:15" x14ac:dyDescent="0.2">
      <c r="A55" s="9" t="s">
        <v>254</v>
      </c>
      <c r="B55" s="10">
        <v>45875</v>
      </c>
      <c r="C55" s="9" t="s">
        <v>255</v>
      </c>
      <c r="D55" s="9" t="s">
        <v>46</v>
      </c>
      <c r="E55" s="9" t="s">
        <v>192</v>
      </c>
      <c r="F55" s="11">
        <v>0</v>
      </c>
      <c r="G55" s="11">
        <v>0</v>
      </c>
      <c r="H55" s="11">
        <v>0</v>
      </c>
      <c r="I55" s="11">
        <v>1187.1600000000001</v>
      </c>
      <c r="J55" s="11">
        <v>-1187.1600000000001</v>
      </c>
      <c r="K55" s="12">
        <v>0</v>
      </c>
      <c r="L55" s="9" t="s">
        <v>256</v>
      </c>
      <c r="M55" s="9" t="s">
        <v>46</v>
      </c>
      <c r="N55" s="9" t="s">
        <v>257</v>
      </c>
      <c r="O55" s="9">
        <v>0</v>
      </c>
    </row>
    <row r="56" spans="1:15" x14ac:dyDescent="0.2">
      <c r="A56" s="9" t="s">
        <v>254</v>
      </c>
      <c r="B56" s="10">
        <v>45882</v>
      </c>
      <c r="C56" s="9" t="s">
        <v>255</v>
      </c>
      <c r="D56" s="9" t="s">
        <v>46</v>
      </c>
      <c r="E56" s="9" t="s">
        <v>192</v>
      </c>
      <c r="F56" s="11">
        <v>0</v>
      </c>
      <c r="G56" s="11">
        <v>0</v>
      </c>
      <c r="H56" s="11">
        <v>0</v>
      </c>
      <c r="I56" s="11">
        <v>-413.87</v>
      </c>
      <c r="J56" s="11">
        <v>413.87</v>
      </c>
      <c r="K56" s="12">
        <v>0</v>
      </c>
      <c r="L56" s="9" t="s">
        <v>256</v>
      </c>
      <c r="M56" s="9" t="s">
        <v>46</v>
      </c>
      <c r="N56" s="9" t="s">
        <v>257</v>
      </c>
      <c r="O56" s="9">
        <v>0</v>
      </c>
    </row>
    <row r="57" spans="1:15" x14ac:dyDescent="0.2">
      <c r="A57" s="9" t="s">
        <v>258</v>
      </c>
      <c r="B57" s="10">
        <v>45874</v>
      </c>
      <c r="C57" s="9" t="s">
        <v>259</v>
      </c>
      <c r="D57" s="9" t="s">
        <v>257</v>
      </c>
      <c r="E57" s="9" t="s">
        <v>192</v>
      </c>
      <c r="F57" s="11">
        <v>15018.3</v>
      </c>
      <c r="G57" s="11">
        <v>0</v>
      </c>
      <c r="H57" s="11">
        <v>15018.3</v>
      </c>
      <c r="I57" s="11">
        <v>11554.37</v>
      </c>
      <c r="J57" s="11">
        <v>3463.93</v>
      </c>
      <c r="K57" s="12">
        <v>0.23064728000000001</v>
      </c>
      <c r="L57" s="9" t="s">
        <v>260</v>
      </c>
      <c r="M57" s="9" t="s">
        <v>48</v>
      </c>
      <c r="N57" s="9" t="s">
        <v>243</v>
      </c>
      <c r="O57" s="9">
        <v>1</v>
      </c>
    </row>
    <row r="58" spans="1:15" x14ac:dyDescent="0.2">
      <c r="A58" s="9" t="s">
        <v>258</v>
      </c>
      <c r="B58" s="10">
        <v>45878</v>
      </c>
      <c r="C58" s="9" t="s">
        <v>259</v>
      </c>
      <c r="D58" s="9" t="s">
        <v>257</v>
      </c>
      <c r="E58" s="9" t="s">
        <v>192</v>
      </c>
      <c r="F58" s="11">
        <v>0</v>
      </c>
      <c r="G58" s="11">
        <v>0</v>
      </c>
      <c r="H58" s="11">
        <v>0</v>
      </c>
      <c r="I58" s="11">
        <v>-84</v>
      </c>
      <c r="J58" s="11">
        <v>84</v>
      </c>
      <c r="K58" s="12">
        <v>0</v>
      </c>
      <c r="L58" s="9" t="s">
        <v>260</v>
      </c>
      <c r="M58" s="9" t="s">
        <v>48</v>
      </c>
      <c r="N58" s="9" t="s">
        <v>243</v>
      </c>
      <c r="O58" s="9">
        <v>0</v>
      </c>
    </row>
    <row r="59" spans="1:15" x14ac:dyDescent="0.2">
      <c r="A59" s="9" t="s">
        <v>261</v>
      </c>
      <c r="B59" s="10">
        <v>45888</v>
      </c>
      <c r="C59" s="9" t="s">
        <v>262</v>
      </c>
      <c r="D59" s="9" t="s">
        <v>257</v>
      </c>
      <c r="E59" s="9" t="s">
        <v>192</v>
      </c>
      <c r="F59" s="11">
        <v>961.54</v>
      </c>
      <c r="G59" s="11">
        <v>0</v>
      </c>
      <c r="H59" s="11">
        <v>961.54</v>
      </c>
      <c r="I59" s="11">
        <v>735.31</v>
      </c>
      <c r="J59" s="11">
        <v>226.23</v>
      </c>
      <c r="K59" s="12">
        <v>0.23527882</v>
      </c>
      <c r="L59" s="9" t="s">
        <v>260</v>
      </c>
      <c r="M59" s="9" t="s">
        <v>48</v>
      </c>
      <c r="N59" s="9" t="s">
        <v>243</v>
      </c>
      <c r="O59" s="9">
        <v>1</v>
      </c>
    </row>
    <row r="60" spans="1:15" x14ac:dyDescent="0.2">
      <c r="A60" s="9" t="s">
        <v>263</v>
      </c>
      <c r="B60" s="10">
        <v>45894</v>
      </c>
      <c r="C60" s="9" t="s">
        <v>262</v>
      </c>
      <c r="D60" s="9" t="s">
        <v>257</v>
      </c>
      <c r="E60" s="9" t="s">
        <v>192</v>
      </c>
      <c r="F60" s="11">
        <v>3997.69</v>
      </c>
      <c r="G60" s="11">
        <v>0</v>
      </c>
      <c r="H60" s="11">
        <v>3997.69</v>
      </c>
      <c r="I60" s="11">
        <v>3112.82</v>
      </c>
      <c r="J60" s="11">
        <v>884.87</v>
      </c>
      <c r="K60" s="12">
        <v>0.22134533000000001</v>
      </c>
      <c r="L60" s="9" t="s">
        <v>260</v>
      </c>
      <c r="M60" s="9" t="s">
        <v>48</v>
      </c>
      <c r="N60" s="9" t="s">
        <v>243</v>
      </c>
      <c r="O60" s="9">
        <v>1</v>
      </c>
    </row>
    <row r="61" spans="1:15" x14ac:dyDescent="0.2">
      <c r="A61" s="9" t="s">
        <v>264</v>
      </c>
      <c r="B61" s="10">
        <v>45896</v>
      </c>
      <c r="C61" s="9" t="s">
        <v>262</v>
      </c>
      <c r="D61" s="9" t="s">
        <v>257</v>
      </c>
      <c r="E61" s="9" t="s">
        <v>192</v>
      </c>
      <c r="F61" s="11">
        <v>60990.57</v>
      </c>
      <c r="G61" s="11">
        <v>0</v>
      </c>
      <c r="H61" s="11">
        <v>60990.57</v>
      </c>
      <c r="I61" s="11">
        <v>49160.53</v>
      </c>
      <c r="J61" s="11">
        <v>11830.04</v>
      </c>
      <c r="K61" s="12">
        <v>0.19396506999999999</v>
      </c>
      <c r="L61" s="9" t="s">
        <v>260</v>
      </c>
      <c r="M61" s="9" t="s">
        <v>48</v>
      </c>
      <c r="N61" s="9" t="s">
        <v>243</v>
      </c>
      <c r="O61" s="9">
        <v>1</v>
      </c>
    </row>
    <row r="62" spans="1:15" x14ac:dyDescent="0.2">
      <c r="A62" s="9" t="s">
        <v>264</v>
      </c>
      <c r="B62" s="10">
        <v>45898</v>
      </c>
      <c r="C62" s="9" t="s">
        <v>262</v>
      </c>
      <c r="D62" s="9" t="s">
        <v>257</v>
      </c>
      <c r="E62" s="9" t="s">
        <v>192</v>
      </c>
      <c r="F62" s="11">
        <v>0</v>
      </c>
      <c r="G62" s="11">
        <v>0</v>
      </c>
      <c r="H62" s="11">
        <v>0</v>
      </c>
      <c r="I62" s="11">
        <v>-3547.15</v>
      </c>
      <c r="J62" s="11">
        <v>3547.15</v>
      </c>
      <c r="K62" s="12">
        <v>0</v>
      </c>
      <c r="L62" s="9" t="s">
        <v>260</v>
      </c>
      <c r="M62" s="9" t="s">
        <v>48</v>
      </c>
      <c r="N62" s="9" t="s">
        <v>243</v>
      </c>
      <c r="O62" s="9">
        <v>0</v>
      </c>
    </row>
    <row r="63" spans="1:15" x14ac:dyDescent="0.2">
      <c r="A63" s="9" t="s">
        <v>265</v>
      </c>
      <c r="B63" s="10">
        <v>45898</v>
      </c>
      <c r="C63" s="9" t="s">
        <v>262</v>
      </c>
      <c r="D63" s="9" t="s">
        <v>257</v>
      </c>
      <c r="E63" s="9" t="s">
        <v>192</v>
      </c>
      <c r="F63" s="11">
        <v>0</v>
      </c>
      <c r="G63" s="11">
        <v>0</v>
      </c>
      <c r="H63" s="11">
        <v>0</v>
      </c>
      <c r="I63" s="11">
        <v>-76.47</v>
      </c>
      <c r="J63" s="11">
        <v>76.47</v>
      </c>
      <c r="K63" s="12">
        <v>0</v>
      </c>
      <c r="L63" s="9" t="s">
        <v>257</v>
      </c>
      <c r="M63" s="9" t="s">
        <v>48</v>
      </c>
      <c r="N63" s="9" t="s">
        <v>257</v>
      </c>
      <c r="O63" s="9">
        <v>0</v>
      </c>
    </row>
    <row r="64" spans="1:15" x14ac:dyDescent="0.2">
      <c r="A64" s="9" t="s">
        <v>266</v>
      </c>
      <c r="B64" s="10">
        <v>45885</v>
      </c>
      <c r="C64" s="9" t="s">
        <v>267</v>
      </c>
      <c r="D64" s="9" t="s">
        <v>268</v>
      </c>
      <c r="E64" s="9" t="s">
        <v>199</v>
      </c>
      <c r="F64" s="11">
        <v>16708.48</v>
      </c>
      <c r="G64" s="11">
        <v>0</v>
      </c>
      <c r="H64" s="11">
        <v>16708.48</v>
      </c>
      <c r="I64" s="11">
        <v>13366.78</v>
      </c>
      <c r="J64" s="11">
        <v>3341.7</v>
      </c>
      <c r="K64" s="12">
        <v>0.20000024</v>
      </c>
      <c r="L64" s="9" t="s">
        <v>43</v>
      </c>
      <c r="M64" s="9" t="s">
        <v>268</v>
      </c>
      <c r="N64" s="9" t="s">
        <v>43</v>
      </c>
      <c r="O64" s="9">
        <v>1</v>
      </c>
    </row>
    <row r="65" spans="1:15" x14ac:dyDescent="0.2">
      <c r="A65" s="9" t="s">
        <v>269</v>
      </c>
      <c r="B65" s="10">
        <v>45895</v>
      </c>
      <c r="C65" s="9" t="s">
        <v>270</v>
      </c>
      <c r="D65" s="9" t="s">
        <v>144</v>
      </c>
      <c r="E65" s="9" t="s">
        <v>192</v>
      </c>
      <c r="F65" s="11">
        <v>0</v>
      </c>
      <c r="G65" s="11">
        <v>0</v>
      </c>
      <c r="H65" s="11">
        <v>0</v>
      </c>
      <c r="I65" s="11">
        <v>205.89</v>
      </c>
      <c r="J65" s="11">
        <v>-205.89</v>
      </c>
      <c r="K65" s="12">
        <v>0</v>
      </c>
      <c r="L65" s="9" t="s">
        <v>271</v>
      </c>
      <c r="M65" s="9" t="s">
        <v>48</v>
      </c>
      <c r="N65" s="9" t="s">
        <v>130</v>
      </c>
      <c r="O65" s="9">
        <v>0</v>
      </c>
    </row>
    <row r="66" spans="1:15" x14ac:dyDescent="0.2">
      <c r="A66" s="9" t="s">
        <v>272</v>
      </c>
      <c r="B66" s="10">
        <v>45889</v>
      </c>
      <c r="C66" s="9" t="s">
        <v>273</v>
      </c>
      <c r="D66" s="9" t="s">
        <v>20</v>
      </c>
      <c r="E66" s="9" t="s">
        <v>227</v>
      </c>
      <c r="F66" s="11">
        <v>2356.15</v>
      </c>
      <c r="G66" s="11">
        <v>0</v>
      </c>
      <c r="H66" s="11">
        <v>2356.15</v>
      </c>
      <c r="I66" s="11">
        <v>1822.3</v>
      </c>
      <c r="J66" s="11">
        <v>533.85</v>
      </c>
      <c r="K66" s="12">
        <v>0.22657726</v>
      </c>
      <c r="L66" s="9" t="s">
        <v>20</v>
      </c>
      <c r="M66" s="9" t="s">
        <v>20</v>
      </c>
      <c r="N66" s="9" t="s">
        <v>20</v>
      </c>
      <c r="O66" s="9">
        <v>1</v>
      </c>
    </row>
    <row r="67" spans="1:15" x14ac:dyDescent="0.2">
      <c r="A67" s="9" t="s">
        <v>272</v>
      </c>
      <c r="B67" s="10">
        <v>45891</v>
      </c>
      <c r="C67" s="9" t="s">
        <v>273</v>
      </c>
      <c r="D67" s="9" t="s">
        <v>20</v>
      </c>
      <c r="E67" s="9" t="s">
        <v>227</v>
      </c>
      <c r="F67" s="11">
        <v>0</v>
      </c>
      <c r="G67" s="11">
        <v>0</v>
      </c>
      <c r="H67" s="11">
        <v>0</v>
      </c>
      <c r="I67" s="11">
        <v>11.24</v>
      </c>
      <c r="J67" s="11">
        <v>-11.24</v>
      </c>
      <c r="K67" s="12">
        <v>0</v>
      </c>
      <c r="L67" s="9" t="s">
        <v>20</v>
      </c>
      <c r="M67" s="9" t="s">
        <v>20</v>
      </c>
      <c r="N67" s="9" t="s">
        <v>20</v>
      </c>
      <c r="O67" s="9">
        <v>0</v>
      </c>
    </row>
    <row r="68" spans="1:15" x14ac:dyDescent="0.2">
      <c r="A68" s="9" t="s">
        <v>274</v>
      </c>
      <c r="B68" s="10">
        <v>45876</v>
      </c>
      <c r="C68" s="9" t="s">
        <v>275</v>
      </c>
      <c r="D68" s="9" t="s">
        <v>46</v>
      </c>
      <c r="E68" s="9" t="s">
        <v>192</v>
      </c>
      <c r="F68" s="11">
        <v>8839.06</v>
      </c>
      <c r="G68" s="11">
        <v>0</v>
      </c>
      <c r="H68" s="11">
        <v>8839.06</v>
      </c>
      <c r="I68" s="11">
        <v>6839.98</v>
      </c>
      <c r="J68" s="11">
        <v>1999.08</v>
      </c>
      <c r="K68" s="12">
        <v>0.22616432</v>
      </c>
      <c r="L68" s="9" t="s">
        <v>276</v>
      </c>
      <c r="M68" s="9" t="s">
        <v>46</v>
      </c>
      <c r="N68" s="9" t="s">
        <v>276</v>
      </c>
      <c r="O68" s="9">
        <v>1</v>
      </c>
    </row>
    <row r="69" spans="1:15" x14ac:dyDescent="0.2">
      <c r="A69" s="9" t="s">
        <v>277</v>
      </c>
      <c r="B69" s="10">
        <v>45881</v>
      </c>
      <c r="C69" s="9" t="s">
        <v>275</v>
      </c>
      <c r="D69" s="9" t="s">
        <v>46</v>
      </c>
      <c r="E69" s="9" t="s">
        <v>192</v>
      </c>
      <c r="F69" s="11">
        <v>56207.519999999997</v>
      </c>
      <c r="G69" s="11">
        <v>0</v>
      </c>
      <c r="H69" s="11">
        <v>56207.519999999997</v>
      </c>
      <c r="I69" s="11">
        <v>42076.3</v>
      </c>
      <c r="J69" s="11">
        <v>14131.22</v>
      </c>
      <c r="K69" s="12">
        <v>0.25141154999999998</v>
      </c>
      <c r="L69" s="9" t="s">
        <v>276</v>
      </c>
      <c r="M69" s="9" t="s">
        <v>46</v>
      </c>
      <c r="N69" s="9" t="s">
        <v>276</v>
      </c>
      <c r="O69" s="9">
        <v>1</v>
      </c>
    </row>
    <row r="70" spans="1:15" x14ac:dyDescent="0.2">
      <c r="A70" s="9" t="s">
        <v>277</v>
      </c>
      <c r="B70" s="10">
        <v>45884</v>
      </c>
      <c r="C70" s="9" t="s">
        <v>275</v>
      </c>
      <c r="D70" s="9" t="s">
        <v>46</v>
      </c>
      <c r="E70" s="9" t="s">
        <v>192</v>
      </c>
      <c r="F70" s="11">
        <v>0</v>
      </c>
      <c r="G70" s="11">
        <v>0</v>
      </c>
      <c r="H70" s="11">
        <v>0</v>
      </c>
      <c r="I70" s="11">
        <v>-300</v>
      </c>
      <c r="J70" s="11">
        <v>300</v>
      </c>
      <c r="K70" s="12">
        <v>0</v>
      </c>
      <c r="L70" s="9" t="s">
        <v>276</v>
      </c>
      <c r="M70" s="9" t="s">
        <v>46</v>
      </c>
      <c r="N70" s="9" t="s">
        <v>276</v>
      </c>
      <c r="O70" s="9">
        <v>0</v>
      </c>
    </row>
    <row r="71" spans="1:15" x14ac:dyDescent="0.2">
      <c r="A71" s="9" t="s">
        <v>278</v>
      </c>
      <c r="B71" s="10">
        <v>45887</v>
      </c>
      <c r="C71" s="9" t="s">
        <v>275</v>
      </c>
      <c r="D71" s="9" t="s">
        <v>46</v>
      </c>
      <c r="E71" s="9" t="s">
        <v>192</v>
      </c>
      <c r="F71" s="11">
        <v>0</v>
      </c>
      <c r="G71" s="11">
        <v>1403.47</v>
      </c>
      <c r="H71" s="11">
        <v>1403.47</v>
      </c>
      <c r="I71" s="11">
        <v>1192.95</v>
      </c>
      <c r="J71" s="11">
        <v>210.52</v>
      </c>
      <c r="K71" s="12">
        <v>0.14999963999999999</v>
      </c>
      <c r="L71" s="9" t="s">
        <v>276</v>
      </c>
      <c r="M71" s="9" t="s">
        <v>46</v>
      </c>
      <c r="N71" s="9" t="s">
        <v>276</v>
      </c>
      <c r="O71" s="9">
        <v>0</v>
      </c>
    </row>
    <row r="72" spans="1:15" x14ac:dyDescent="0.2">
      <c r="A72" s="9" t="s">
        <v>277</v>
      </c>
      <c r="B72" s="10">
        <v>45887</v>
      </c>
      <c r="C72" s="9" t="s">
        <v>275</v>
      </c>
      <c r="D72" s="9" t="s">
        <v>46</v>
      </c>
      <c r="E72" s="9" t="s">
        <v>192</v>
      </c>
      <c r="F72" s="11">
        <v>0</v>
      </c>
      <c r="G72" s="11">
        <v>0</v>
      </c>
      <c r="H72" s="11">
        <v>0</v>
      </c>
      <c r="I72" s="11">
        <v>99.2</v>
      </c>
      <c r="J72" s="11">
        <v>-99.2</v>
      </c>
      <c r="K72" s="12">
        <v>0</v>
      </c>
      <c r="L72" s="9" t="s">
        <v>276</v>
      </c>
      <c r="M72" s="9" t="s">
        <v>46</v>
      </c>
      <c r="N72" s="9" t="s">
        <v>276</v>
      </c>
      <c r="O72" s="9">
        <v>0</v>
      </c>
    </row>
    <row r="73" spans="1:15" x14ac:dyDescent="0.2">
      <c r="A73" s="9" t="s">
        <v>274</v>
      </c>
      <c r="B73" s="10">
        <v>45890</v>
      </c>
      <c r="C73" s="9" t="s">
        <v>275</v>
      </c>
      <c r="D73" s="9" t="s">
        <v>46</v>
      </c>
      <c r="E73" s="9" t="s">
        <v>192</v>
      </c>
      <c r="F73" s="11">
        <v>0</v>
      </c>
      <c r="G73" s="11">
        <v>0</v>
      </c>
      <c r="H73" s="11">
        <v>0</v>
      </c>
      <c r="I73" s="11">
        <v>72.010000000000005</v>
      </c>
      <c r="J73" s="11">
        <v>-72.010000000000005</v>
      </c>
      <c r="K73" s="12">
        <v>0</v>
      </c>
      <c r="L73" s="9" t="s">
        <v>276</v>
      </c>
      <c r="M73" s="9" t="s">
        <v>46</v>
      </c>
      <c r="N73" s="9" t="s">
        <v>276</v>
      </c>
      <c r="O73" s="9">
        <v>0</v>
      </c>
    </row>
    <row r="74" spans="1:15" x14ac:dyDescent="0.2">
      <c r="A74" s="9" t="s">
        <v>278</v>
      </c>
      <c r="B74" s="10">
        <v>45891</v>
      </c>
      <c r="C74" s="9" t="s">
        <v>275</v>
      </c>
      <c r="D74" s="9" t="s">
        <v>46</v>
      </c>
      <c r="E74" s="9" t="s">
        <v>192</v>
      </c>
      <c r="F74" s="11">
        <v>0</v>
      </c>
      <c r="G74" s="11">
        <v>0</v>
      </c>
      <c r="H74" s="11">
        <v>0</v>
      </c>
      <c r="I74" s="11">
        <v>217.5</v>
      </c>
      <c r="J74" s="11">
        <v>-217.5</v>
      </c>
      <c r="K74" s="12">
        <v>0</v>
      </c>
      <c r="L74" s="9" t="s">
        <v>276</v>
      </c>
      <c r="M74" s="9" t="s">
        <v>46</v>
      </c>
      <c r="N74" s="9" t="s">
        <v>276</v>
      </c>
      <c r="O74" s="9">
        <v>0</v>
      </c>
    </row>
    <row r="75" spans="1:15" x14ac:dyDescent="0.2">
      <c r="A75" s="9" t="s">
        <v>279</v>
      </c>
      <c r="B75" s="10">
        <v>45891</v>
      </c>
      <c r="C75" s="9" t="s">
        <v>280</v>
      </c>
      <c r="D75" s="9" t="s">
        <v>9</v>
      </c>
      <c r="E75" s="9" t="s">
        <v>227</v>
      </c>
      <c r="F75" s="11">
        <v>660</v>
      </c>
      <c r="G75" s="11">
        <v>0</v>
      </c>
      <c r="H75" s="11">
        <v>660</v>
      </c>
      <c r="I75" s="11">
        <v>400</v>
      </c>
      <c r="J75" s="11">
        <v>260</v>
      </c>
      <c r="K75" s="12">
        <v>0.39393939</v>
      </c>
      <c r="L75" s="9" t="s">
        <v>122</v>
      </c>
      <c r="M75" s="9" t="s">
        <v>9</v>
      </c>
      <c r="N75" s="9" t="s">
        <v>122</v>
      </c>
      <c r="O75" s="9">
        <v>1</v>
      </c>
    </row>
    <row r="76" spans="1:15" x14ac:dyDescent="0.2">
      <c r="A76" s="9" t="s">
        <v>281</v>
      </c>
      <c r="B76" s="10">
        <v>45877</v>
      </c>
      <c r="C76" s="9" t="s">
        <v>282</v>
      </c>
      <c r="D76" s="9" t="s">
        <v>65</v>
      </c>
      <c r="E76" s="9" t="s">
        <v>227</v>
      </c>
      <c r="F76" s="11">
        <v>0</v>
      </c>
      <c r="G76" s="11">
        <v>0</v>
      </c>
      <c r="H76" s="11">
        <v>0</v>
      </c>
      <c r="I76" s="11">
        <v>3527.44</v>
      </c>
      <c r="J76" s="11">
        <v>-3527.44</v>
      </c>
      <c r="K76" s="12">
        <v>0</v>
      </c>
      <c r="L76" s="9" t="s">
        <v>43</v>
      </c>
      <c r="M76" s="9" t="s">
        <v>65</v>
      </c>
      <c r="N76" s="9" t="s">
        <v>43</v>
      </c>
      <c r="O76" s="9">
        <v>0</v>
      </c>
    </row>
    <row r="77" spans="1:15" x14ac:dyDescent="0.2">
      <c r="A77" s="9" t="s">
        <v>281</v>
      </c>
      <c r="B77" s="10">
        <v>45882</v>
      </c>
      <c r="C77" s="9" t="s">
        <v>282</v>
      </c>
      <c r="D77" s="9" t="s">
        <v>65</v>
      </c>
      <c r="E77" s="9" t="s">
        <v>227</v>
      </c>
      <c r="F77" s="11">
        <v>0</v>
      </c>
      <c r="G77" s="11">
        <v>0</v>
      </c>
      <c r="H77" s="11">
        <v>0</v>
      </c>
      <c r="I77" s="11">
        <v>1294.74</v>
      </c>
      <c r="J77" s="11">
        <v>-1294.74</v>
      </c>
      <c r="K77" s="12">
        <v>0</v>
      </c>
      <c r="L77" s="9" t="s">
        <v>43</v>
      </c>
      <c r="M77" s="9" t="s">
        <v>65</v>
      </c>
      <c r="N77" s="9" t="s">
        <v>43</v>
      </c>
      <c r="O77" s="9">
        <v>0</v>
      </c>
    </row>
    <row r="78" spans="1:15" x14ac:dyDescent="0.2">
      <c r="A78" s="9" t="s">
        <v>283</v>
      </c>
      <c r="B78" s="10">
        <v>45881</v>
      </c>
      <c r="C78" s="9" t="s">
        <v>284</v>
      </c>
      <c r="D78" s="9" t="s">
        <v>106</v>
      </c>
      <c r="E78" s="9" t="s">
        <v>199</v>
      </c>
      <c r="F78" s="11">
        <v>15589.85</v>
      </c>
      <c r="G78" s="11">
        <v>0</v>
      </c>
      <c r="H78" s="11">
        <v>15589.85</v>
      </c>
      <c r="I78" s="11">
        <v>12088.07</v>
      </c>
      <c r="J78" s="11">
        <v>3501.78</v>
      </c>
      <c r="K78" s="12">
        <v>0.22461922000000001</v>
      </c>
      <c r="L78" s="9" t="s">
        <v>109</v>
      </c>
      <c r="M78" s="9" t="s">
        <v>106</v>
      </c>
      <c r="N78" s="9" t="s">
        <v>109</v>
      </c>
      <c r="O78" s="9">
        <v>1</v>
      </c>
    </row>
    <row r="79" spans="1:15" x14ac:dyDescent="0.2">
      <c r="A79" s="9" t="s">
        <v>283</v>
      </c>
      <c r="B79" s="10">
        <v>45887</v>
      </c>
      <c r="C79" s="9" t="s">
        <v>284</v>
      </c>
      <c r="D79" s="9" t="s">
        <v>106</v>
      </c>
      <c r="E79" s="9" t="s">
        <v>199</v>
      </c>
      <c r="F79" s="11">
        <v>0</v>
      </c>
      <c r="G79" s="11">
        <v>0</v>
      </c>
      <c r="H79" s="11">
        <v>0</v>
      </c>
      <c r="I79" s="11">
        <v>-1.34</v>
      </c>
      <c r="J79" s="11">
        <v>1.34</v>
      </c>
      <c r="K79" s="12">
        <v>0</v>
      </c>
      <c r="L79" s="9" t="s">
        <v>109</v>
      </c>
      <c r="M79" s="9" t="s">
        <v>106</v>
      </c>
      <c r="N79" s="9" t="s">
        <v>109</v>
      </c>
      <c r="O79" s="9">
        <v>0</v>
      </c>
    </row>
    <row r="80" spans="1:15" x14ac:dyDescent="0.2">
      <c r="A80" s="9" t="s">
        <v>285</v>
      </c>
      <c r="B80" s="10">
        <v>45896</v>
      </c>
      <c r="C80" s="9" t="s">
        <v>286</v>
      </c>
      <c r="D80" s="9" t="s">
        <v>48</v>
      </c>
      <c r="E80" s="9" t="s">
        <v>192</v>
      </c>
      <c r="F80" s="11">
        <v>731</v>
      </c>
      <c r="G80" s="11">
        <v>0</v>
      </c>
      <c r="H80" s="11">
        <v>731</v>
      </c>
      <c r="I80" s="11">
        <v>528.77</v>
      </c>
      <c r="J80" s="11">
        <v>202.23</v>
      </c>
      <c r="K80" s="12">
        <v>0.27664843</v>
      </c>
      <c r="L80" s="9" t="s">
        <v>131</v>
      </c>
      <c r="M80" s="9" t="s">
        <v>48</v>
      </c>
      <c r="N80" s="9" t="s">
        <v>131</v>
      </c>
      <c r="O80" s="9">
        <v>1</v>
      </c>
    </row>
    <row r="81" spans="1:15" x14ac:dyDescent="0.2">
      <c r="A81" s="9" t="s">
        <v>287</v>
      </c>
      <c r="B81" s="10">
        <v>45870</v>
      </c>
      <c r="C81" s="9" t="s">
        <v>288</v>
      </c>
      <c r="D81" s="9" t="s">
        <v>268</v>
      </c>
      <c r="E81" s="9" t="s">
        <v>199</v>
      </c>
      <c r="F81" s="11">
        <v>0</v>
      </c>
      <c r="G81" s="11">
        <v>0</v>
      </c>
      <c r="H81" s="11">
        <v>0</v>
      </c>
      <c r="I81" s="11">
        <v>-2451.4499999999998</v>
      </c>
      <c r="J81" s="11">
        <v>2451.4499999999998</v>
      </c>
      <c r="K81" s="12">
        <v>0</v>
      </c>
      <c r="L81" s="9" t="s">
        <v>109</v>
      </c>
      <c r="M81" s="9" t="s">
        <v>268</v>
      </c>
      <c r="N81" s="9" t="s">
        <v>109</v>
      </c>
      <c r="O81" s="9">
        <v>0</v>
      </c>
    </row>
    <row r="82" spans="1:15" x14ac:dyDescent="0.2">
      <c r="A82" s="9" t="s">
        <v>287</v>
      </c>
      <c r="B82" s="10">
        <v>45873</v>
      </c>
      <c r="C82" s="9" t="s">
        <v>288</v>
      </c>
      <c r="D82" s="9" t="s">
        <v>268</v>
      </c>
      <c r="E82" s="9" t="s">
        <v>199</v>
      </c>
      <c r="F82" s="11">
        <v>0</v>
      </c>
      <c r="G82" s="11">
        <v>0</v>
      </c>
      <c r="H82" s="11">
        <v>0</v>
      </c>
      <c r="I82" s="11">
        <v>-273.63</v>
      </c>
      <c r="J82" s="11">
        <v>273.63</v>
      </c>
      <c r="K82" s="12">
        <v>0</v>
      </c>
      <c r="L82" s="9" t="s">
        <v>109</v>
      </c>
      <c r="M82" s="9" t="s">
        <v>268</v>
      </c>
      <c r="N82" s="9" t="s">
        <v>109</v>
      </c>
      <c r="O82" s="9">
        <v>0</v>
      </c>
    </row>
    <row r="83" spans="1:15" x14ac:dyDescent="0.2">
      <c r="A83" s="9" t="s">
        <v>289</v>
      </c>
      <c r="B83" s="10">
        <v>45876</v>
      </c>
      <c r="C83" s="9" t="s">
        <v>288</v>
      </c>
      <c r="D83" s="9" t="s">
        <v>268</v>
      </c>
      <c r="E83" s="9" t="s">
        <v>199</v>
      </c>
      <c r="F83" s="11">
        <v>0</v>
      </c>
      <c r="G83" s="11">
        <v>0</v>
      </c>
      <c r="H83" s="11">
        <v>0</v>
      </c>
      <c r="I83" s="11">
        <v>-1344</v>
      </c>
      <c r="J83" s="11">
        <v>1344</v>
      </c>
      <c r="K83" s="12">
        <v>0</v>
      </c>
      <c r="L83" s="9" t="s">
        <v>109</v>
      </c>
      <c r="M83" s="9" t="s">
        <v>268</v>
      </c>
      <c r="N83" s="9" t="s">
        <v>109</v>
      </c>
      <c r="O83" s="9">
        <v>0</v>
      </c>
    </row>
    <row r="84" spans="1:15" x14ac:dyDescent="0.2">
      <c r="A84" s="9" t="s">
        <v>287</v>
      </c>
      <c r="B84" s="10">
        <v>45876</v>
      </c>
      <c r="C84" s="9" t="s">
        <v>288</v>
      </c>
      <c r="D84" s="9" t="s">
        <v>268</v>
      </c>
      <c r="E84" s="9" t="s">
        <v>199</v>
      </c>
      <c r="F84" s="11">
        <v>0</v>
      </c>
      <c r="G84" s="11">
        <v>0</v>
      </c>
      <c r="H84" s="11">
        <v>0</v>
      </c>
      <c r="I84" s="11">
        <v>-149.01</v>
      </c>
      <c r="J84" s="11">
        <v>149.01</v>
      </c>
      <c r="K84" s="12">
        <v>0</v>
      </c>
      <c r="L84" s="9" t="s">
        <v>109</v>
      </c>
      <c r="M84" s="9" t="s">
        <v>268</v>
      </c>
      <c r="N84" s="9" t="s">
        <v>109</v>
      </c>
      <c r="O84" s="9">
        <v>0</v>
      </c>
    </row>
    <row r="85" spans="1:15" x14ac:dyDescent="0.2">
      <c r="A85" s="9" t="s">
        <v>289</v>
      </c>
      <c r="B85" s="10">
        <v>45877</v>
      </c>
      <c r="C85" s="9" t="s">
        <v>288</v>
      </c>
      <c r="D85" s="9" t="s">
        <v>268</v>
      </c>
      <c r="E85" s="9" t="s">
        <v>199</v>
      </c>
      <c r="F85" s="11">
        <v>0</v>
      </c>
      <c r="G85" s="11">
        <v>-1280</v>
      </c>
      <c r="H85" s="11">
        <v>-1280</v>
      </c>
      <c r="I85" s="11">
        <v>-229.73</v>
      </c>
      <c r="J85" s="11">
        <v>-1050.27</v>
      </c>
      <c r="K85" s="12">
        <v>0.82052343999999999</v>
      </c>
      <c r="L85" s="9" t="s">
        <v>109</v>
      </c>
      <c r="M85" s="9" t="s">
        <v>268</v>
      </c>
      <c r="N85" s="9" t="s">
        <v>109</v>
      </c>
      <c r="O85" s="9">
        <v>0</v>
      </c>
    </row>
    <row r="86" spans="1:15" x14ac:dyDescent="0.2">
      <c r="A86" s="9" t="s">
        <v>289</v>
      </c>
      <c r="B86" s="10">
        <v>45880</v>
      </c>
      <c r="C86" s="9" t="s">
        <v>288</v>
      </c>
      <c r="D86" s="9" t="s">
        <v>268</v>
      </c>
      <c r="E86" s="9" t="s">
        <v>199</v>
      </c>
      <c r="F86" s="11">
        <v>0</v>
      </c>
      <c r="G86" s="11">
        <v>0</v>
      </c>
      <c r="H86" s="11">
        <v>0</v>
      </c>
      <c r="I86" s="11">
        <v>34.44</v>
      </c>
      <c r="J86" s="11">
        <v>-34.44</v>
      </c>
      <c r="K86" s="12">
        <v>0</v>
      </c>
      <c r="L86" s="9" t="s">
        <v>109</v>
      </c>
      <c r="M86" s="9" t="s">
        <v>268</v>
      </c>
      <c r="N86" s="9" t="s">
        <v>109</v>
      </c>
      <c r="O86" s="9">
        <v>0</v>
      </c>
    </row>
    <row r="87" spans="1:15" x14ac:dyDescent="0.2">
      <c r="A87" s="9" t="s">
        <v>289</v>
      </c>
      <c r="B87" s="10">
        <v>45881</v>
      </c>
      <c r="C87" s="9" t="s">
        <v>288</v>
      </c>
      <c r="D87" s="9" t="s">
        <v>268</v>
      </c>
      <c r="E87" s="9" t="s">
        <v>199</v>
      </c>
      <c r="F87" s="11">
        <v>0</v>
      </c>
      <c r="G87" s="11">
        <v>0</v>
      </c>
      <c r="H87" s="11">
        <v>0</v>
      </c>
      <c r="I87" s="11">
        <v>1517.33</v>
      </c>
      <c r="J87" s="11">
        <v>-1517.33</v>
      </c>
      <c r="K87" s="12">
        <v>0</v>
      </c>
      <c r="L87" s="9" t="s">
        <v>109</v>
      </c>
      <c r="M87" s="9" t="s">
        <v>268</v>
      </c>
      <c r="N87" s="9" t="s">
        <v>109</v>
      </c>
      <c r="O87" s="9">
        <v>0</v>
      </c>
    </row>
    <row r="88" spans="1:15" x14ac:dyDescent="0.2">
      <c r="A88" s="9" t="s">
        <v>290</v>
      </c>
      <c r="B88" s="10">
        <v>45887</v>
      </c>
      <c r="C88" s="9" t="s">
        <v>288</v>
      </c>
      <c r="D88" s="9" t="s">
        <v>268</v>
      </c>
      <c r="E88" s="9" t="s">
        <v>199</v>
      </c>
      <c r="F88" s="11">
        <v>4178.25</v>
      </c>
      <c r="G88" s="11">
        <v>0</v>
      </c>
      <c r="H88" s="11">
        <v>4178.25</v>
      </c>
      <c r="I88" s="11">
        <v>3270.94</v>
      </c>
      <c r="J88" s="11">
        <v>907.31</v>
      </c>
      <c r="K88" s="12">
        <v>0.21715071999999999</v>
      </c>
      <c r="L88" s="9" t="s">
        <v>109</v>
      </c>
      <c r="M88" s="9" t="s">
        <v>268</v>
      </c>
      <c r="N88" s="9" t="s">
        <v>109</v>
      </c>
      <c r="O88" s="9">
        <v>1</v>
      </c>
    </row>
    <row r="89" spans="1:15" x14ac:dyDescent="0.2">
      <c r="A89" s="9" t="s">
        <v>289</v>
      </c>
      <c r="B89" s="10">
        <v>45888</v>
      </c>
      <c r="C89" s="9" t="s">
        <v>288</v>
      </c>
      <c r="D89" s="9" t="s">
        <v>268</v>
      </c>
      <c r="E89" s="9" t="s">
        <v>199</v>
      </c>
      <c r="F89" s="11">
        <v>0</v>
      </c>
      <c r="G89" s="11">
        <v>0</v>
      </c>
      <c r="H89" s="11">
        <v>0</v>
      </c>
      <c r="I89" s="11">
        <v>-2850.64</v>
      </c>
      <c r="J89" s="11">
        <v>2850.64</v>
      </c>
      <c r="K89" s="12">
        <v>0</v>
      </c>
      <c r="L89" s="9" t="s">
        <v>109</v>
      </c>
      <c r="M89" s="9" t="s">
        <v>268</v>
      </c>
      <c r="N89" s="9" t="s">
        <v>109</v>
      </c>
      <c r="O89" s="9">
        <v>0</v>
      </c>
    </row>
    <row r="90" spans="1:15" x14ac:dyDescent="0.2">
      <c r="A90" s="9" t="s">
        <v>291</v>
      </c>
      <c r="B90" s="10">
        <v>45897</v>
      </c>
      <c r="C90" s="9" t="s">
        <v>292</v>
      </c>
      <c r="D90" s="9" t="s">
        <v>268</v>
      </c>
      <c r="E90" s="9" t="s">
        <v>199</v>
      </c>
      <c r="F90" s="11">
        <v>8570</v>
      </c>
      <c r="G90" s="11">
        <v>0</v>
      </c>
      <c r="H90" s="11">
        <v>8570</v>
      </c>
      <c r="I90" s="11">
        <v>3641</v>
      </c>
      <c r="J90" s="11">
        <v>4929</v>
      </c>
      <c r="K90" s="12">
        <v>0.57514586000000001</v>
      </c>
      <c r="L90" s="9" t="s">
        <v>109</v>
      </c>
      <c r="M90" s="9" t="s">
        <v>268</v>
      </c>
      <c r="N90" s="9" t="s">
        <v>109</v>
      </c>
      <c r="O90" s="9">
        <v>1</v>
      </c>
    </row>
    <row r="91" spans="1:15" x14ac:dyDescent="0.2">
      <c r="A91" s="9" t="s">
        <v>291</v>
      </c>
      <c r="B91" s="10">
        <v>45899</v>
      </c>
      <c r="C91" s="9" t="s">
        <v>292</v>
      </c>
      <c r="D91" s="9" t="s">
        <v>268</v>
      </c>
      <c r="E91" s="9" t="s">
        <v>199</v>
      </c>
      <c r="F91" s="11">
        <v>0</v>
      </c>
      <c r="G91" s="11">
        <v>0</v>
      </c>
      <c r="H91" s="11">
        <v>0</v>
      </c>
      <c r="I91" s="11">
        <v>42.5</v>
      </c>
      <c r="J91" s="11">
        <v>-42.5</v>
      </c>
      <c r="K91" s="12">
        <v>0</v>
      </c>
      <c r="L91" s="9" t="s">
        <v>109</v>
      </c>
      <c r="M91" s="9" t="s">
        <v>268</v>
      </c>
      <c r="N91" s="9" t="s">
        <v>109</v>
      </c>
      <c r="O91" s="9">
        <v>0</v>
      </c>
    </row>
    <row r="92" spans="1:15" x14ac:dyDescent="0.2">
      <c r="A92" s="9" t="s">
        <v>293</v>
      </c>
      <c r="B92" s="10">
        <v>45873</v>
      </c>
      <c r="C92" s="9" t="s">
        <v>294</v>
      </c>
      <c r="D92" s="9" t="s">
        <v>76</v>
      </c>
      <c r="E92" s="9" t="s">
        <v>199</v>
      </c>
      <c r="F92" s="11">
        <v>3240</v>
      </c>
      <c r="G92" s="11">
        <v>0</v>
      </c>
      <c r="H92" s="11">
        <v>3240</v>
      </c>
      <c r="I92" s="11">
        <v>2101.5</v>
      </c>
      <c r="J92" s="11">
        <v>1138.5</v>
      </c>
      <c r="K92" s="12">
        <v>0.35138889000000001</v>
      </c>
      <c r="L92" s="9" t="s">
        <v>76</v>
      </c>
      <c r="M92" s="9" t="s">
        <v>106</v>
      </c>
      <c r="N92" s="9" t="s">
        <v>76</v>
      </c>
      <c r="O92" s="9">
        <v>1</v>
      </c>
    </row>
    <row r="93" spans="1:15" x14ac:dyDescent="0.2">
      <c r="A93" s="9" t="s">
        <v>295</v>
      </c>
      <c r="B93" s="10">
        <v>45896</v>
      </c>
      <c r="C93" s="9" t="s">
        <v>296</v>
      </c>
      <c r="D93" s="9" t="s">
        <v>47</v>
      </c>
      <c r="E93" s="9" t="s">
        <v>227</v>
      </c>
      <c r="F93" s="11">
        <v>204483.95</v>
      </c>
      <c r="G93" s="11">
        <v>0</v>
      </c>
      <c r="H93" s="11">
        <v>204483.95</v>
      </c>
      <c r="I93" s="11">
        <v>170090</v>
      </c>
      <c r="J93" s="11">
        <v>34393.949999999997</v>
      </c>
      <c r="K93" s="12">
        <v>0.16819877999999999</v>
      </c>
      <c r="L93" s="9" t="s">
        <v>297</v>
      </c>
      <c r="M93" s="9" t="s">
        <v>65</v>
      </c>
      <c r="N93" s="9" t="s">
        <v>251</v>
      </c>
      <c r="O93" s="9">
        <v>1</v>
      </c>
    </row>
    <row r="94" spans="1:15" x14ac:dyDescent="0.2">
      <c r="A94" s="9" t="s">
        <v>295</v>
      </c>
      <c r="B94" s="10">
        <v>45897</v>
      </c>
      <c r="C94" s="9" t="s">
        <v>296</v>
      </c>
      <c r="D94" s="9" t="s">
        <v>47</v>
      </c>
      <c r="E94" s="9" t="s">
        <v>227</v>
      </c>
      <c r="F94" s="11">
        <v>0</v>
      </c>
      <c r="G94" s="11">
        <v>2474</v>
      </c>
      <c r="H94" s="11">
        <v>2474</v>
      </c>
      <c r="I94" s="11">
        <v>1979.33</v>
      </c>
      <c r="J94" s="11">
        <v>494.67</v>
      </c>
      <c r="K94" s="12">
        <v>0.19994745</v>
      </c>
      <c r="L94" s="9" t="s">
        <v>297</v>
      </c>
      <c r="M94" s="9" t="s">
        <v>65</v>
      </c>
      <c r="N94" s="9" t="s">
        <v>251</v>
      </c>
      <c r="O94" s="9">
        <v>0</v>
      </c>
    </row>
    <row r="95" spans="1:15" x14ac:dyDescent="0.2">
      <c r="A95" s="9" t="s">
        <v>295</v>
      </c>
      <c r="B95" s="10">
        <v>45898</v>
      </c>
      <c r="C95" s="9" t="s">
        <v>296</v>
      </c>
      <c r="D95" s="9" t="s">
        <v>47</v>
      </c>
      <c r="E95" s="9" t="s">
        <v>227</v>
      </c>
      <c r="F95" s="11">
        <v>0</v>
      </c>
      <c r="G95" s="11">
        <v>0</v>
      </c>
      <c r="H95" s="11">
        <v>0</v>
      </c>
      <c r="I95" s="11">
        <v>-92.82</v>
      </c>
      <c r="J95" s="11">
        <v>92.82</v>
      </c>
      <c r="K95" s="12">
        <v>0</v>
      </c>
      <c r="L95" s="9" t="s">
        <v>297</v>
      </c>
      <c r="M95" s="9" t="s">
        <v>65</v>
      </c>
      <c r="N95" s="9" t="s">
        <v>251</v>
      </c>
      <c r="O95" s="9">
        <v>0</v>
      </c>
    </row>
    <row r="96" spans="1:15" x14ac:dyDescent="0.2">
      <c r="A96" s="9" t="s">
        <v>298</v>
      </c>
      <c r="B96" s="10">
        <v>45873</v>
      </c>
      <c r="C96" s="9" t="s">
        <v>299</v>
      </c>
      <c r="D96" s="9" t="s">
        <v>20</v>
      </c>
      <c r="E96" s="9" t="s">
        <v>227</v>
      </c>
      <c r="F96" s="11">
        <v>0</v>
      </c>
      <c r="G96" s="11">
        <v>0</v>
      </c>
      <c r="H96" s="11">
        <v>0</v>
      </c>
      <c r="I96" s="11">
        <v>164.85</v>
      </c>
      <c r="J96" s="11">
        <v>-164.85</v>
      </c>
      <c r="K96" s="12">
        <v>0</v>
      </c>
      <c r="L96" s="9" t="s">
        <v>126</v>
      </c>
      <c r="M96" s="9" t="s">
        <v>20</v>
      </c>
      <c r="N96" s="9" t="s">
        <v>126</v>
      </c>
      <c r="O96" s="9">
        <v>0</v>
      </c>
    </row>
    <row r="97" spans="1:15" x14ac:dyDescent="0.2">
      <c r="A97" s="9" t="s">
        <v>300</v>
      </c>
      <c r="B97" s="10">
        <v>45880</v>
      </c>
      <c r="C97" s="9" t="s">
        <v>299</v>
      </c>
      <c r="D97" s="9" t="s">
        <v>20</v>
      </c>
      <c r="E97" s="9" t="s">
        <v>227</v>
      </c>
      <c r="F97" s="11">
        <v>0</v>
      </c>
      <c r="G97" s="11">
        <v>0</v>
      </c>
      <c r="H97" s="11">
        <v>0</v>
      </c>
      <c r="I97" s="11">
        <v>411.77</v>
      </c>
      <c r="J97" s="11">
        <v>-411.77</v>
      </c>
      <c r="K97" s="12">
        <v>0</v>
      </c>
      <c r="L97" s="9" t="s">
        <v>126</v>
      </c>
      <c r="M97" s="9" t="s">
        <v>20</v>
      </c>
      <c r="N97" s="9" t="s">
        <v>126</v>
      </c>
      <c r="O97" s="9">
        <v>0</v>
      </c>
    </row>
    <row r="98" spans="1:15" x14ac:dyDescent="0.2">
      <c r="A98" s="9" t="s">
        <v>301</v>
      </c>
      <c r="B98" s="10">
        <v>45883</v>
      </c>
      <c r="C98" s="9" t="s">
        <v>299</v>
      </c>
      <c r="D98" s="9" t="s">
        <v>20</v>
      </c>
      <c r="E98" s="9" t="s">
        <v>227</v>
      </c>
      <c r="F98" s="11">
        <v>1165</v>
      </c>
      <c r="G98" s="11">
        <v>0</v>
      </c>
      <c r="H98" s="11">
        <v>1165</v>
      </c>
      <c r="I98" s="11">
        <v>873.55</v>
      </c>
      <c r="J98" s="11">
        <v>291.45</v>
      </c>
      <c r="K98" s="12">
        <v>0.25017167000000001</v>
      </c>
      <c r="L98" s="9" t="s">
        <v>126</v>
      </c>
      <c r="M98" s="9" t="s">
        <v>20</v>
      </c>
      <c r="N98" s="9" t="s">
        <v>126</v>
      </c>
      <c r="O98" s="9">
        <v>1</v>
      </c>
    </row>
    <row r="99" spans="1:15" x14ac:dyDescent="0.2">
      <c r="A99" s="9" t="s">
        <v>302</v>
      </c>
      <c r="B99" s="10">
        <v>45887</v>
      </c>
      <c r="C99" s="9" t="s">
        <v>299</v>
      </c>
      <c r="D99" s="9" t="s">
        <v>20</v>
      </c>
      <c r="E99" s="9" t="s">
        <v>227</v>
      </c>
      <c r="F99" s="11">
        <v>0</v>
      </c>
      <c r="G99" s="11">
        <v>0</v>
      </c>
      <c r="H99" s="11">
        <v>0</v>
      </c>
      <c r="I99" s="11">
        <v>339.4</v>
      </c>
      <c r="J99" s="11">
        <v>-339.4</v>
      </c>
      <c r="K99" s="12">
        <v>0</v>
      </c>
      <c r="L99" s="9" t="s">
        <v>126</v>
      </c>
      <c r="M99" s="9" t="s">
        <v>20</v>
      </c>
      <c r="N99" s="9" t="s">
        <v>126</v>
      </c>
      <c r="O99" s="9">
        <v>0</v>
      </c>
    </row>
    <row r="100" spans="1:15" x14ac:dyDescent="0.2">
      <c r="A100" s="9" t="s">
        <v>302</v>
      </c>
      <c r="B100" s="10">
        <v>45890</v>
      </c>
      <c r="C100" s="9" t="s">
        <v>299</v>
      </c>
      <c r="D100" s="9" t="s">
        <v>20</v>
      </c>
      <c r="E100" s="9" t="s">
        <v>227</v>
      </c>
      <c r="F100" s="11">
        <v>0</v>
      </c>
      <c r="G100" s="11">
        <v>0</v>
      </c>
      <c r="H100" s="11">
        <v>0</v>
      </c>
      <c r="I100" s="11">
        <v>3037.5</v>
      </c>
      <c r="J100" s="11">
        <v>-3037.5</v>
      </c>
      <c r="K100" s="12">
        <v>0</v>
      </c>
      <c r="L100" s="9" t="s">
        <v>126</v>
      </c>
      <c r="M100" s="9" t="s">
        <v>20</v>
      </c>
      <c r="N100" s="9" t="s">
        <v>126</v>
      </c>
      <c r="O100" s="9">
        <v>0</v>
      </c>
    </row>
    <row r="101" spans="1:15" x14ac:dyDescent="0.2">
      <c r="A101" s="9" t="s">
        <v>303</v>
      </c>
      <c r="B101" s="10">
        <v>45890</v>
      </c>
      <c r="C101" s="9" t="s">
        <v>299</v>
      </c>
      <c r="D101" s="9" t="s">
        <v>20</v>
      </c>
      <c r="E101" s="9" t="s">
        <v>227</v>
      </c>
      <c r="F101" s="11">
        <v>0</v>
      </c>
      <c r="G101" s="11">
        <v>0</v>
      </c>
      <c r="H101" s="11">
        <v>0</v>
      </c>
      <c r="I101" s="11">
        <v>2370</v>
      </c>
      <c r="J101" s="11">
        <v>-2370</v>
      </c>
      <c r="K101" s="12">
        <v>0</v>
      </c>
      <c r="L101" s="9" t="s">
        <v>126</v>
      </c>
      <c r="M101" s="9" t="s">
        <v>20</v>
      </c>
      <c r="N101" s="9" t="s">
        <v>126</v>
      </c>
      <c r="O101" s="9">
        <v>0</v>
      </c>
    </row>
    <row r="102" spans="1:15" x14ac:dyDescent="0.2">
      <c r="A102" s="9" t="s">
        <v>304</v>
      </c>
      <c r="B102" s="10">
        <v>45890</v>
      </c>
      <c r="C102" s="9" t="s">
        <v>299</v>
      </c>
      <c r="D102" s="9" t="s">
        <v>20</v>
      </c>
      <c r="E102" s="9" t="s">
        <v>227</v>
      </c>
      <c r="F102" s="11">
        <v>0</v>
      </c>
      <c r="G102" s="11">
        <v>0</v>
      </c>
      <c r="H102" s="11">
        <v>0</v>
      </c>
      <c r="I102" s="11">
        <v>-274.13</v>
      </c>
      <c r="J102" s="11">
        <v>274.13</v>
      </c>
      <c r="K102" s="12">
        <v>0</v>
      </c>
      <c r="L102" s="9" t="s">
        <v>126</v>
      </c>
      <c r="M102" s="9" t="s">
        <v>20</v>
      </c>
      <c r="N102" s="9" t="s">
        <v>126</v>
      </c>
      <c r="O102" s="9">
        <v>0</v>
      </c>
    </row>
    <row r="103" spans="1:15" x14ac:dyDescent="0.2">
      <c r="A103" s="9" t="s">
        <v>298</v>
      </c>
      <c r="B103" s="10">
        <v>45890</v>
      </c>
      <c r="C103" s="9" t="s">
        <v>299</v>
      </c>
      <c r="D103" s="9" t="s">
        <v>20</v>
      </c>
      <c r="E103" s="9" t="s">
        <v>227</v>
      </c>
      <c r="F103" s="11">
        <v>0</v>
      </c>
      <c r="G103" s="11">
        <v>0</v>
      </c>
      <c r="H103" s="11">
        <v>0</v>
      </c>
      <c r="I103" s="11">
        <v>96.69</v>
      </c>
      <c r="J103" s="11">
        <v>-96.69</v>
      </c>
      <c r="K103" s="12">
        <v>0</v>
      </c>
      <c r="L103" s="9" t="s">
        <v>126</v>
      </c>
      <c r="M103" s="9" t="s">
        <v>20</v>
      </c>
      <c r="N103" s="9" t="s">
        <v>126</v>
      </c>
      <c r="O103" s="9">
        <v>0</v>
      </c>
    </row>
    <row r="104" spans="1:15" x14ac:dyDescent="0.2">
      <c r="A104" s="9" t="s">
        <v>305</v>
      </c>
      <c r="B104" s="10">
        <v>45890</v>
      </c>
      <c r="C104" s="9" t="s">
        <v>299</v>
      </c>
      <c r="D104" s="9" t="s">
        <v>20</v>
      </c>
      <c r="E104" s="9" t="s">
        <v>227</v>
      </c>
      <c r="F104" s="11">
        <v>0</v>
      </c>
      <c r="G104" s="11">
        <v>0</v>
      </c>
      <c r="H104" s="11">
        <v>0</v>
      </c>
      <c r="I104" s="11">
        <v>-793.97</v>
      </c>
      <c r="J104" s="11">
        <v>793.97</v>
      </c>
      <c r="K104" s="12">
        <v>0</v>
      </c>
      <c r="L104" s="9" t="s">
        <v>126</v>
      </c>
      <c r="M104" s="9" t="s">
        <v>20</v>
      </c>
      <c r="N104" s="9" t="s">
        <v>126</v>
      </c>
      <c r="O104" s="9">
        <v>0</v>
      </c>
    </row>
    <row r="105" spans="1:15" x14ac:dyDescent="0.2">
      <c r="A105" s="9" t="s">
        <v>305</v>
      </c>
      <c r="B105" s="10">
        <v>45895</v>
      </c>
      <c r="C105" s="9" t="s">
        <v>299</v>
      </c>
      <c r="D105" s="9" t="s">
        <v>20</v>
      </c>
      <c r="E105" s="9" t="s">
        <v>227</v>
      </c>
      <c r="F105" s="11">
        <v>0</v>
      </c>
      <c r="G105" s="11">
        <v>-510</v>
      </c>
      <c r="H105" s="11">
        <v>-510</v>
      </c>
      <c r="I105" s="11">
        <v>411.78</v>
      </c>
      <c r="J105" s="11">
        <v>-921.78</v>
      </c>
      <c r="K105" s="12">
        <v>1.8074117599999999</v>
      </c>
      <c r="L105" s="9" t="s">
        <v>126</v>
      </c>
      <c r="M105" s="9" t="s">
        <v>20</v>
      </c>
      <c r="N105" s="9" t="s">
        <v>126</v>
      </c>
      <c r="O105" s="9">
        <v>0</v>
      </c>
    </row>
    <row r="106" spans="1:15" x14ac:dyDescent="0.2">
      <c r="A106" s="9" t="s">
        <v>304</v>
      </c>
      <c r="B106" s="10">
        <v>45896</v>
      </c>
      <c r="C106" s="9" t="s">
        <v>299</v>
      </c>
      <c r="D106" s="9" t="s">
        <v>20</v>
      </c>
      <c r="E106" s="9" t="s">
        <v>227</v>
      </c>
      <c r="F106" s="11">
        <v>0</v>
      </c>
      <c r="G106" s="11">
        <v>0</v>
      </c>
      <c r="H106" s="11">
        <v>0</v>
      </c>
      <c r="I106" s="11">
        <v>561.54999999999995</v>
      </c>
      <c r="J106" s="11">
        <v>-561.54999999999995</v>
      </c>
      <c r="K106" s="12">
        <v>0</v>
      </c>
      <c r="L106" s="9" t="s">
        <v>126</v>
      </c>
      <c r="M106" s="9" t="s">
        <v>20</v>
      </c>
      <c r="N106" s="9" t="s">
        <v>126</v>
      </c>
      <c r="O106" s="9">
        <v>0</v>
      </c>
    </row>
    <row r="107" spans="1:15" x14ac:dyDescent="0.2">
      <c r="A107" s="9" t="s">
        <v>304</v>
      </c>
      <c r="B107" s="10">
        <v>45898</v>
      </c>
      <c r="C107" s="9" t="s">
        <v>299</v>
      </c>
      <c r="D107" s="9" t="s">
        <v>20</v>
      </c>
      <c r="E107" s="9" t="s">
        <v>227</v>
      </c>
      <c r="F107" s="11">
        <v>0</v>
      </c>
      <c r="G107" s="11">
        <v>393</v>
      </c>
      <c r="H107" s="11">
        <v>393</v>
      </c>
      <c r="I107" s="11">
        <v>115.86</v>
      </c>
      <c r="J107" s="11">
        <v>277.14</v>
      </c>
      <c r="K107" s="12">
        <v>0.70519083999999999</v>
      </c>
      <c r="L107" s="9" t="s">
        <v>126</v>
      </c>
      <c r="M107" s="9" t="s">
        <v>20</v>
      </c>
      <c r="N107" s="9" t="s">
        <v>126</v>
      </c>
      <c r="O107" s="9">
        <v>0</v>
      </c>
    </row>
    <row r="108" spans="1:15" x14ac:dyDescent="0.2">
      <c r="A108" s="9" t="s">
        <v>306</v>
      </c>
      <c r="B108" s="10">
        <v>45889</v>
      </c>
      <c r="C108" s="9" t="s">
        <v>307</v>
      </c>
      <c r="D108" s="9" t="s">
        <v>46</v>
      </c>
      <c r="E108" s="9" t="s">
        <v>192</v>
      </c>
      <c r="F108" s="11">
        <v>0</v>
      </c>
      <c r="G108" s="11">
        <v>0</v>
      </c>
      <c r="H108" s="11">
        <v>0</v>
      </c>
      <c r="I108" s="11">
        <v>-20325</v>
      </c>
      <c r="J108" s="11">
        <v>20325</v>
      </c>
      <c r="K108" s="12">
        <v>0</v>
      </c>
      <c r="L108" s="9" t="s">
        <v>120</v>
      </c>
      <c r="M108" s="9" t="s">
        <v>46</v>
      </c>
      <c r="N108" s="9" t="s">
        <v>120</v>
      </c>
      <c r="O108" s="9">
        <v>0</v>
      </c>
    </row>
    <row r="109" spans="1:15" x14ac:dyDescent="0.2">
      <c r="A109" s="9" t="s">
        <v>306</v>
      </c>
      <c r="B109" s="10">
        <v>45891</v>
      </c>
      <c r="C109" s="9" t="s">
        <v>307</v>
      </c>
      <c r="D109" s="9" t="s">
        <v>46</v>
      </c>
      <c r="E109" s="9" t="s">
        <v>192</v>
      </c>
      <c r="F109" s="11">
        <v>0</v>
      </c>
      <c r="G109" s="11">
        <v>0</v>
      </c>
      <c r="H109" s="11">
        <v>0</v>
      </c>
      <c r="I109" s="11">
        <v>50.45</v>
      </c>
      <c r="J109" s="11">
        <v>-50.45</v>
      </c>
      <c r="K109" s="12">
        <v>0</v>
      </c>
      <c r="L109" s="9" t="s">
        <v>120</v>
      </c>
      <c r="M109" s="9" t="s">
        <v>46</v>
      </c>
      <c r="N109" s="9" t="s">
        <v>120</v>
      </c>
      <c r="O109" s="9">
        <v>0</v>
      </c>
    </row>
    <row r="110" spans="1:15" x14ac:dyDescent="0.2">
      <c r="A110" s="9" t="s">
        <v>308</v>
      </c>
      <c r="B110" s="10">
        <v>45895</v>
      </c>
      <c r="C110" s="9" t="s">
        <v>309</v>
      </c>
      <c r="D110" s="9" t="s">
        <v>106</v>
      </c>
      <c r="E110" s="9" t="s">
        <v>199</v>
      </c>
      <c r="F110" s="11">
        <v>138107.74</v>
      </c>
      <c r="G110" s="11">
        <v>0</v>
      </c>
      <c r="H110" s="11">
        <v>138107.74</v>
      </c>
      <c r="I110" s="11">
        <v>110701.96</v>
      </c>
      <c r="J110" s="11">
        <v>27405.78</v>
      </c>
      <c r="K110" s="12">
        <v>0.19843768000000001</v>
      </c>
      <c r="L110" s="9" t="s">
        <v>76</v>
      </c>
      <c r="M110" s="9" t="s">
        <v>106</v>
      </c>
      <c r="N110" s="9" t="s">
        <v>76</v>
      </c>
      <c r="O110" s="9">
        <v>1</v>
      </c>
    </row>
    <row r="111" spans="1:15" x14ac:dyDescent="0.2">
      <c r="A111" s="9" t="s">
        <v>310</v>
      </c>
      <c r="B111" s="10">
        <v>45873</v>
      </c>
      <c r="C111" s="9" t="s">
        <v>311</v>
      </c>
      <c r="D111" s="9" t="s">
        <v>19</v>
      </c>
      <c r="E111" s="9" t="s">
        <v>192</v>
      </c>
      <c r="F111" s="11">
        <v>0</v>
      </c>
      <c r="G111" s="11">
        <v>0</v>
      </c>
      <c r="H111" s="11">
        <v>0</v>
      </c>
      <c r="I111" s="11">
        <v>3.65</v>
      </c>
      <c r="J111" s="11">
        <v>-3.65</v>
      </c>
      <c r="K111" s="12">
        <v>0</v>
      </c>
      <c r="L111" s="9" t="s">
        <v>312</v>
      </c>
      <c r="M111" s="9" t="s">
        <v>19</v>
      </c>
      <c r="N111" s="9" t="s">
        <v>130</v>
      </c>
      <c r="O111" s="9">
        <v>0</v>
      </c>
    </row>
    <row r="112" spans="1:15" x14ac:dyDescent="0.2">
      <c r="A112" s="9" t="s">
        <v>310</v>
      </c>
      <c r="B112" s="10">
        <v>45874</v>
      </c>
      <c r="C112" s="9" t="s">
        <v>311</v>
      </c>
      <c r="D112" s="9" t="s">
        <v>19</v>
      </c>
      <c r="E112" s="9" t="s">
        <v>192</v>
      </c>
      <c r="F112" s="11">
        <v>0</v>
      </c>
      <c r="G112" s="11">
        <v>-4.5</v>
      </c>
      <c r="H112" s="11">
        <v>-4.5</v>
      </c>
      <c r="I112" s="11">
        <v>7.85</v>
      </c>
      <c r="J112" s="11">
        <v>-12.35</v>
      </c>
      <c r="K112" s="12">
        <v>2.7444444400000001</v>
      </c>
      <c r="L112" s="9" t="s">
        <v>312</v>
      </c>
      <c r="M112" s="9" t="s">
        <v>19</v>
      </c>
      <c r="N112" s="9" t="s">
        <v>130</v>
      </c>
      <c r="O112" s="9">
        <v>0</v>
      </c>
    </row>
    <row r="113" spans="1:15" x14ac:dyDescent="0.2">
      <c r="A113" s="9" t="s">
        <v>310</v>
      </c>
      <c r="B113" s="10">
        <v>45875</v>
      </c>
      <c r="C113" s="9" t="s">
        <v>311</v>
      </c>
      <c r="D113" s="9" t="s">
        <v>19</v>
      </c>
      <c r="E113" s="9" t="s">
        <v>192</v>
      </c>
      <c r="F113" s="11">
        <v>0</v>
      </c>
      <c r="G113" s="11">
        <v>0</v>
      </c>
      <c r="H113" s="11">
        <v>0</v>
      </c>
      <c r="I113" s="11">
        <v>13.5</v>
      </c>
      <c r="J113" s="11">
        <v>-13.5</v>
      </c>
      <c r="K113" s="12">
        <v>0</v>
      </c>
      <c r="L113" s="9" t="s">
        <v>312</v>
      </c>
      <c r="M113" s="9" t="s">
        <v>19</v>
      </c>
      <c r="N113" s="9" t="s">
        <v>130</v>
      </c>
      <c r="O113" s="9">
        <v>0</v>
      </c>
    </row>
    <row r="114" spans="1:15" x14ac:dyDescent="0.2">
      <c r="A114" s="9" t="s">
        <v>313</v>
      </c>
      <c r="B114" s="10">
        <v>45888</v>
      </c>
      <c r="C114" s="9" t="s">
        <v>311</v>
      </c>
      <c r="D114" s="9" t="s">
        <v>19</v>
      </c>
      <c r="E114" s="9" t="s">
        <v>192</v>
      </c>
      <c r="F114" s="11">
        <v>962</v>
      </c>
      <c r="G114" s="11">
        <v>0</v>
      </c>
      <c r="H114" s="11">
        <v>962</v>
      </c>
      <c r="I114" s="11">
        <v>735.31</v>
      </c>
      <c r="J114" s="11">
        <v>226.69</v>
      </c>
      <c r="K114" s="12">
        <v>0.23564449000000001</v>
      </c>
      <c r="L114" s="9" t="s">
        <v>312</v>
      </c>
      <c r="M114" s="9" t="s">
        <v>19</v>
      </c>
      <c r="N114" s="9" t="s">
        <v>130</v>
      </c>
      <c r="O114" s="9">
        <v>1</v>
      </c>
    </row>
    <row r="115" spans="1:15" x14ac:dyDescent="0.2">
      <c r="A115" s="9" t="s">
        <v>313</v>
      </c>
      <c r="B115" s="10">
        <v>45894</v>
      </c>
      <c r="C115" s="9" t="s">
        <v>311</v>
      </c>
      <c r="D115" s="9" t="s">
        <v>19</v>
      </c>
      <c r="E115" s="9" t="s">
        <v>192</v>
      </c>
      <c r="F115" s="11">
        <v>0</v>
      </c>
      <c r="G115" s="11">
        <v>0</v>
      </c>
      <c r="H115" s="11">
        <v>0</v>
      </c>
      <c r="I115" s="11">
        <v>-670.6</v>
      </c>
      <c r="J115" s="11">
        <v>670.6</v>
      </c>
      <c r="K115" s="12">
        <v>0</v>
      </c>
      <c r="L115" s="9" t="s">
        <v>312</v>
      </c>
      <c r="M115" s="9" t="s">
        <v>19</v>
      </c>
      <c r="N115" s="9" t="s">
        <v>130</v>
      </c>
      <c r="O115" s="9">
        <v>0</v>
      </c>
    </row>
    <row r="116" spans="1:15" x14ac:dyDescent="0.2">
      <c r="A116" s="9" t="s">
        <v>314</v>
      </c>
      <c r="B116" s="10">
        <v>45896</v>
      </c>
      <c r="C116" s="9" t="s">
        <v>315</v>
      </c>
      <c r="D116" s="9" t="s">
        <v>234</v>
      </c>
      <c r="E116" s="9" t="s">
        <v>199</v>
      </c>
      <c r="F116" s="11">
        <v>0</v>
      </c>
      <c r="G116" s="11">
        <v>0</v>
      </c>
      <c r="H116" s="11">
        <v>0</v>
      </c>
      <c r="I116" s="11">
        <v>1319.7</v>
      </c>
      <c r="J116" s="11">
        <v>-1319.7</v>
      </c>
      <c r="K116" s="12">
        <v>0</v>
      </c>
      <c r="L116" s="9" t="s">
        <v>316</v>
      </c>
      <c r="M116" s="9" t="s">
        <v>106</v>
      </c>
      <c r="N116" s="9" t="s">
        <v>111</v>
      </c>
      <c r="O116" s="9">
        <v>0</v>
      </c>
    </row>
    <row r="117" spans="1:15" x14ac:dyDescent="0.2">
      <c r="A117" s="9" t="s">
        <v>317</v>
      </c>
      <c r="B117" s="10">
        <v>45889</v>
      </c>
      <c r="C117" s="9" t="s">
        <v>67</v>
      </c>
      <c r="D117" s="9" t="s">
        <v>15</v>
      </c>
      <c r="E117" s="9" t="s">
        <v>227</v>
      </c>
      <c r="F117" s="11">
        <v>0</v>
      </c>
      <c r="G117" s="11">
        <v>0</v>
      </c>
      <c r="H117" s="11">
        <v>0</v>
      </c>
      <c r="I117" s="11">
        <v>1593.75</v>
      </c>
      <c r="J117" s="11">
        <v>-1593.75</v>
      </c>
      <c r="K117" s="12">
        <v>0</v>
      </c>
      <c r="L117" s="9" t="s">
        <v>152</v>
      </c>
      <c r="M117" s="9" t="s">
        <v>15</v>
      </c>
      <c r="N117" s="9" t="s">
        <v>152</v>
      </c>
      <c r="O117" s="9">
        <v>0</v>
      </c>
    </row>
    <row r="118" spans="1:15" x14ac:dyDescent="0.2">
      <c r="A118" s="9" t="s">
        <v>318</v>
      </c>
      <c r="B118" s="10">
        <v>45889</v>
      </c>
      <c r="C118" s="9" t="s">
        <v>67</v>
      </c>
      <c r="D118" s="9" t="s">
        <v>15</v>
      </c>
      <c r="E118" s="9" t="s">
        <v>227</v>
      </c>
      <c r="F118" s="11">
        <v>84058.72</v>
      </c>
      <c r="G118" s="11">
        <v>0</v>
      </c>
      <c r="H118" s="11">
        <v>84058.72</v>
      </c>
      <c r="I118" s="11">
        <v>71241.75</v>
      </c>
      <c r="J118" s="11">
        <v>12816.97</v>
      </c>
      <c r="K118" s="12">
        <v>0.15247638999999999</v>
      </c>
      <c r="L118" s="9" t="s">
        <v>152</v>
      </c>
      <c r="M118" s="9" t="s">
        <v>15</v>
      </c>
      <c r="N118" s="9" t="s">
        <v>152</v>
      </c>
      <c r="O118" s="9">
        <v>1</v>
      </c>
    </row>
    <row r="119" spans="1:15" x14ac:dyDescent="0.2">
      <c r="A119" s="9" t="s">
        <v>319</v>
      </c>
      <c r="B119" s="10">
        <v>45889</v>
      </c>
      <c r="C119" s="9" t="s">
        <v>67</v>
      </c>
      <c r="D119" s="9" t="s">
        <v>15</v>
      </c>
      <c r="E119" s="9" t="s">
        <v>227</v>
      </c>
      <c r="F119" s="11">
        <v>901.8</v>
      </c>
      <c r="G119" s="11">
        <v>0</v>
      </c>
      <c r="H119" s="11">
        <v>901.8</v>
      </c>
      <c r="I119" s="11">
        <v>0</v>
      </c>
      <c r="J119" s="11">
        <v>901.8</v>
      </c>
      <c r="K119" s="12">
        <v>1</v>
      </c>
      <c r="L119" s="9" t="s">
        <v>152</v>
      </c>
      <c r="M119" s="9" t="s">
        <v>15</v>
      </c>
      <c r="N119" s="9" t="s">
        <v>152</v>
      </c>
      <c r="O119" s="9">
        <v>1</v>
      </c>
    </row>
    <row r="120" spans="1:15" x14ac:dyDescent="0.2">
      <c r="A120" s="9" t="s">
        <v>318</v>
      </c>
      <c r="B120" s="10">
        <v>45890</v>
      </c>
      <c r="C120" s="9" t="s">
        <v>67</v>
      </c>
      <c r="D120" s="9" t="s">
        <v>15</v>
      </c>
      <c r="E120" s="9" t="s">
        <v>227</v>
      </c>
      <c r="F120" s="11">
        <v>0</v>
      </c>
      <c r="G120" s="11">
        <v>-411.79</v>
      </c>
      <c r="H120" s="11">
        <v>-411.79</v>
      </c>
      <c r="I120" s="11">
        <v>17.489999999999998</v>
      </c>
      <c r="J120" s="11">
        <v>-429.28</v>
      </c>
      <c r="K120" s="12">
        <v>1.04247311</v>
      </c>
      <c r="L120" s="9" t="s">
        <v>152</v>
      </c>
      <c r="M120" s="9" t="s">
        <v>15</v>
      </c>
      <c r="N120" s="9" t="s">
        <v>152</v>
      </c>
      <c r="O120" s="9">
        <v>0</v>
      </c>
    </row>
    <row r="121" spans="1:15" x14ac:dyDescent="0.2">
      <c r="A121" s="9" t="s">
        <v>318</v>
      </c>
      <c r="B121" s="10">
        <v>45894</v>
      </c>
      <c r="C121" s="9" t="s">
        <v>67</v>
      </c>
      <c r="D121" s="9" t="s">
        <v>15</v>
      </c>
      <c r="E121" s="9" t="s">
        <v>227</v>
      </c>
      <c r="F121" s="11">
        <v>0</v>
      </c>
      <c r="G121" s="11">
        <v>0</v>
      </c>
      <c r="H121" s="11">
        <v>0</v>
      </c>
      <c r="I121" s="11">
        <v>-30.31</v>
      </c>
      <c r="J121" s="11">
        <v>30.31</v>
      </c>
      <c r="K121" s="12">
        <v>0</v>
      </c>
      <c r="L121" s="9" t="s">
        <v>152</v>
      </c>
      <c r="M121" s="9" t="s">
        <v>15</v>
      </c>
      <c r="N121" s="9" t="s">
        <v>152</v>
      </c>
      <c r="O121" s="9">
        <v>0</v>
      </c>
    </row>
    <row r="122" spans="1:15" x14ac:dyDescent="0.2">
      <c r="A122" s="9" t="s">
        <v>318</v>
      </c>
      <c r="B122" s="10">
        <v>45895</v>
      </c>
      <c r="C122" s="9" t="s">
        <v>67</v>
      </c>
      <c r="D122" s="9" t="s">
        <v>15</v>
      </c>
      <c r="E122" s="9" t="s">
        <v>227</v>
      </c>
      <c r="F122" s="11">
        <v>0</v>
      </c>
      <c r="G122" s="11">
        <v>0</v>
      </c>
      <c r="H122" s="11">
        <v>0</v>
      </c>
      <c r="I122" s="11">
        <v>-2943.36</v>
      </c>
      <c r="J122" s="11">
        <v>2943.36</v>
      </c>
      <c r="K122" s="12">
        <v>0</v>
      </c>
      <c r="L122" s="9" t="s">
        <v>152</v>
      </c>
      <c r="M122" s="9" t="s">
        <v>15</v>
      </c>
      <c r="N122" s="9" t="s">
        <v>152</v>
      </c>
      <c r="O122" s="9">
        <v>0</v>
      </c>
    </row>
    <row r="123" spans="1:15" x14ac:dyDescent="0.2">
      <c r="A123" s="9" t="s">
        <v>320</v>
      </c>
      <c r="B123" s="10">
        <v>45884</v>
      </c>
      <c r="C123" s="9" t="s">
        <v>321</v>
      </c>
      <c r="D123" s="9" t="s">
        <v>48</v>
      </c>
      <c r="E123" s="9" t="s">
        <v>192</v>
      </c>
      <c r="F123" s="11">
        <v>6500</v>
      </c>
      <c r="G123" s="11">
        <v>0</v>
      </c>
      <c r="H123" s="11">
        <v>6500</v>
      </c>
      <c r="I123" s="11">
        <v>4875</v>
      </c>
      <c r="J123" s="11">
        <v>1625</v>
      </c>
      <c r="K123" s="12">
        <v>0.25</v>
      </c>
      <c r="L123" s="9" t="s">
        <v>260</v>
      </c>
      <c r="M123" s="9" t="s">
        <v>48</v>
      </c>
      <c r="N123" s="9" t="s">
        <v>243</v>
      </c>
      <c r="O123" s="9">
        <v>1</v>
      </c>
    </row>
    <row r="124" spans="1:15" x14ac:dyDescent="0.2">
      <c r="A124" s="9" t="s">
        <v>322</v>
      </c>
      <c r="B124" s="10">
        <v>45884</v>
      </c>
      <c r="C124" s="9" t="s">
        <v>321</v>
      </c>
      <c r="D124" s="9" t="s">
        <v>48</v>
      </c>
      <c r="E124" s="9" t="s">
        <v>192</v>
      </c>
      <c r="F124" s="11">
        <v>21639.53</v>
      </c>
      <c r="G124" s="11">
        <v>0</v>
      </c>
      <c r="H124" s="11">
        <v>21639.53</v>
      </c>
      <c r="I124" s="11">
        <v>18447.52</v>
      </c>
      <c r="J124" s="11">
        <v>3192.01</v>
      </c>
      <c r="K124" s="12">
        <v>0.14750828999999999</v>
      </c>
      <c r="L124" s="9" t="s">
        <v>260</v>
      </c>
      <c r="M124" s="9" t="s">
        <v>48</v>
      </c>
      <c r="N124" s="9" t="s">
        <v>243</v>
      </c>
      <c r="O124" s="9">
        <v>1</v>
      </c>
    </row>
    <row r="125" spans="1:15" x14ac:dyDescent="0.2">
      <c r="A125" s="9" t="s">
        <v>323</v>
      </c>
      <c r="B125" s="10">
        <v>45884</v>
      </c>
      <c r="C125" s="9" t="s">
        <v>321</v>
      </c>
      <c r="D125" s="9" t="s">
        <v>48</v>
      </c>
      <c r="E125" s="9" t="s">
        <v>192</v>
      </c>
      <c r="F125" s="11">
        <v>48826.94</v>
      </c>
      <c r="G125" s="11">
        <v>0</v>
      </c>
      <c r="H125" s="11">
        <v>48826.94</v>
      </c>
      <c r="I125" s="11">
        <v>41624.57</v>
      </c>
      <c r="J125" s="11">
        <v>7202.37</v>
      </c>
      <c r="K125" s="12">
        <v>0.14750811999999999</v>
      </c>
      <c r="L125" s="9" t="s">
        <v>260</v>
      </c>
      <c r="M125" s="9" t="s">
        <v>48</v>
      </c>
      <c r="N125" s="9" t="s">
        <v>243</v>
      </c>
      <c r="O125" s="9">
        <v>1</v>
      </c>
    </row>
    <row r="126" spans="1:15" x14ac:dyDescent="0.2">
      <c r="A126" s="9" t="s">
        <v>323</v>
      </c>
      <c r="B126" s="10">
        <v>45887</v>
      </c>
      <c r="C126" s="9" t="s">
        <v>321</v>
      </c>
      <c r="D126" s="9" t="s">
        <v>48</v>
      </c>
      <c r="E126" s="9" t="s">
        <v>192</v>
      </c>
      <c r="F126" s="11">
        <v>0</v>
      </c>
      <c r="G126" s="11">
        <v>0</v>
      </c>
      <c r="H126" s="11">
        <v>0</v>
      </c>
      <c r="I126" s="11">
        <v>101.23</v>
      </c>
      <c r="J126" s="11">
        <v>-101.23</v>
      </c>
      <c r="K126" s="12">
        <v>0</v>
      </c>
      <c r="L126" s="9" t="s">
        <v>260</v>
      </c>
      <c r="M126" s="9" t="s">
        <v>48</v>
      </c>
      <c r="N126" s="9" t="s">
        <v>243</v>
      </c>
      <c r="O126" s="9">
        <v>0</v>
      </c>
    </row>
    <row r="127" spans="1:15" x14ac:dyDescent="0.2">
      <c r="A127" s="9" t="s">
        <v>324</v>
      </c>
      <c r="B127" s="10">
        <v>45889</v>
      </c>
      <c r="C127" s="9" t="s">
        <v>325</v>
      </c>
      <c r="D127" s="9" t="s">
        <v>9</v>
      </c>
      <c r="E127" s="9" t="s">
        <v>199</v>
      </c>
      <c r="F127" s="11">
        <v>0</v>
      </c>
      <c r="G127" s="11">
        <v>-900</v>
      </c>
      <c r="H127" s="11">
        <v>-900</v>
      </c>
      <c r="I127" s="11">
        <v>0</v>
      </c>
      <c r="J127" s="11">
        <v>-900</v>
      </c>
      <c r="K127" s="12">
        <v>1</v>
      </c>
      <c r="L127" s="9" t="s">
        <v>111</v>
      </c>
      <c r="M127" s="9" t="s">
        <v>9</v>
      </c>
      <c r="N127" s="9" t="s">
        <v>111</v>
      </c>
      <c r="O127" s="9">
        <v>0</v>
      </c>
    </row>
    <row r="128" spans="1:15" x14ac:dyDescent="0.2">
      <c r="A128" s="9" t="s">
        <v>324</v>
      </c>
      <c r="B128" s="10">
        <v>45898</v>
      </c>
      <c r="C128" s="9" t="s">
        <v>325</v>
      </c>
      <c r="D128" s="9" t="s">
        <v>9</v>
      </c>
      <c r="E128" s="9" t="s">
        <v>199</v>
      </c>
      <c r="F128" s="11">
        <v>0</v>
      </c>
      <c r="G128" s="11">
        <v>0</v>
      </c>
      <c r="H128" s="11">
        <v>0</v>
      </c>
      <c r="I128" s="11">
        <v>1319.1</v>
      </c>
      <c r="J128" s="11">
        <v>-1319.1</v>
      </c>
      <c r="K128" s="12">
        <v>0</v>
      </c>
      <c r="L128" s="9" t="s">
        <v>111</v>
      </c>
      <c r="M128" s="9" t="s">
        <v>9</v>
      </c>
      <c r="N128" s="9" t="s">
        <v>111</v>
      </c>
      <c r="O128" s="9">
        <v>0</v>
      </c>
    </row>
    <row r="129" spans="1:15" x14ac:dyDescent="0.2">
      <c r="A129" s="9" t="s">
        <v>326</v>
      </c>
      <c r="B129" s="10">
        <v>45898</v>
      </c>
      <c r="C129" s="9" t="s">
        <v>327</v>
      </c>
      <c r="D129" s="9" t="s">
        <v>15</v>
      </c>
      <c r="E129" s="9" t="s">
        <v>227</v>
      </c>
      <c r="F129" s="11">
        <v>90263.13</v>
      </c>
      <c r="G129" s="11">
        <v>0</v>
      </c>
      <c r="H129" s="11">
        <v>90263.13</v>
      </c>
      <c r="I129" s="11">
        <v>68598.14</v>
      </c>
      <c r="J129" s="11">
        <v>21664.99</v>
      </c>
      <c r="K129" s="12">
        <v>0.24002037000000001</v>
      </c>
      <c r="L129" s="9" t="s">
        <v>158</v>
      </c>
      <c r="M129" s="9" t="s">
        <v>15</v>
      </c>
      <c r="N129" s="9" t="s">
        <v>158</v>
      </c>
      <c r="O129" s="9">
        <v>1</v>
      </c>
    </row>
    <row r="130" spans="1:15" x14ac:dyDescent="0.2">
      <c r="A130" s="9" t="s">
        <v>328</v>
      </c>
      <c r="B130" s="10">
        <v>45898</v>
      </c>
      <c r="C130" s="9" t="s">
        <v>327</v>
      </c>
      <c r="D130" s="9" t="s">
        <v>15</v>
      </c>
      <c r="E130" s="9" t="s">
        <v>227</v>
      </c>
      <c r="F130" s="11">
        <v>2225.1799999999998</v>
      </c>
      <c r="G130" s="11">
        <v>0</v>
      </c>
      <c r="H130" s="11">
        <v>2225.1799999999998</v>
      </c>
      <c r="I130" s="11">
        <v>0</v>
      </c>
      <c r="J130" s="11">
        <v>2225.1799999999998</v>
      </c>
      <c r="K130" s="12">
        <v>1</v>
      </c>
      <c r="L130" s="9" t="s">
        <v>158</v>
      </c>
      <c r="M130" s="9" t="s">
        <v>15</v>
      </c>
      <c r="N130" s="9" t="s">
        <v>158</v>
      </c>
      <c r="O130" s="9">
        <v>1</v>
      </c>
    </row>
    <row r="131" spans="1:15" x14ac:dyDescent="0.2">
      <c r="A131" s="9" t="s">
        <v>329</v>
      </c>
      <c r="B131" s="10">
        <v>45882</v>
      </c>
      <c r="C131" s="9" t="s">
        <v>330</v>
      </c>
      <c r="D131" s="9" t="s">
        <v>15</v>
      </c>
      <c r="E131" s="9" t="s">
        <v>227</v>
      </c>
      <c r="F131" s="11">
        <v>0</v>
      </c>
      <c r="G131" s="11">
        <v>0</v>
      </c>
      <c r="H131" s="11">
        <v>0</v>
      </c>
      <c r="I131" s="11">
        <v>-534.65</v>
      </c>
      <c r="J131" s="11">
        <v>534.65</v>
      </c>
      <c r="K131" s="12">
        <v>0</v>
      </c>
      <c r="L131" s="9" t="s">
        <v>152</v>
      </c>
      <c r="M131" s="9" t="s">
        <v>15</v>
      </c>
      <c r="N131" s="9" t="s">
        <v>152</v>
      </c>
      <c r="O131" s="9">
        <v>0</v>
      </c>
    </row>
    <row r="132" spans="1:15" x14ac:dyDescent="0.2">
      <c r="A132" s="9" t="s">
        <v>331</v>
      </c>
      <c r="B132" s="10">
        <v>45890</v>
      </c>
      <c r="C132" s="9" t="s">
        <v>332</v>
      </c>
      <c r="D132" s="9" t="s">
        <v>48</v>
      </c>
      <c r="E132" s="9" t="s">
        <v>192</v>
      </c>
      <c r="F132" s="11">
        <v>4454.05</v>
      </c>
      <c r="G132" s="11">
        <v>0</v>
      </c>
      <c r="H132" s="11">
        <v>4454.05</v>
      </c>
      <c r="I132" s="11">
        <v>10011.24</v>
      </c>
      <c r="J132" s="11">
        <v>-5557.19</v>
      </c>
      <c r="K132" s="12">
        <v>-1.24767122</v>
      </c>
      <c r="L132" s="9" t="s">
        <v>333</v>
      </c>
      <c r="M132" s="9" t="s">
        <v>48</v>
      </c>
      <c r="N132" s="9" t="s">
        <v>333</v>
      </c>
      <c r="O132" s="9">
        <v>1</v>
      </c>
    </row>
    <row r="133" spans="1:15" x14ac:dyDescent="0.2">
      <c r="A133" s="9" t="s">
        <v>334</v>
      </c>
      <c r="B133" s="10">
        <v>45890</v>
      </c>
      <c r="C133" s="9" t="s">
        <v>332</v>
      </c>
      <c r="D133" s="9" t="s">
        <v>48</v>
      </c>
      <c r="E133" s="9" t="s">
        <v>192</v>
      </c>
      <c r="F133" s="11">
        <v>4454.05</v>
      </c>
      <c r="G133" s="11">
        <v>0</v>
      </c>
      <c r="H133" s="11">
        <v>4454.05</v>
      </c>
      <c r="I133" s="11">
        <v>0</v>
      </c>
      <c r="J133" s="11">
        <v>4454.05</v>
      </c>
      <c r="K133" s="12">
        <v>1</v>
      </c>
      <c r="L133" s="9" t="s">
        <v>333</v>
      </c>
      <c r="M133" s="9" t="s">
        <v>48</v>
      </c>
      <c r="N133" s="9" t="s">
        <v>333</v>
      </c>
      <c r="O133" s="9">
        <v>1</v>
      </c>
    </row>
    <row r="134" spans="1:15" x14ac:dyDescent="0.2">
      <c r="A134" s="9" t="s">
        <v>335</v>
      </c>
      <c r="B134" s="10">
        <v>45890</v>
      </c>
      <c r="C134" s="9" t="s">
        <v>332</v>
      </c>
      <c r="D134" s="9" t="s">
        <v>48</v>
      </c>
      <c r="E134" s="9" t="s">
        <v>192</v>
      </c>
      <c r="F134" s="11">
        <v>4454.05</v>
      </c>
      <c r="G134" s="11">
        <v>0</v>
      </c>
      <c r="H134" s="11">
        <v>4454.05</v>
      </c>
      <c r="I134" s="11">
        <v>0</v>
      </c>
      <c r="J134" s="11">
        <v>4454.05</v>
      </c>
      <c r="K134" s="12">
        <v>1</v>
      </c>
      <c r="L134" s="9" t="s">
        <v>333</v>
      </c>
      <c r="M134" s="9" t="s">
        <v>48</v>
      </c>
      <c r="N134" s="9" t="s">
        <v>333</v>
      </c>
      <c r="O134" s="9">
        <v>1</v>
      </c>
    </row>
    <row r="135" spans="1:15" x14ac:dyDescent="0.2">
      <c r="A135" s="9" t="s">
        <v>336</v>
      </c>
      <c r="B135" s="10">
        <v>45873</v>
      </c>
      <c r="C135" s="9" t="s">
        <v>337</v>
      </c>
      <c r="D135" s="9" t="s">
        <v>48</v>
      </c>
      <c r="E135" s="9" t="s">
        <v>192</v>
      </c>
      <c r="F135" s="11">
        <v>348.62</v>
      </c>
      <c r="G135" s="11">
        <v>0</v>
      </c>
      <c r="H135" s="11">
        <v>348.62</v>
      </c>
      <c r="I135" s="11">
        <v>257.41000000000003</v>
      </c>
      <c r="J135" s="11">
        <v>91.21</v>
      </c>
      <c r="K135" s="12">
        <v>0.26163157999999997</v>
      </c>
      <c r="L135" s="9" t="s">
        <v>131</v>
      </c>
      <c r="M135" s="9" t="s">
        <v>48</v>
      </c>
      <c r="N135" s="9" t="s">
        <v>131</v>
      </c>
      <c r="O135" s="9">
        <v>1</v>
      </c>
    </row>
    <row r="136" spans="1:15" x14ac:dyDescent="0.2">
      <c r="A136" s="9" t="s">
        <v>336</v>
      </c>
      <c r="B136" s="10">
        <v>45877</v>
      </c>
      <c r="C136" s="9" t="s">
        <v>337</v>
      </c>
      <c r="D136" s="9" t="s">
        <v>48</v>
      </c>
      <c r="E136" s="9" t="s">
        <v>192</v>
      </c>
      <c r="F136" s="11">
        <v>0</v>
      </c>
      <c r="G136" s="11">
        <v>0</v>
      </c>
      <c r="H136" s="11">
        <v>0</v>
      </c>
      <c r="I136" s="11">
        <v>202.7</v>
      </c>
      <c r="J136" s="11">
        <v>-202.7</v>
      </c>
      <c r="K136" s="12">
        <v>0</v>
      </c>
      <c r="L136" s="9" t="s">
        <v>131</v>
      </c>
      <c r="M136" s="9" t="s">
        <v>48</v>
      </c>
      <c r="N136" s="9" t="s">
        <v>131</v>
      </c>
      <c r="O136" s="9">
        <v>0</v>
      </c>
    </row>
    <row r="137" spans="1:15" x14ac:dyDescent="0.2">
      <c r="A137" s="9" t="s">
        <v>338</v>
      </c>
      <c r="B137" s="10">
        <v>45870</v>
      </c>
      <c r="C137" s="9" t="s">
        <v>339</v>
      </c>
      <c r="D137" s="9" t="s">
        <v>15</v>
      </c>
      <c r="E137" s="9" t="s">
        <v>227</v>
      </c>
      <c r="F137" s="11">
        <v>0</v>
      </c>
      <c r="G137" s="11">
        <v>0</v>
      </c>
      <c r="H137" s="11">
        <v>0</v>
      </c>
      <c r="I137" s="11">
        <v>-187.5</v>
      </c>
      <c r="J137" s="11">
        <v>187.5</v>
      </c>
      <c r="K137" s="12">
        <v>0</v>
      </c>
      <c r="L137" s="9" t="s">
        <v>15</v>
      </c>
      <c r="M137" s="9" t="s">
        <v>15</v>
      </c>
      <c r="N137" s="9" t="s">
        <v>251</v>
      </c>
      <c r="O137" s="9">
        <v>0</v>
      </c>
    </row>
    <row r="138" spans="1:15" x14ac:dyDescent="0.2">
      <c r="A138" s="9" t="s">
        <v>340</v>
      </c>
      <c r="B138" s="10">
        <v>45895</v>
      </c>
      <c r="C138" s="9" t="s">
        <v>341</v>
      </c>
      <c r="D138" s="9" t="s">
        <v>15</v>
      </c>
      <c r="E138" s="9" t="s">
        <v>227</v>
      </c>
      <c r="F138" s="11">
        <v>0</v>
      </c>
      <c r="G138" s="11">
        <v>0</v>
      </c>
      <c r="H138" s="11">
        <v>0</v>
      </c>
      <c r="I138" s="11">
        <v>514.35</v>
      </c>
      <c r="J138" s="11">
        <v>-514.35</v>
      </c>
      <c r="K138" s="12">
        <v>0</v>
      </c>
      <c r="L138" s="9" t="s">
        <v>152</v>
      </c>
      <c r="M138" s="9" t="s">
        <v>15</v>
      </c>
      <c r="N138" s="9" t="s">
        <v>152</v>
      </c>
      <c r="O138" s="9">
        <v>0</v>
      </c>
    </row>
    <row r="139" spans="1:15" x14ac:dyDescent="0.2">
      <c r="A139" s="9" t="s">
        <v>342</v>
      </c>
      <c r="B139" s="10">
        <v>45896</v>
      </c>
      <c r="C139" s="9" t="s">
        <v>343</v>
      </c>
      <c r="D139" s="9" t="s">
        <v>268</v>
      </c>
      <c r="E139" s="9" t="s">
        <v>199</v>
      </c>
      <c r="F139" s="11">
        <v>3064.52</v>
      </c>
      <c r="G139" s="11">
        <v>0</v>
      </c>
      <c r="H139" s="11">
        <v>3064.52</v>
      </c>
      <c r="I139" s="11">
        <v>2384.8000000000002</v>
      </c>
      <c r="J139" s="11">
        <v>679.72</v>
      </c>
      <c r="K139" s="12">
        <v>0.22180309000000001</v>
      </c>
      <c r="L139" s="9" t="s">
        <v>109</v>
      </c>
      <c r="M139" s="9" t="s">
        <v>268</v>
      </c>
      <c r="N139" s="9" t="s">
        <v>109</v>
      </c>
      <c r="O139" s="9">
        <v>1</v>
      </c>
    </row>
    <row r="140" spans="1:15" x14ac:dyDescent="0.2">
      <c r="A140" s="9" t="s">
        <v>344</v>
      </c>
      <c r="B140" s="10">
        <v>45876</v>
      </c>
      <c r="C140" s="9" t="s">
        <v>343</v>
      </c>
      <c r="D140" s="9" t="s">
        <v>268</v>
      </c>
      <c r="E140" s="9" t="s">
        <v>199</v>
      </c>
      <c r="F140" s="11">
        <v>3040</v>
      </c>
      <c r="G140" s="11">
        <v>0</v>
      </c>
      <c r="H140" s="11">
        <v>3040</v>
      </c>
      <c r="I140" s="11">
        <v>2730.76</v>
      </c>
      <c r="J140" s="11">
        <v>309.24</v>
      </c>
      <c r="K140" s="12">
        <v>0.10172368</v>
      </c>
      <c r="L140" s="9" t="s">
        <v>111</v>
      </c>
      <c r="M140" s="9" t="s">
        <v>268</v>
      </c>
      <c r="N140" s="9" t="s">
        <v>111</v>
      </c>
      <c r="O140" s="9">
        <v>1</v>
      </c>
    </row>
    <row r="141" spans="1:15" x14ac:dyDescent="0.2">
      <c r="A141" s="9" t="s">
        <v>345</v>
      </c>
      <c r="B141" s="10">
        <v>45880</v>
      </c>
      <c r="C141" s="9" t="s">
        <v>343</v>
      </c>
      <c r="D141" s="9" t="s">
        <v>268</v>
      </c>
      <c r="E141" s="9" t="s">
        <v>199</v>
      </c>
      <c r="F141" s="11">
        <v>0</v>
      </c>
      <c r="G141" s="11">
        <v>8453.6</v>
      </c>
      <c r="H141" s="11">
        <v>8453.6</v>
      </c>
      <c r="I141" s="11">
        <v>6894</v>
      </c>
      <c r="J141" s="11">
        <v>1559.6</v>
      </c>
      <c r="K141" s="12">
        <v>0.18448945</v>
      </c>
      <c r="L141" s="9" t="s">
        <v>111</v>
      </c>
      <c r="M141" s="9" t="s">
        <v>268</v>
      </c>
      <c r="N141" s="9" t="s">
        <v>111</v>
      </c>
      <c r="O141" s="9">
        <v>0</v>
      </c>
    </row>
    <row r="142" spans="1:15" x14ac:dyDescent="0.2">
      <c r="A142" s="9" t="s">
        <v>346</v>
      </c>
      <c r="B142" s="10">
        <v>45883</v>
      </c>
      <c r="C142" s="9" t="s">
        <v>343</v>
      </c>
      <c r="D142" s="9" t="s">
        <v>268</v>
      </c>
      <c r="E142" s="9" t="s">
        <v>199</v>
      </c>
      <c r="F142" s="11">
        <v>0</v>
      </c>
      <c r="G142" s="11">
        <v>371.22</v>
      </c>
      <c r="H142" s="11">
        <v>371.22</v>
      </c>
      <c r="I142" s="11">
        <v>0</v>
      </c>
      <c r="J142" s="11">
        <v>371.22</v>
      </c>
      <c r="K142" s="12">
        <v>1</v>
      </c>
      <c r="L142" s="9" t="s">
        <v>111</v>
      </c>
      <c r="M142" s="9" t="s">
        <v>268</v>
      </c>
      <c r="N142" s="9" t="s">
        <v>111</v>
      </c>
      <c r="O142" s="9">
        <v>0</v>
      </c>
    </row>
    <row r="143" spans="1:15" x14ac:dyDescent="0.2">
      <c r="A143" s="9" t="s">
        <v>345</v>
      </c>
      <c r="B143" s="10">
        <v>45898</v>
      </c>
      <c r="C143" s="9" t="s">
        <v>343</v>
      </c>
      <c r="D143" s="9" t="s">
        <v>268</v>
      </c>
      <c r="E143" s="9" t="s">
        <v>199</v>
      </c>
      <c r="F143" s="11">
        <v>0</v>
      </c>
      <c r="G143" s="11">
        <v>-2459.8000000000002</v>
      </c>
      <c r="H143" s="11">
        <v>-2459.8000000000002</v>
      </c>
      <c r="I143" s="11">
        <v>-2005.4</v>
      </c>
      <c r="J143" s="11">
        <v>-454.4</v>
      </c>
      <c r="K143" s="12">
        <v>0.18473047000000001</v>
      </c>
      <c r="L143" s="9" t="s">
        <v>111</v>
      </c>
      <c r="M143" s="9" t="s">
        <v>268</v>
      </c>
      <c r="N143" s="9" t="s">
        <v>111</v>
      </c>
      <c r="O143" s="9">
        <v>0</v>
      </c>
    </row>
    <row r="144" spans="1:15" x14ac:dyDescent="0.2">
      <c r="A144" s="9" t="s">
        <v>345</v>
      </c>
      <c r="B144" s="10">
        <v>45899</v>
      </c>
      <c r="C144" s="9" t="s">
        <v>343</v>
      </c>
      <c r="D144" s="9" t="s">
        <v>268</v>
      </c>
      <c r="E144" s="9" t="s">
        <v>199</v>
      </c>
      <c r="F144" s="11">
        <v>0</v>
      </c>
      <c r="G144" s="11">
        <v>0</v>
      </c>
      <c r="H144" s="11">
        <v>0</v>
      </c>
      <c r="I144" s="11">
        <v>120</v>
      </c>
      <c r="J144" s="11">
        <v>-120</v>
      </c>
      <c r="K144" s="12">
        <v>0</v>
      </c>
      <c r="L144" s="9" t="s">
        <v>111</v>
      </c>
      <c r="M144" s="9" t="s">
        <v>268</v>
      </c>
      <c r="N144" s="9" t="s">
        <v>111</v>
      </c>
      <c r="O144" s="9">
        <v>0</v>
      </c>
    </row>
    <row r="145" spans="1:15" x14ac:dyDescent="0.2">
      <c r="A145" s="9" t="s">
        <v>347</v>
      </c>
      <c r="B145" s="10">
        <v>45873</v>
      </c>
      <c r="C145" s="9" t="s">
        <v>14</v>
      </c>
      <c r="D145" s="9" t="s">
        <v>15</v>
      </c>
      <c r="E145" s="9" t="s">
        <v>227</v>
      </c>
      <c r="F145" s="11">
        <v>1054.92</v>
      </c>
      <c r="G145" s="11">
        <v>0</v>
      </c>
      <c r="H145" s="11">
        <v>1054.92</v>
      </c>
      <c r="I145" s="11">
        <v>857.98</v>
      </c>
      <c r="J145" s="11">
        <v>196.94</v>
      </c>
      <c r="K145" s="12">
        <v>0.18668714</v>
      </c>
      <c r="L145" s="9" t="s">
        <v>158</v>
      </c>
      <c r="M145" s="9" t="s">
        <v>15</v>
      </c>
      <c r="N145" s="9" t="s">
        <v>158</v>
      </c>
      <c r="O145" s="9">
        <v>1</v>
      </c>
    </row>
    <row r="146" spans="1:15" x14ac:dyDescent="0.2">
      <c r="A146" s="9" t="s">
        <v>348</v>
      </c>
      <c r="B146" s="10">
        <v>45874</v>
      </c>
      <c r="C146" s="9" t="s">
        <v>14</v>
      </c>
      <c r="D146" s="9" t="s">
        <v>15</v>
      </c>
      <c r="E146" s="9" t="s">
        <v>227</v>
      </c>
      <c r="F146" s="11">
        <v>11794.23</v>
      </c>
      <c r="G146" s="11">
        <v>0</v>
      </c>
      <c r="H146" s="11">
        <v>11794.23</v>
      </c>
      <c r="I146" s="11">
        <v>9652.49</v>
      </c>
      <c r="J146" s="11">
        <v>2141.7399999999998</v>
      </c>
      <c r="K146" s="12">
        <v>0.18159218999999999</v>
      </c>
      <c r="L146" s="9" t="s">
        <v>349</v>
      </c>
      <c r="M146" s="9" t="s">
        <v>15</v>
      </c>
      <c r="N146" s="9" t="s">
        <v>158</v>
      </c>
      <c r="O146" s="9">
        <v>1</v>
      </c>
    </row>
    <row r="147" spans="1:15" x14ac:dyDescent="0.2">
      <c r="A147" s="9" t="s">
        <v>348</v>
      </c>
      <c r="B147" s="10">
        <v>45875</v>
      </c>
      <c r="C147" s="9" t="s">
        <v>14</v>
      </c>
      <c r="D147" s="9" t="s">
        <v>15</v>
      </c>
      <c r="E147" s="9" t="s">
        <v>227</v>
      </c>
      <c r="F147" s="11">
        <v>0</v>
      </c>
      <c r="G147" s="11">
        <v>0</v>
      </c>
      <c r="H147" s="11">
        <v>0</v>
      </c>
      <c r="I147" s="11">
        <v>-6.63</v>
      </c>
      <c r="J147" s="11">
        <v>6.63</v>
      </c>
      <c r="K147" s="12">
        <v>0</v>
      </c>
      <c r="L147" s="9" t="s">
        <v>349</v>
      </c>
      <c r="M147" s="9" t="s">
        <v>15</v>
      </c>
      <c r="N147" s="9" t="s">
        <v>158</v>
      </c>
      <c r="O147" s="9">
        <v>0</v>
      </c>
    </row>
    <row r="148" spans="1:15" x14ac:dyDescent="0.2">
      <c r="A148" s="9" t="s">
        <v>348</v>
      </c>
      <c r="B148" s="10">
        <v>45877</v>
      </c>
      <c r="C148" s="9" t="s">
        <v>14</v>
      </c>
      <c r="D148" s="9" t="s">
        <v>15</v>
      </c>
      <c r="E148" s="9" t="s">
        <v>227</v>
      </c>
      <c r="F148" s="11">
        <v>0</v>
      </c>
      <c r="G148" s="11">
        <v>0</v>
      </c>
      <c r="H148" s="11">
        <v>0</v>
      </c>
      <c r="I148" s="11">
        <v>7.0000000000000007E-2</v>
      </c>
      <c r="J148" s="11">
        <v>-7.0000000000000007E-2</v>
      </c>
      <c r="K148" s="12">
        <v>0</v>
      </c>
      <c r="L148" s="9" t="s">
        <v>349</v>
      </c>
      <c r="M148" s="9" t="s">
        <v>15</v>
      </c>
      <c r="N148" s="9" t="s">
        <v>158</v>
      </c>
      <c r="O148" s="9">
        <v>0</v>
      </c>
    </row>
    <row r="149" spans="1:15" x14ac:dyDescent="0.2">
      <c r="A149" s="9" t="s">
        <v>350</v>
      </c>
      <c r="B149" s="10">
        <v>45880</v>
      </c>
      <c r="C149" s="9" t="s">
        <v>14</v>
      </c>
      <c r="D149" s="9" t="s">
        <v>15</v>
      </c>
      <c r="E149" s="9" t="s">
        <v>227</v>
      </c>
      <c r="F149" s="11">
        <v>2168.6</v>
      </c>
      <c r="G149" s="11">
        <v>0</v>
      </c>
      <c r="H149" s="11">
        <v>2168.6</v>
      </c>
      <c r="I149" s="11">
        <v>1951.7</v>
      </c>
      <c r="J149" s="11">
        <v>216.9</v>
      </c>
      <c r="K149" s="12">
        <v>0.10001844999999999</v>
      </c>
      <c r="L149" s="9" t="s">
        <v>349</v>
      </c>
      <c r="M149" s="9" t="s">
        <v>15</v>
      </c>
      <c r="N149" s="9" t="s">
        <v>158</v>
      </c>
      <c r="O149" s="9">
        <v>1</v>
      </c>
    </row>
    <row r="150" spans="1:15" x14ac:dyDescent="0.2">
      <c r="A150" s="9" t="s">
        <v>351</v>
      </c>
      <c r="B150" s="10">
        <v>45876</v>
      </c>
      <c r="C150" s="9" t="s">
        <v>14</v>
      </c>
      <c r="D150" s="9" t="s">
        <v>15</v>
      </c>
      <c r="E150" s="9" t="s">
        <v>227</v>
      </c>
      <c r="F150" s="11">
        <v>0</v>
      </c>
      <c r="G150" s="11">
        <v>0</v>
      </c>
      <c r="H150" s="11">
        <v>0</v>
      </c>
      <c r="I150" s="11">
        <v>-1250.96</v>
      </c>
      <c r="J150" s="11">
        <v>1250.96</v>
      </c>
      <c r="K150" s="12">
        <v>0</v>
      </c>
      <c r="L150" s="9" t="s">
        <v>15</v>
      </c>
      <c r="M150" s="9" t="s">
        <v>15</v>
      </c>
      <c r="N150" s="9" t="s">
        <v>251</v>
      </c>
      <c r="O150" s="9">
        <v>0</v>
      </c>
    </row>
    <row r="151" spans="1:15" x14ac:dyDescent="0.2">
      <c r="A151" s="9" t="s">
        <v>352</v>
      </c>
      <c r="B151" s="10">
        <v>45881</v>
      </c>
      <c r="C151" s="9" t="s">
        <v>14</v>
      </c>
      <c r="D151" s="9" t="s">
        <v>15</v>
      </c>
      <c r="E151" s="9" t="s">
        <v>227</v>
      </c>
      <c r="F151" s="11">
        <v>1177.5</v>
      </c>
      <c r="G151" s="11">
        <v>0</v>
      </c>
      <c r="H151" s="11">
        <v>1177.5</v>
      </c>
      <c r="I151" s="11">
        <v>1034.32</v>
      </c>
      <c r="J151" s="11">
        <v>143.18</v>
      </c>
      <c r="K151" s="12">
        <v>0.1215966</v>
      </c>
      <c r="L151" s="9" t="s">
        <v>15</v>
      </c>
      <c r="M151" s="9" t="s">
        <v>15</v>
      </c>
      <c r="N151" s="9" t="s">
        <v>251</v>
      </c>
      <c r="O151" s="9">
        <v>1</v>
      </c>
    </row>
    <row r="152" spans="1:15" x14ac:dyDescent="0.2">
      <c r="A152" s="9" t="s">
        <v>353</v>
      </c>
      <c r="B152" s="10">
        <v>45870</v>
      </c>
      <c r="C152" s="9" t="s">
        <v>14</v>
      </c>
      <c r="D152" s="9" t="s">
        <v>15</v>
      </c>
      <c r="E152" s="9" t="s">
        <v>227</v>
      </c>
      <c r="F152" s="11">
        <v>0</v>
      </c>
      <c r="G152" s="11">
        <v>0</v>
      </c>
      <c r="H152" s="11">
        <v>0</v>
      </c>
      <c r="I152" s="11">
        <v>-225.89</v>
      </c>
      <c r="J152" s="11">
        <v>225.89</v>
      </c>
      <c r="K152" s="12">
        <v>0</v>
      </c>
      <c r="L152" s="9" t="s">
        <v>152</v>
      </c>
      <c r="M152" s="9" t="s">
        <v>15</v>
      </c>
      <c r="N152" s="9" t="s">
        <v>152</v>
      </c>
      <c r="O152" s="9">
        <v>0</v>
      </c>
    </row>
    <row r="153" spans="1:15" x14ac:dyDescent="0.2">
      <c r="A153" s="9" t="s">
        <v>354</v>
      </c>
      <c r="B153" s="10">
        <v>45870</v>
      </c>
      <c r="C153" s="9" t="s">
        <v>14</v>
      </c>
      <c r="D153" s="9" t="s">
        <v>15</v>
      </c>
      <c r="E153" s="9" t="s">
        <v>227</v>
      </c>
      <c r="F153" s="11">
        <v>334.69</v>
      </c>
      <c r="G153" s="11">
        <v>0</v>
      </c>
      <c r="H153" s="11">
        <v>334.69</v>
      </c>
      <c r="I153" s="11">
        <v>218.42</v>
      </c>
      <c r="J153" s="11">
        <v>116.27</v>
      </c>
      <c r="K153" s="12">
        <v>0.34739609999999999</v>
      </c>
      <c r="L153" s="9" t="s">
        <v>152</v>
      </c>
      <c r="M153" s="9" t="s">
        <v>15</v>
      </c>
      <c r="N153" s="9" t="s">
        <v>152</v>
      </c>
      <c r="O153" s="9">
        <v>1</v>
      </c>
    </row>
    <row r="154" spans="1:15" x14ac:dyDescent="0.2">
      <c r="A154" s="9" t="s">
        <v>355</v>
      </c>
      <c r="B154" s="10">
        <v>45873</v>
      </c>
      <c r="C154" s="9" t="s">
        <v>14</v>
      </c>
      <c r="D154" s="9" t="s">
        <v>15</v>
      </c>
      <c r="E154" s="9" t="s">
        <v>227</v>
      </c>
      <c r="F154" s="11">
        <v>334.69</v>
      </c>
      <c r="G154" s="11">
        <v>0</v>
      </c>
      <c r="H154" s="11">
        <v>334.69</v>
      </c>
      <c r="I154" s="11">
        <v>218.42</v>
      </c>
      <c r="J154" s="11">
        <v>116.27</v>
      </c>
      <c r="K154" s="12">
        <v>0.34739609999999999</v>
      </c>
      <c r="L154" s="9" t="s">
        <v>152</v>
      </c>
      <c r="M154" s="9" t="s">
        <v>15</v>
      </c>
      <c r="N154" s="9" t="s">
        <v>152</v>
      </c>
      <c r="O154" s="9">
        <v>1</v>
      </c>
    </row>
    <row r="155" spans="1:15" x14ac:dyDescent="0.2">
      <c r="A155" s="9" t="s">
        <v>356</v>
      </c>
      <c r="B155" s="10">
        <v>45877</v>
      </c>
      <c r="C155" s="9" t="s">
        <v>14</v>
      </c>
      <c r="D155" s="9" t="s">
        <v>15</v>
      </c>
      <c r="E155" s="9" t="s">
        <v>227</v>
      </c>
      <c r="F155" s="11">
        <v>0</v>
      </c>
      <c r="G155" s="11">
        <v>0</v>
      </c>
      <c r="H155" s="11">
        <v>0</v>
      </c>
      <c r="I155" s="11">
        <v>244.71</v>
      </c>
      <c r="J155" s="11">
        <v>-244.71</v>
      </c>
      <c r="K155" s="12">
        <v>0</v>
      </c>
      <c r="L155" s="9" t="s">
        <v>152</v>
      </c>
      <c r="M155" s="9" t="s">
        <v>15</v>
      </c>
      <c r="N155" s="9" t="s">
        <v>152</v>
      </c>
      <c r="O155" s="9">
        <v>0</v>
      </c>
    </row>
    <row r="156" spans="1:15" x14ac:dyDescent="0.2">
      <c r="A156" s="9" t="s">
        <v>357</v>
      </c>
      <c r="B156" s="10">
        <v>45877</v>
      </c>
      <c r="C156" s="9" t="s">
        <v>14</v>
      </c>
      <c r="D156" s="9" t="s">
        <v>15</v>
      </c>
      <c r="E156" s="9" t="s">
        <v>227</v>
      </c>
      <c r="F156" s="11">
        <v>656.11</v>
      </c>
      <c r="G156" s="11">
        <v>0</v>
      </c>
      <c r="H156" s="11">
        <v>656.11</v>
      </c>
      <c r="I156" s="11">
        <v>511.78</v>
      </c>
      <c r="J156" s="11">
        <v>144.33000000000001</v>
      </c>
      <c r="K156" s="12">
        <v>0.21997836000000001</v>
      </c>
      <c r="L156" s="9" t="s">
        <v>152</v>
      </c>
      <c r="M156" s="9" t="s">
        <v>15</v>
      </c>
      <c r="N156" s="9" t="s">
        <v>152</v>
      </c>
      <c r="O156" s="9">
        <v>1</v>
      </c>
    </row>
    <row r="157" spans="1:15" x14ac:dyDescent="0.2">
      <c r="A157" s="9" t="s">
        <v>358</v>
      </c>
      <c r="B157" s="10">
        <v>45882</v>
      </c>
      <c r="C157" s="9" t="s">
        <v>14</v>
      </c>
      <c r="D157" s="9" t="s">
        <v>15</v>
      </c>
      <c r="E157" s="9" t="s">
        <v>227</v>
      </c>
      <c r="F157" s="11">
        <v>0</v>
      </c>
      <c r="G157" s="11">
        <v>0</v>
      </c>
      <c r="H157" s="11">
        <v>0</v>
      </c>
      <c r="I157" s="11">
        <v>611.78</v>
      </c>
      <c r="J157" s="11">
        <v>-611.78</v>
      </c>
      <c r="K157" s="12">
        <v>0</v>
      </c>
      <c r="L157" s="9" t="s">
        <v>152</v>
      </c>
      <c r="M157" s="9" t="s">
        <v>15</v>
      </c>
      <c r="N157" s="9" t="s">
        <v>152</v>
      </c>
      <c r="O157" s="9">
        <v>0</v>
      </c>
    </row>
    <row r="158" spans="1:15" x14ac:dyDescent="0.2">
      <c r="A158" s="9" t="s">
        <v>359</v>
      </c>
      <c r="B158" s="10">
        <v>45888</v>
      </c>
      <c r="C158" s="9" t="s">
        <v>14</v>
      </c>
      <c r="D158" s="9" t="s">
        <v>15</v>
      </c>
      <c r="E158" s="9" t="s">
        <v>227</v>
      </c>
      <c r="F158" s="11">
        <v>0</v>
      </c>
      <c r="G158" s="11">
        <v>0</v>
      </c>
      <c r="H158" s="11">
        <v>0</v>
      </c>
      <c r="I158" s="11">
        <v>305.89</v>
      </c>
      <c r="J158" s="11">
        <v>-305.89</v>
      </c>
      <c r="K158" s="12">
        <v>0</v>
      </c>
      <c r="L158" s="9" t="s">
        <v>152</v>
      </c>
      <c r="M158" s="9" t="s">
        <v>15</v>
      </c>
      <c r="N158" s="9" t="s">
        <v>152</v>
      </c>
      <c r="O158" s="9">
        <v>0</v>
      </c>
    </row>
    <row r="159" spans="1:15" x14ac:dyDescent="0.2">
      <c r="A159" s="9" t="s">
        <v>360</v>
      </c>
      <c r="B159" s="10">
        <v>45891</v>
      </c>
      <c r="C159" s="9" t="s">
        <v>14</v>
      </c>
      <c r="D159" s="9" t="s">
        <v>15</v>
      </c>
      <c r="E159" s="9" t="s">
        <v>227</v>
      </c>
      <c r="F159" s="11">
        <v>0</v>
      </c>
      <c r="G159" s="11">
        <v>0</v>
      </c>
      <c r="H159" s="11">
        <v>0</v>
      </c>
      <c r="I159" s="11">
        <v>512.54999999999995</v>
      </c>
      <c r="J159" s="11">
        <v>-512.54999999999995</v>
      </c>
      <c r="K159" s="12">
        <v>0</v>
      </c>
      <c r="L159" s="9" t="s">
        <v>152</v>
      </c>
      <c r="M159" s="9" t="s">
        <v>15</v>
      </c>
      <c r="N159" s="9" t="s">
        <v>152</v>
      </c>
      <c r="O159" s="9">
        <v>0</v>
      </c>
    </row>
    <row r="160" spans="1:15" x14ac:dyDescent="0.2">
      <c r="A160" s="9" t="s">
        <v>358</v>
      </c>
      <c r="B160" s="10">
        <v>45891</v>
      </c>
      <c r="C160" s="9" t="s">
        <v>14</v>
      </c>
      <c r="D160" s="9" t="s">
        <v>15</v>
      </c>
      <c r="E160" s="9" t="s">
        <v>227</v>
      </c>
      <c r="F160" s="11">
        <v>0</v>
      </c>
      <c r="G160" s="11">
        <v>0</v>
      </c>
      <c r="H160" s="11">
        <v>0</v>
      </c>
      <c r="I160" s="11">
        <v>-586.25</v>
      </c>
      <c r="J160" s="11">
        <v>586.25</v>
      </c>
      <c r="K160" s="12">
        <v>0</v>
      </c>
      <c r="L160" s="9" t="s">
        <v>152</v>
      </c>
      <c r="M160" s="9" t="s">
        <v>15</v>
      </c>
      <c r="N160" s="9" t="s">
        <v>152</v>
      </c>
      <c r="O160" s="9">
        <v>0</v>
      </c>
    </row>
    <row r="161" spans="1:15" x14ac:dyDescent="0.2">
      <c r="A161" s="9" t="s">
        <v>361</v>
      </c>
      <c r="B161" s="10">
        <v>45895</v>
      </c>
      <c r="C161" s="9" t="s">
        <v>14</v>
      </c>
      <c r="D161" s="9" t="s">
        <v>15</v>
      </c>
      <c r="E161" s="9" t="s">
        <v>227</v>
      </c>
      <c r="F161" s="11">
        <v>22662.15</v>
      </c>
      <c r="G161" s="11">
        <v>0</v>
      </c>
      <c r="H161" s="11">
        <v>22662.15</v>
      </c>
      <c r="I161" s="11">
        <v>18706.830000000002</v>
      </c>
      <c r="J161" s="11">
        <v>3955.32</v>
      </c>
      <c r="K161" s="12">
        <v>0.17453419000000001</v>
      </c>
      <c r="L161" s="9" t="s">
        <v>152</v>
      </c>
      <c r="M161" s="9" t="s">
        <v>15</v>
      </c>
      <c r="N161" s="9" t="s">
        <v>152</v>
      </c>
      <c r="O161" s="9">
        <v>1</v>
      </c>
    </row>
    <row r="162" spans="1:15" x14ac:dyDescent="0.2">
      <c r="A162" s="9" t="s">
        <v>361</v>
      </c>
      <c r="B162" s="10">
        <v>45896</v>
      </c>
      <c r="C162" s="9" t="s">
        <v>14</v>
      </c>
      <c r="D162" s="9" t="s">
        <v>15</v>
      </c>
      <c r="E162" s="9" t="s">
        <v>227</v>
      </c>
      <c r="F162" s="11">
        <v>0</v>
      </c>
      <c r="G162" s="11">
        <v>0</v>
      </c>
      <c r="H162" s="11">
        <v>0</v>
      </c>
      <c r="I162" s="11">
        <v>-2303</v>
      </c>
      <c r="J162" s="11">
        <v>2303</v>
      </c>
      <c r="K162" s="12">
        <v>0</v>
      </c>
      <c r="L162" s="9" t="s">
        <v>152</v>
      </c>
      <c r="M162" s="9" t="s">
        <v>15</v>
      </c>
      <c r="N162" s="9" t="s">
        <v>152</v>
      </c>
      <c r="O162" s="9">
        <v>0</v>
      </c>
    </row>
    <row r="163" spans="1:15" x14ac:dyDescent="0.2">
      <c r="A163" s="9" t="s">
        <v>362</v>
      </c>
      <c r="B163" s="10">
        <v>45896</v>
      </c>
      <c r="C163" s="9" t="s">
        <v>14</v>
      </c>
      <c r="D163" s="9" t="s">
        <v>15</v>
      </c>
      <c r="E163" s="9" t="s">
        <v>227</v>
      </c>
      <c r="F163" s="11">
        <v>0</v>
      </c>
      <c r="G163" s="11">
        <v>0</v>
      </c>
      <c r="H163" s="11">
        <v>0</v>
      </c>
      <c r="I163" s="11">
        <v>-137.65</v>
      </c>
      <c r="J163" s="11">
        <v>137.65</v>
      </c>
      <c r="K163" s="12">
        <v>0</v>
      </c>
      <c r="L163" s="9" t="s">
        <v>152</v>
      </c>
      <c r="M163" s="9" t="s">
        <v>15</v>
      </c>
      <c r="N163" s="9" t="s">
        <v>152</v>
      </c>
      <c r="O163" s="9">
        <v>0</v>
      </c>
    </row>
    <row r="164" spans="1:15" x14ac:dyDescent="0.2">
      <c r="A164" s="9" t="s">
        <v>363</v>
      </c>
      <c r="B164" s="10">
        <v>45896</v>
      </c>
      <c r="C164" s="9" t="s">
        <v>14</v>
      </c>
      <c r="D164" s="9" t="s">
        <v>15</v>
      </c>
      <c r="E164" s="9" t="s">
        <v>227</v>
      </c>
      <c r="F164" s="11">
        <v>0</v>
      </c>
      <c r="G164" s="11">
        <v>0</v>
      </c>
      <c r="H164" s="11">
        <v>0</v>
      </c>
      <c r="I164" s="11">
        <v>2854.5</v>
      </c>
      <c r="J164" s="11">
        <v>-2854.5</v>
      </c>
      <c r="K164" s="12">
        <v>0</v>
      </c>
      <c r="L164" s="9" t="s">
        <v>152</v>
      </c>
      <c r="M164" s="9" t="s">
        <v>15</v>
      </c>
      <c r="N164" s="9" t="s">
        <v>152</v>
      </c>
      <c r="O164" s="9">
        <v>0</v>
      </c>
    </row>
    <row r="165" spans="1:15" x14ac:dyDescent="0.2">
      <c r="A165" s="9" t="s">
        <v>364</v>
      </c>
      <c r="B165" s="10">
        <v>45898</v>
      </c>
      <c r="C165" s="9" t="s">
        <v>14</v>
      </c>
      <c r="D165" s="9" t="s">
        <v>15</v>
      </c>
      <c r="E165" s="9" t="s">
        <v>227</v>
      </c>
      <c r="F165" s="11">
        <v>1926.16</v>
      </c>
      <c r="G165" s="11">
        <v>0</v>
      </c>
      <c r="H165" s="11">
        <v>1926.16</v>
      </c>
      <c r="I165" s="11">
        <v>1600.1</v>
      </c>
      <c r="J165" s="11">
        <v>326.06</v>
      </c>
      <c r="K165" s="12">
        <v>0.16927981</v>
      </c>
      <c r="L165" s="9" t="s">
        <v>152</v>
      </c>
      <c r="M165" s="9" t="s">
        <v>15</v>
      </c>
      <c r="N165" s="9" t="s">
        <v>152</v>
      </c>
      <c r="O165" s="9">
        <v>1</v>
      </c>
    </row>
    <row r="166" spans="1:15" x14ac:dyDescent="0.2">
      <c r="A166" s="9" t="s">
        <v>365</v>
      </c>
      <c r="B166" s="10">
        <v>45898</v>
      </c>
      <c r="C166" s="9" t="s">
        <v>14</v>
      </c>
      <c r="D166" s="9" t="s">
        <v>15</v>
      </c>
      <c r="E166" s="9" t="s">
        <v>227</v>
      </c>
      <c r="F166" s="11">
        <v>1963.66</v>
      </c>
      <c r="G166" s="11">
        <v>0</v>
      </c>
      <c r="H166" s="11">
        <v>1963.66</v>
      </c>
      <c r="I166" s="11">
        <v>1602.74</v>
      </c>
      <c r="J166" s="11">
        <v>360.92</v>
      </c>
      <c r="K166" s="12">
        <v>0.18379963999999999</v>
      </c>
      <c r="L166" s="9" t="s">
        <v>152</v>
      </c>
      <c r="M166" s="9" t="s">
        <v>15</v>
      </c>
      <c r="N166" s="9" t="s">
        <v>152</v>
      </c>
      <c r="O166" s="9">
        <v>1</v>
      </c>
    </row>
    <row r="167" spans="1:15" x14ac:dyDescent="0.2">
      <c r="A167" s="9" t="s">
        <v>366</v>
      </c>
      <c r="B167" s="10">
        <v>45898</v>
      </c>
      <c r="C167" s="9" t="s">
        <v>14</v>
      </c>
      <c r="D167" s="9" t="s">
        <v>15</v>
      </c>
      <c r="E167" s="9" t="s">
        <v>227</v>
      </c>
      <c r="F167" s="11">
        <v>407.24</v>
      </c>
      <c r="G167" s="11">
        <v>0</v>
      </c>
      <c r="H167" s="11">
        <v>407.24</v>
      </c>
      <c r="I167" s="11">
        <v>317.66000000000003</v>
      </c>
      <c r="J167" s="11">
        <v>89.58</v>
      </c>
      <c r="K167" s="12">
        <v>0.21996857</v>
      </c>
      <c r="L167" s="9" t="s">
        <v>152</v>
      </c>
      <c r="M167" s="9" t="s">
        <v>15</v>
      </c>
      <c r="N167" s="9" t="s">
        <v>152</v>
      </c>
      <c r="O167" s="9">
        <v>1</v>
      </c>
    </row>
    <row r="168" spans="1:15" x14ac:dyDescent="0.2">
      <c r="A168" s="9" t="s">
        <v>367</v>
      </c>
      <c r="B168" s="10">
        <v>45899</v>
      </c>
      <c r="C168" s="9" t="s">
        <v>14</v>
      </c>
      <c r="D168" s="9" t="s">
        <v>15</v>
      </c>
      <c r="E168" s="9" t="s">
        <v>227</v>
      </c>
      <c r="F168" s="11">
        <v>0</v>
      </c>
      <c r="G168" s="11">
        <v>0</v>
      </c>
      <c r="H168" s="11">
        <v>0</v>
      </c>
      <c r="I168" s="11">
        <v>5207.5</v>
      </c>
      <c r="J168" s="11">
        <v>-5207.5</v>
      </c>
      <c r="K168" s="12">
        <v>0</v>
      </c>
      <c r="L168" s="9" t="s">
        <v>152</v>
      </c>
      <c r="M168" s="9" t="s">
        <v>15</v>
      </c>
      <c r="N168" s="9" t="s">
        <v>152</v>
      </c>
      <c r="O168" s="9">
        <v>0</v>
      </c>
    </row>
    <row r="169" spans="1:15" x14ac:dyDescent="0.2">
      <c r="A169" s="9" t="s">
        <v>368</v>
      </c>
      <c r="B169" s="10">
        <v>45899</v>
      </c>
      <c r="C169" s="9" t="s">
        <v>14</v>
      </c>
      <c r="D169" s="9" t="s">
        <v>15</v>
      </c>
      <c r="E169" s="9" t="s">
        <v>227</v>
      </c>
      <c r="F169" s="11">
        <v>0</v>
      </c>
      <c r="G169" s="11">
        <v>0</v>
      </c>
      <c r="H169" s="11">
        <v>0</v>
      </c>
      <c r="I169" s="11">
        <v>150</v>
      </c>
      <c r="J169" s="11">
        <v>-150</v>
      </c>
      <c r="K169" s="12">
        <v>0</v>
      </c>
      <c r="L169" s="9" t="s">
        <v>152</v>
      </c>
      <c r="M169" s="9" t="s">
        <v>15</v>
      </c>
      <c r="N169" s="9" t="s">
        <v>152</v>
      </c>
      <c r="O169" s="9">
        <v>0</v>
      </c>
    </row>
    <row r="170" spans="1:15" x14ac:dyDescent="0.2">
      <c r="A170" s="9" t="s">
        <v>369</v>
      </c>
      <c r="B170" s="10">
        <v>45899</v>
      </c>
      <c r="C170" s="9" t="s">
        <v>14</v>
      </c>
      <c r="D170" s="9" t="s">
        <v>15</v>
      </c>
      <c r="E170" s="9" t="s">
        <v>227</v>
      </c>
      <c r="F170" s="11">
        <v>0</v>
      </c>
      <c r="G170" s="11">
        <v>0</v>
      </c>
      <c r="H170" s="11">
        <v>0</v>
      </c>
      <c r="I170" s="11">
        <v>300</v>
      </c>
      <c r="J170" s="11">
        <v>-300</v>
      </c>
      <c r="K170" s="12">
        <v>0</v>
      </c>
      <c r="L170" s="9" t="s">
        <v>152</v>
      </c>
      <c r="M170" s="9" t="s">
        <v>15</v>
      </c>
      <c r="N170" s="9" t="s">
        <v>152</v>
      </c>
      <c r="O170" s="9">
        <v>0</v>
      </c>
    </row>
    <row r="171" spans="1:15" x14ac:dyDescent="0.2">
      <c r="A171" s="9" t="s">
        <v>370</v>
      </c>
      <c r="B171" s="10">
        <v>45881</v>
      </c>
      <c r="C171" s="9" t="s">
        <v>148</v>
      </c>
      <c r="D171" s="9" t="s">
        <v>15</v>
      </c>
      <c r="E171" s="9" t="s">
        <v>227</v>
      </c>
      <c r="F171" s="11">
        <v>0</v>
      </c>
      <c r="G171" s="11">
        <v>0</v>
      </c>
      <c r="H171" s="11">
        <v>0</v>
      </c>
      <c r="I171" s="11">
        <v>86.8</v>
      </c>
      <c r="J171" s="11">
        <v>-86.8</v>
      </c>
      <c r="K171" s="12">
        <v>0</v>
      </c>
      <c r="L171" s="9" t="s">
        <v>153</v>
      </c>
      <c r="M171" s="9" t="s">
        <v>15</v>
      </c>
      <c r="N171" s="9" t="s">
        <v>153</v>
      </c>
      <c r="O171" s="9">
        <v>0</v>
      </c>
    </row>
    <row r="172" spans="1:15" x14ac:dyDescent="0.2">
      <c r="A172" s="9" t="s">
        <v>371</v>
      </c>
      <c r="B172" s="10">
        <v>45881</v>
      </c>
      <c r="C172" s="9" t="s">
        <v>148</v>
      </c>
      <c r="D172" s="9" t="s">
        <v>15</v>
      </c>
      <c r="E172" s="9" t="s">
        <v>227</v>
      </c>
      <c r="F172" s="11">
        <v>0</v>
      </c>
      <c r="G172" s="11">
        <v>0</v>
      </c>
      <c r="H172" s="11">
        <v>0</v>
      </c>
      <c r="I172" s="11">
        <v>109.44</v>
      </c>
      <c r="J172" s="11">
        <v>-109.44</v>
      </c>
      <c r="K172" s="12">
        <v>0</v>
      </c>
      <c r="L172" s="9" t="s">
        <v>153</v>
      </c>
      <c r="M172" s="9" t="s">
        <v>15</v>
      </c>
      <c r="N172" s="9" t="s">
        <v>153</v>
      </c>
      <c r="O172" s="9">
        <v>0</v>
      </c>
    </row>
    <row r="173" spans="1:15" x14ac:dyDescent="0.2">
      <c r="A173" s="9" t="s">
        <v>371</v>
      </c>
      <c r="B173" s="10">
        <v>45882</v>
      </c>
      <c r="C173" s="9" t="s">
        <v>148</v>
      </c>
      <c r="D173" s="9" t="s">
        <v>15</v>
      </c>
      <c r="E173" s="9" t="s">
        <v>227</v>
      </c>
      <c r="F173" s="11">
        <v>0</v>
      </c>
      <c r="G173" s="11">
        <v>0</v>
      </c>
      <c r="H173" s="11">
        <v>0</v>
      </c>
      <c r="I173" s="11">
        <v>-7.94</v>
      </c>
      <c r="J173" s="11">
        <v>7.94</v>
      </c>
      <c r="K173" s="12">
        <v>0</v>
      </c>
      <c r="L173" s="9" t="s">
        <v>153</v>
      </c>
      <c r="M173" s="9" t="s">
        <v>15</v>
      </c>
      <c r="N173" s="9" t="s">
        <v>153</v>
      </c>
      <c r="O173" s="9">
        <v>0</v>
      </c>
    </row>
    <row r="174" spans="1:15" x14ac:dyDescent="0.2">
      <c r="A174" s="9" t="s">
        <v>370</v>
      </c>
      <c r="B174" s="10">
        <v>45883</v>
      </c>
      <c r="C174" s="9" t="s">
        <v>148</v>
      </c>
      <c r="D174" s="9" t="s">
        <v>15</v>
      </c>
      <c r="E174" s="9" t="s">
        <v>227</v>
      </c>
      <c r="F174" s="11">
        <v>0</v>
      </c>
      <c r="G174" s="11">
        <v>0</v>
      </c>
      <c r="H174" s="11">
        <v>0</v>
      </c>
      <c r="I174" s="11">
        <v>250.88</v>
      </c>
      <c r="J174" s="11">
        <v>-250.88</v>
      </c>
      <c r="K174" s="12">
        <v>0</v>
      </c>
      <c r="L174" s="9" t="s">
        <v>153</v>
      </c>
      <c r="M174" s="9" t="s">
        <v>15</v>
      </c>
      <c r="N174" s="9" t="s">
        <v>153</v>
      </c>
      <c r="O174" s="9">
        <v>0</v>
      </c>
    </row>
    <row r="175" spans="1:15" x14ac:dyDescent="0.2">
      <c r="A175" s="9" t="s">
        <v>370</v>
      </c>
      <c r="B175" s="10">
        <v>45884</v>
      </c>
      <c r="C175" s="9" t="s">
        <v>148</v>
      </c>
      <c r="D175" s="9" t="s">
        <v>15</v>
      </c>
      <c r="E175" s="9" t="s">
        <v>227</v>
      </c>
      <c r="F175" s="11">
        <v>0</v>
      </c>
      <c r="G175" s="11">
        <v>0</v>
      </c>
      <c r="H175" s="11">
        <v>0</v>
      </c>
      <c r="I175" s="11">
        <v>74.72</v>
      </c>
      <c r="J175" s="11">
        <v>-74.72</v>
      </c>
      <c r="K175" s="12">
        <v>0</v>
      </c>
      <c r="L175" s="9" t="s">
        <v>153</v>
      </c>
      <c r="M175" s="9" t="s">
        <v>15</v>
      </c>
      <c r="N175" s="9" t="s">
        <v>153</v>
      </c>
      <c r="O175" s="9">
        <v>0</v>
      </c>
    </row>
    <row r="176" spans="1:15" x14ac:dyDescent="0.2">
      <c r="A176" s="9" t="s">
        <v>371</v>
      </c>
      <c r="B176" s="10">
        <v>45897</v>
      </c>
      <c r="C176" s="9" t="s">
        <v>148</v>
      </c>
      <c r="D176" s="9" t="s">
        <v>15</v>
      </c>
      <c r="E176" s="9" t="s">
        <v>227</v>
      </c>
      <c r="F176" s="11">
        <v>0</v>
      </c>
      <c r="G176" s="11">
        <v>0</v>
      </c>
      <c r="H176" s="11">
        <v>0</v>
      </c>
      <c r="I176" s="11">
        <v>38</v>
      </c>
      <c r="J176" s="11">
        <v>-38</v>
      </c>
      <c r="K176" s="12">
        <v>0</v>
      </c>
      <c r="L176" s="9" t="s">
        <v>153</v>
      </c>
      <c r="M176" s="9" t="s">
        <v>15</v>
      </c>
      <c r="N176" s="9" t="s">
        <v>153</v>
      </c>
      <c r="O176" s="9">
        <v>0</v>
      </c>
    </row>
    <row r="177" spans="1:15" x14ac:dyDescent="0.2">
      <c r="A177" s="9" t="s">
        <v>372</v>
      </c>
      <c r="B177" s="10">
        <v>45872</v>
      </c>
      <c r="C177" s="9" t="s">
        <v>373</v>
      </c>
      <c r="D177" s="9" t="s">
        <v>9</v>
      </c>
      <c r="E177" s="9" t="s">
        <v>227</v>
      </c>
      <c r="F177" s="11">
        <v>0</v>
      </c>
      <c r="G177" s="11">
        <v>0</v>
      </c>
      <c r="H177" s="11">
        <v>0</v>
      </c>
      <c r="I177" s="11">
        <v>-0.01</v>
      </c>
      <c r="J177" s="11">
        <v>0.01</v>
      </c>
      <c r="K177" s="12">
        <v>0</v>
      </c>
      <c r="L177" s="9" t="s">
        <v>122</v>
      </c>
      <c r="M177" s="9" t="s">
        <v>9</v>
      </c>
      <c r="N177" s="9" t="s">
        <v>122</v>
      </c>
      <c r="O177" s="9">
        <v>0</v>
      </c>
    </row>
    <row r="178" spans="1:15" x14ac:dyDescent="0.2">
      <c r="A178" s="9" t="s">
        <v>372</v>
      </c>
      <c r="B178" s="10">
        <v>45875</v>
      </c>
      <c r="C178" s="9" t="s">
        <v>373</v>
      </c>
      <c r="D178" s="9" t="s">
        <v>9</v>
      </c>
      <c r="E178" s="9" t="s">
        <v>227</v>
      </c>
      <c r="F178" s="11">
        <v>0</v>
      </c>
      <c r="G178" s="11">
        <v>625</v>
      </c>
      <c r="H178" s="11">
        <v>625</v>
      </c>
      <c r="I178" s="11">
        <v>580</v>
      </c>
      <c r="J178" s="11">
        <v>45</v>
      </c>
      <c r="K178" s="12">
        <v>7.1999999999999995E-2</v>
      </c>
      <c r="L178" s="9" t="s">
        <v>122</v>
      </c>
      <c r="M178" s="9" t="s">
        <v>9</v>
      </c>
      <c r="N178" s="9" t="s">
        <v>122</v>
      </c>
      <c r="O178" s="9">
        <v>0</v>
      </c>
    </row>
    <row r="179" spans="1:15" x14ac:dyDescent="0.2">
      <c r="A179" s="9" t="s">
        <v>374</v>
      </c>
      <c r="B179" s="10">
        <v>45876</v>
      </c>
      <c r="C179" s="9" t="s">
        <v>373</v>
      </c>
      <c r="D179" s="9" t="s">
        <v>9</v>
      </c>
      <c r="E179" s="9" t="s">
        <v>227</v>
      </c>
      <c r="F179" s="11">
        <v>0</v>
      </c>
      <c r="G179" s="11">
        <v>0</v>
      </c>
      <c r="H179" s="11">
        <v>0</v>
      </c>
      <c r="I179" s="11">
        <v>-756.48</v>
      </c>
      <c r="J179" s="11">
        <v>756.48</v>
      </c>
      <c r="K179" s="12">
        <v>0</v>
      </c>
      <c r="L179" s="9" t="s">
        <v>122</v>
      </c>
      <c r="M179" s="9" t="s">
        <v>9</v>
      </c>
      <c r="N179" s="9" t="s">
        <v>122</v>
      </c>
      <c r="O179" s="9">
        <v>0</v>
      </c>
    </row>
    <row r="180" spans="1:15" x14ac:dyDescent="0.2">
      <c r="A180" s="9" t="s">
        <v>374</v>
      </c>
      <c r="B180" s="10">
        <v>45877</v>
      </c>
      <c r="C180" s="9" t="s">
        <v>373</v>
      </c>
      <c r="D180" s="9" t="s">
        <v>9</v>
      </c>
      <c r="E180" s="9" t="s">
        <v>227</v>
      </c>
      <c r="F180" s="11">
        <v>0</v>
      </c>
      <c r="G180" s="11">
        <v>-1114</v>
      </c>
      <c r="H180" s="11">
        <v>-1114</v>
      </c>
      <c r="I180" s="11">
        <v>-835.5</v>
      </c>
      <c r="J180" s="11">
        <v>-278.5</v>
      </c>
      <c r="K180" s="12">
        <v>0.25</v>
      </c>
      <c r="L180" s="9" t="s">
        <v>122</v>
      </c>
      <c r="M180" s="9" t="s">
        <v>9</v>
      </c>
      <c r="N180" s="9" t="s">
        <v>122</v>
      </c>
      <c r="O180" s="9">
        <v>0</v>
      </c>
    </row>
    <row r="181" spans="1:15" x14ac:dyDescent="0.2">
      <c r="A181" s="9" t="s">
        <v>374</v>
      </c>
      <c r="B181" s="10">
        <v>45881</v>
      </c>
      <c r="C181" s="9" t="s">
        <v>373</v>
      </c>
      <c r="D181" s="9" t="s">
        <v>9</v>
      </c>
      <c r="E181" s="9" t="s">
        <v>227</v>
      </c>
      <c r="F181" s="11">
        <v>0</v>
      </c>
      <c r="G181" s="11">
        <v>1114</v>
      </c>
      <c r="H181" s="11">
        <v>1114</v>
      </c>
      <c r="I181" s="11">
        <v>-0.54</v>
      </c>
      <c r="J181" s="11">
        <v>1114.54</v>
      </c>
      <c r="K181" s="12">
        <v>1.0004847400000001</v>
      </c>
      <c r="L181" s="9" t="s">
        <v>122</v>
      </c>
      <c r="M181" s="9" t="s">
        <v>9</v>
      </c>
      <c r="N181" s="9" t="s">
        <v>122</v>
      </c>
      <c r="O181" s="9">
        <v>0</v>
      </c>
    </row>
    <row r="182" spans="1:15" x14ac:dyDescent="0.2">
      <c r="A182" s="9" t="s">
        <v>375</v>
      </c>
      <c r="B182" s="10">
        <v>45887</v>
      </c>
      <c r="C182" s="9" t="s">
        <v>373</v>
      </c>
      <c r="D182" s="9" t="s">
        <v>9</v>
      </c>
      <c r="E182" s="9" t="s">
        <v>227</v>
      </c>
      <c r="F182" s="11">
        <v>225</v>
      </c>
      <c r="G182" s="11">
        <v>0</v>
      </c>
      <c r="H182" s="11">
        <v>225</v>
      </c>
      <c r="I182" s="11">
        <v>100</v>
      </c>
      <c r="J182" s="11">
        <v>125</v>
      </c>
      <c r="K182" s="12">
        <v>0.55555555999999995</v>
      </c>
      <c r="L182" s="9" t="s">
        <v>122</v>
      </c>
      <c r="M182" s="9" t="s">
        <v>9</v>
      </c>
      <c r="N182" s="9" t="s">
        <v>122</v>
      </c>
      <c r="O182" s="9">
        <v>1</v>
      </c>
    </row>
    <row r="183" spans="1:15" x14ac:dyDescent="0.2">
      <c r="A183" s="9" t="s">
        <v>376</v>
      </c>
      <c r="B183" s="10">
        <v>45890</v>
      </c>
      <c r="C183" s="9" t="s">
        <v>373</v>
      </c>
      <c r="D183" s="9" t="s">
        <v>9</v>
      </c>
      <c r="E183" s="9" t="s">
        <v>227</v>
      </c>
      <c r="F183" s="11">
        <v>800</v>
      </c>
      <c r="G183" s="11">
        <v>0</v>
      </c>
      <c r="H183" s="11">
        <v>800</v>
      </c>
      <c r="I183" s="11">
        <v>610</v>
      </c>
      <c r="J183" s="11">
        <v>190</v>
      </c>
      <c r="K183" s="12">
        <v>0.23749999999999999</v>
      </c>
      <c r="L183" s="9" t="s">
        <v>122</v>
      </c>
      <c r="M183" s="9" t="s">
        <v>9</v>
      </c>
      <c r="N183" s="9" t="s">
        <v>122</v>
      </c>
      <c r="O183" s="9">
        <v>1</v>
      </c>
    </row>
    <row r="184" spans="1:15" x14ac:dyDescent="0.2">
      <c r="A184" s="9" t="s">
        <v>377</v>
      </c>
      <c r="B184" s="10">
        <v>45895</v>
      </c>
      <c r="C184" s="9" t="s">
        <v>378</v>
      </c>
      <c r="D184" s="9" t="s">
        <v>46</v>
      </c>
      <c r="E184" s="9" t="s">
        <v>192</v>
      </c>
      <c r="F184" s="11">
        <v>0</v>
      </c>
      <c r="G184" s="11">
        <v>0</v>
      </c>
      <c r="H184" s="11">
        <v>0</v>
      </c>
      <c r="I184" s="11">
        <v>-4259.7299999999996</v>
      </c>
      <c r="J184" s="11">
        <v>4259.7299999999996</v>
      </c>
      <c r="K184" s="12">
        <v>0</v>
      </c>
      <c r="L184" s="9" t="s">
        <v>379</v>
      </c>
      <c r="M184" s="9" t="s">
        <v>46</v>
      </c>
      <c r="N184" s="9" t="s">
        <v>380</v>
      </c>
      <c r="O184" s="9">
        <v>0</v>
      </c>
    </row>
    <row r="185" spans="1:15" x14ac:dyDescent="0.2">
      <c r="A185" s="9" t="s">
        <v>381</v>
      </c>
      <c r="B185" s="10">
        <v>45874</v>
      </c>
      <c r="C185" s="9" t="s">
        <v>378</v>
      </c>
      <c r="D185" s="9" t="s">
        <v>46</v>
      </c>
      <c r="E185" s="9" t="s">
        <v>192</v>
      </c>
      <c r="F185" s="11">
        <v>0</v>
      </c>
      <c r="G185" s="11">
        <v>315</v>
      </c>
      <c r="H185" s="11">
        <v>315</v>
      </c>
      <c r="I185" s="11">
        <v>220.5</v>
      </c>
      <c r="J185" s="11">
        <v>94.5</v>
      </c>
      <c r="K185" s="12">
        <v>0.3</v>
      </c>
      <c r="L185" s="9" t="s">
        <v>380</v>
      </c>
      <c r="M185" s="9" t="s">
        <v>46</v>
      </c>
      <c r="N185" s="9" t="s">
        <v>380</v>
      </c>
      <c r="O185" s="9">
        <v>0</v>
      </c>
    </row>
    <row r="186" spans="1:15" x14ac:dyDescent="0.2">
      <c r="A186" s="9" t="s">
        <v>381</v>
      </c>
      <c r="B186" s="10">
        <v>45875</v>
      </c>
      <c r="C186" s="9" t="s">
        <v>378</v>
      </c>
      <c r="D186" s="9" t="s">
        <v>46</v>
      </c>
      <c r="E186" s="9" t="s">
        <v>192</v>
      </c>
      <c r="F186" s="11">
        <v>0</v>
      </c>
      <c r="G186" s="11">
        <v>0</v>
      </c>
      <c r="H186" s="11">
        <v>0</v>
      </c>
      <c r="I186" s="11">
        <v>62.05</v>
      </c>
      <c r="J186" s="11">
        <v>-62.05</v>
      </c>
      <c r="K186" s="12">
        <v>0</v>
      </c>
      <c r="L186" s="9" t="s">
        <v>380</v>
      </c>
      <c r="M186" s="9" t="s">
        <v>46</v>
      </c>
      <c r="N186" s="9" t="s">
        <v>380</v>
      </c>
      <c r="O186" s="9">
        <v>0</v>
      </c>
    </row>
    <row r="187" spans="1:15" x14ac:dyDescent="0.2">
      <c r="A187" s="9" t="s">
        <v>381</v>
      </c>
      <c r="B187" s="10">
        <v>45878</v>
      </c>
      <c r="C187" s="9" t="s">
        <v>378</v>
      </c>
      <c r="D187" s="9" t="s">
        <v>46</v>
      </c>
      <c r="E187" s="9" t="s">
        <v>192</v>
      </c>
      <c r="F187" s="11">
        <v>0</v>
      </c>
      <c r="G187" s="11">
        <v>4511.24</v>
      </c>
      <c r="H187" s="11">
        <v>4511.24</v>
      </c>
      <c r="I187" s="11">
        <v>3095.82</v>
      </c>
      <c r="J187" s="11">
        <v>1415.42</v>
      </c>
      <c r="K187" s="12">
        <v>0.31375408999999999</v>
      </c>
      <c r="L187" s="9" t="s">
        <v>380</v>
      </c>
      <c r="M187" s="9" t="s">
        <v>46</v>
      </c>
      <c r="N187" s="9" t="s">
        <v>380</v>
      </c>
      <c r="O187" s="9">
        <v>0</v>
      </c>
    </row>
    <row r="188" spans="1:15" x14ac:dyDescent="0.2">
      <c r="A188" s="9" t="s">
        <v>381</v>
      </c>
      <c r="B188" s="10">
        <v>45898</v>
      </c>
      <c r="C188" s="9" t="s">
        <v>378</v>
      </c>
      <c r="D188" s="9" t="s">
        <v>46</v>
      </c>
      <c r="E188" s="9" t="s">
        <v>192</v>
      </c>
      <c r="F188" s="11">
        <v>0</v>
      </c>
      <c r="G188" s="11">
        <v>4843.8</v>
      </c>
      <c r="H188" s="11">
        <v>4843.8</v>
      </c>
      <c r="I188" s="11">
        <v>3390.66</v>
      </c>
      <c r="J188" s="11">
        <v>1453.14</v>
      </c>
      <c r="K188" s="12">
        <v>0.3</v>
      </c>
      <c r="L188" s="9" t="s">
        <v>380</v>
      </c>
      <c r="M188" s="9" t="s">
        <v>46</v>
      </c>
      <c r="N188" s="9" t="s">
        <v>380</v>
      </c>
      <c r="O188" s="9">
        <v>0</v>
      </c>
    </row>
    <row r="189" spans="1:15" x14ac:dyDescent="0.2">
      <c r="A189" s="9" t="s">
        <v>382</v>
      </c>
      <c r="B189" s="10">
        <v>45874</v>
      </c>
      <c r="C189" s="9" t="s">
        <v>383</v>
      </c>
      <c r="D189" s="9" t="s">
        <v>384</v>
      </c>
      <c r="E189" s="9" t="s">
        <v>192</v>
      </c>
      <c r="F189" s="11">
        <v>0</v>
      </c>
      <c r="G189" s="11">
        <v>75</v>
      </c>
      <c r="H189" s="11">
        <v>75</v>
      </c>
      <c r="I189" s="11">
        <v>75</v>
      </c>
      <c r="J189" s="11">
        <v>0</v>
      </c>
      <c r="K189" s="12">
        <v>0</v>
      </c>
      <c r="L189" s="9" t="s">
        <v>384</v>
      </c>
      <c r="M189" s="9" t="s">
        <v>48</v>
      </c>
      <c r="N189" s="9" t="s">
        <v>251</v>
      </c>
      <c r="O189" s="9">
        <v>0</v>
      </c>
    </row>
    <row r="190" spans="1:15" x14ac:dyDescent="0.2">
      <c r="A190" s="9" t="s">
        <v>385</v>
      </c>
      <c r="B190" s="10">
        <v>45877</v>
      </c>
      <c r="C190" s="9" t="s">
        <v>386</v>
      </c>
      <c r="D190" s="9" t="s">
        <v>106</v>
      </c>
      <c r="E190" s="9" t="s">
        <v>199</v>
      </c>
      <c r="F190" s="11">
        <v>0</v>
      </c>
      <c r="G190" s="11">
        <v>0</v>
      </c>
      <c r="H190" s="11">
        <v>0</v>
      </c>
      <c r="I190" s="11">
        <v>-1.78</v>
      </c>
      <c r="J190" s="11">
        <v>1.78</v>
      </c>
      <c r="K190" s="12">
        <v>0</v>
      </c>
      <c r="L190" s="9" t="s">
        <v>111</v>
      </c>
      <c r="M190" s="9" t="s">
        <v>106</v>
      </c>
      <c r="N190" s="9" t="s">
        <v>111</v>
      </c>
      <c r="O190" s="9">
        <v>0</v>
      </c>
    </row>
    <row r="191" spans="1:15" x14ac:dyDescent="0.2">
      <c r="A191" s="9" t="s">
        <v>385</v>
      </c>
      <c r="B191" s="10">
        <v>45899</v>
      </c>
      <c r="C191" s="9" t="s">
        <v>386</v>
      </c>
      <c r="D191" s="9" t="s">
        <v>106</v>
      </c>
      <c r="E191" s="9" t="s">
        <v>199</v>
      </c>
      <c r="F191" s="11">
        <v>0</v>
      </c>
      <c r="G191" s="11">
        <v>0</v>
      </c>
      <c r="H191" s="11">
        <v>0</v>
      </c>
      <c r="I191" s="11">
        <v>675</v>
      </c>
      <c r="J191" s="11">
        <v>-675</v>
      </c>
      <c r="K191" s="12">
        <v>0</v>
      </c>
      <c r="L191" s="9" t="s">
        <v>111</v>
      </c>
      <c r="M191" s="9" t="s">
        <v>106</v>
      </c>
      <c r="N191" s="9" t="s">
        <v>111</v>
      </c>
      <c r="O191" s="9">
        <v>0</v>
      </c>
    </row>
    <row r="192" spans="1:15" x14ac:dyDescent="0.2">
      <c r="A192" s="9" t="s">
        <v>387</v>
      </c>
      <c r="B192" s="10">
        <v>45883</v>
      </c>
      <c r="C192" s="9" t="s">
        <v>388</v>
      </c>
      <c r="D192" s="9" t="s">
        <v>106</v>
      </c>
      <c r="E192" s="9" t="s">
        <v>199</v>
      </c>
      <c r="F192" s="11">
        <v>3430.72</v>
      </c>
      <c r="G192" s="11">
        <v>0</v>
      </c>
      <c r="H192" s="11">
        <v>3430.72</v>
      </c>
      <c r="I192" s="11">
        <v>3044.16</v>
      </c>
      <c r="J192" s="11">
        <v>386.56</v>
      </c>
      <c r="K192" s="12">
        <v>0.11267605999999999</v>
      </c>
      <c r="L192" s="9" t="s">
        <v>109</v>
      </c>
      <c r="M192" s="9" t="s">
        <v>106</v>
      </c>
      <c r="N192" s="9" t="s">
        <v>109</v>
      </c>
      <c r="O192" s="9">
        <v>1</v>
      </c>
    </row>
    <row r="193" spans="1:15" x14ac:dyDescent="0.2">
      <c r="A193" s="9" t="s">
        <v>389</v>
      </c>
      <c r="B193" s="10">
        <v>45883</v>
      </c>
      <c r="C193" s="9" t="s">
        <v>388</v>
      </c>
      <c r="D193" s="9" t="s">
        <v>106</v>
      </c>
      <c r="E193" s="9" t="s">
        <v>199</v>
      </c>
      <c r="F193" s="11">
        <v>275.29000000000002</v>
      </c>
      <c r="G193" s="11">
        <v>0</v>
      </c>
      <c r="H193" s="11">
        <v>275.29000000000002</v>
      </c>
      <c r="I193" s="11">
        <v>220.24</v>
      </c>
      <c r="J193" s="11">
        <v>55.05</v>
      </c>
      <c r="K193" s="12">
        <v>0.19997094000000001</v>
      </c>
      <c r="L193" s="9" t="s">
        <v>109</v>
      </c>
      <c r="M193" s="9" t="s">
        <v>106</v>
      </c>
      <c r="N193" s="9" t="s">
        <v>109</v>
      </c>
      <c r="O193" s="9">
        <v>1</v>
      </c>
    </row>
    <row r="194" spans="1:15" x14ac:dyDescent="0.2">
      <c r="A194" s="9" t="s">
        <v>387</v>
      </c>
      <c r="B194" s="10">
        <v>45884</v>
      </c>
      <c r="C194" s="9" t="s">
        <v>388</v>
      </c>
      <c r="D194" s="9" t="s">
        <v>106</v>
      </c>
      <c r="E194" s="9" t="s">
        <v>199</v>
      </c>
      <c r="F194" s="11">
        <v>3430.72</v>
      </c>
      <c r="G194" s="11">
        <v>0</v>
      </c>
      <c r="H194" s="11">
        <v>3430.72</v>
      </c>
      <c r="I194" s="11">
        <v>3044.16</v>
      </c>
      <c r="J194" s="11">
        <v>386.56</v>
      </c>
      <c r="K194" s="12">
        <v>0.11267605999999999</v>
      </c>
      <c r="L194" s="9" t="s">
        <v>109</v>
      </c>
      <c r="M194" s="9" t="s">
        <v>106</v>
      </c>
      <c r="N194" s="9" t="s">
        <v>109</v>
      </c>
      <c r="O194" s="9">
        <v>1</v>
      </c>
    </row>
    <row r="195" spans="1:15" x14ac:dyDescent="0.2">
      <c r="A195" s="9" t="s">
        <v>387</v>
      </c>
      <c r="B195" s="10">
        <v>45890</v>
      </c>
      <c r="C195" s="9" t="s">
        <v>388</v>
      </c>
      <c r="D195" s="9" t="s">
        <v>106</v>
      </c>
      <c r="E195" s="9" t="s">
        <v>199</v>
      </c>
      <c r="F195" s="11">
        <v>0</v>
      </c>
      <c r="G195" s="11">
        <v>-112.16</v>
      </c>
      <c r="H195" s="11">
        <v>-112.16</v>
      </c>
      <c r="I195" s="11">
        <v>0</v>
      </c>
      <c r="J195" s="11">
        <v>-112.16</v>
      </c>
      <c r="K195" s="12">
        <v>1</v>
      </c>
      <c r="L195" s="9" t="s">
        <v>109</v>
      </c>
      <c r="M195" s="9" t="s">
        <v>106</v>
      </c>
      <c r="N195" s="9" t="s">
        <v>109</v>
      </c>
      <c r="O195" s="9">
        <v>0</v>
      </c>
    </row>
    <row r="196" spans="1:15" x14ac:dyDescent="0.2">
      <c r="A196" s="9" t="s">
        <v>387</v>
      </c>
      <c r="B196" s="10">
        <v>45895</v>
      </c>
      <c r="C196" s="9" t="s">
        <v>388</v>
      </c>
      <c r="D196" s="9" t="s">
        <v>106</v>
      </c>
      <c r="E196" s="9" t="s">
        <v>199</v>
      </c>
      <c r="F196" s="11">
        <v>0</v>
      </c>
      <c r="G196" s="11">
        <v>0</v>
      </c>
      <c r="H196" s="11">
        <v>0</v>
      </c>
      <c r="I196" s="11">
        <v>274.39999999999998</v>
      </c>
      <c r="J196" s="11">
        <v>-274.39999999999998</v>
      </c>
      <c r="K196" s="12">
        <v>0</v>
      </c>
      <c r="L196" s="9" t="s">
        <v>109</v>
      </c>
      <c r="M196" s="9" t="s">
        <v>106</v>
      </c>
      <c r="N196" s="9" t="s">
        <v>109</v>
      </c>
      <c r="O196" s="9">
        <v>0</v>
      </c>
    </row>
    <row r="197" spans="1:15" x14ac:dyDescent="0.2">
      <c r="A197" s="9" t="s">
        <v>390</v>
      </c>
      <c r="B197" s="10">
        <v>45896</v>
      </c>
      <c r="C197" s="9" t="s">
        <v>388</v>
      </c>
      <c r="D197" s="9" t="s">
        <v>106</v>
      </c>
      <c r="E197" s="9" t="s">
        <v>199</v>
      </c>
      <c r="F197" s="11">
        <v>132.74</v>
      </c>
      <c r="G197" s="11">
        <v>0</v>
      </c>
      <c r="H197" s="11">
        <v>132.74</v>
      </c>
      <c r="I197" s="11">
        <v>0</v>
      </c>
      <c r="J197" s="11">
        <v>132.74</v>
      </c>
      <c r="K197" s="12">
        <v>1</v>
      </c>
      <c r="L197" s="9" t="s">
        <v>109</v>
      </c>
      <c r="M197" s="9" t="s">
        <v>106</v>
      </c>
      <c r="N197" s="9" t="s">
        <v>109</v>
      </c>
      <c r="O197" s="9">
        <v>1</v>
      </c>
    </row>
    <row r="198" spans="1:15" x14ac:dyDescent="0.2">
      <c r="A198" s="9" t="s">
        <v>391</v>
      </c>
      <c r="B198" s="10">
        <v>45887</v>
      </c>
      <c r="C198" s="9" t="s">
        <v>392</v>
      </c>
      <c r="D198" s="9" t="s">
        <v>19</v>
      </c>
      <c r="E198" s="9" t="s">
        <v>199</v>
      </c>
      <c r="F198" s="11">
        <v>2258.1</v>
      </c>
      <c r="G198" s="11">
        <v>0</v>
      </c>
      <c r="H198" s="11">
        <v>2258.1</v>
      </c>
      <c r="I198" s="11">
        <v>1806.49</v>
      </c>
      <c r="J198" s="11">
        <v>451.61</v>
      </c>
      <c r="K198" s="12">
        <v>0.19999557000000001</v>
      </c>
      <c r="L198" s="9" t="s">
        <v>43</v>
      </c>
      <c r="M198" s="9" t="s">
        <v>19</v>
      </c>
      <c r="N198" s="9" t="s">
        <v>43</v>
      </c>
      <c r="O198" s="9">
        <v>1</v>
      </c>
    </row>
    <row r="199" spans="1:15" x14ac:dyDescent="0.2">
      <c r="A199" s="9" t="s">
        <v>393</v>
      </c>
      <c r="B199" s="10">
        <v>45898</v>
      </c>
      <c r="C199" s="9" t="s">
        <v>392</v>
      </c>
      <c r="D199" s="9" t="s">
        <v>19</v>
      </c>
      <c r="E199" s="9" t="s">
        <v>199</v>
      </c>
      <c r="F199" s="11">
        <v>0</v>
      </c>
      <c r="G199" s="11">
        <v>0</v>
      </c>
      <c r="H199" s="11">
        <v>0</v>
      </c>
      <c r="I199" s="11">
        <v>91.6</v>
      </c>
      <c r="J199" s="11">
        <v>-91.6</v>
      </c>
      <c r="K199" s="12">
        <v>0</v>
      </c>
      <c r="L199" s="9" t="s">
        <v>43</v>
      </c>
      <c r="M199" s="9" t="s">
        <v>19</v>
      </c>
      <c r="N199" s="9" t="s">
        <v>43</v>
      </c>
      <c r="O199" s="9">
        <v>0</v>
      </c>
    </row>
    <row r="200" spans="1:15" x14ac:dyDescent="0.2">
      <c r="A200" s="9" t="s">
        <v>394</v>
      </c>
      <c r="B200" s="10">
        <v>45880</v>
      </c>
      <c r="C200" s="9" t="s">
        <v>395</v>
      </c>
      <c r="D200" s="9" t="s">
        <v>48</v>
      </c>
      <c r="E200" s="9" t="s">
        <v>192</v>
      </c>
      <c r="F200" s="11">
        <v>0</v>
      </c>
      <c r="G200" s="11">
        <v>660</v>
      </c>
      <c r="H200" s="11">
        <v>660</v>
      </c>
      <c r="I200" s="11">
        <v>465.9</v>
      </c>
      <c r="J200" s="11">
        <v>194.1</v>
      </c>
      <c r="K200" s="12">
        <v>0.29409090999999998</v>
      </c>
      <c r="L200" s="9" t="s">
        <v>130</v>
      </c>
      <c r="M200" s="9" t="s">
        <v>48</v>
      </c>
      <c r="N200" s="9" t="s">
        <v>130</v>
      </c>
      <c r="O200" s="9">
        <v>0</v>
      </c>
    </row>
    <row r="201" spans="1:15" x14ac:dyDescent="0.2">
      <c r="A201" s="9" t="s">
        <v>396</v>
      </c>
      <c r="B201" s="10">
        <v>45896</v>
      </c>
      <c r="C201" s="9" t="s">
        <v>395</v>
      </c>
      <c r="D201" s="9" t="s">
        <v>48</v>
      </c>
      <c r="E201" s="9" t="s">
        <v>192</v>
      </c>
      <c r="F201" s="11">
        <v>0</v>
      </c>
      <c r="G201" s="11">
        <v>1445</v>
      </c>
      <c r="H201" s="11">
        <v>1445</v>
      </c>
      <c r="I201" s="11">
        <v>1004.64</v>
      </c>
      <c r="J201" s="11">
        <v>440.36</v>
      </c>
      <c r="K201" s="12">
        <v>0.3047474</v>
      </c>
      <c r="L201" s="9" t="s">
        <v>130</v>
      </c>
      <c r="M201" s="9" t="s">
        <v>48</v>
      </c>
      <c r="N201" s="9" t="s">
        <v>130</v>
      </c>
      <c r="O201" s="9">
        <v>0</v>
      </c>
    </row>
    <row r="202" spans="1:15" x14ac:dyDescent="0.2">
      <c r="A202" s="9" t="s">
        <v>397</v>
      </c>
      <c r="B202" s="10">
        <v>45870</v>
      </c>
      <c r="C202" s="9" t="s">
        <v>398</v>
      </c>
      <c r="D202" s="9" t="s">
        <v>76</v>
      </c>
      <c r="E202" s="9" t="s">
        <v>199</v>
      </c>
      <c r="F202" s="11">
        <v>3055</v>
      </c>
      <c r="G202" s="11">
        <v>0</v>
      </c>
      <c r="H202" s="11">
        <v>3055</v>
      </c>
      <c r="I202" s="11">
        <v>2455.54</v>
      </c>
      <c r="J202" s="11">
        <v>599.46</v>
      </c>
      <c r="K202" s="12">
        <v>0.19622259</v>
      </c>
      <c r="L202" s="9" t="s">
        <v>76</v>
      </c>
      <c r="M202" s="9" t="s">
        <v>106</v>
      </c>
      <c r="N202" s="9" t="s">
        <v>76</v>
      </c>
      <c r="O202" s="9">
        <v>1</v>
      </c>
    </row>
    <row r="203" spans="1:15" x14ac:dyDescent="0.2">
      <c r="A203" s="9" t="s">
        <v>399</v>
      </c>
      <c r="B203" s="10">
        <v>45876</v>
      </c>
      <c r="C203" s="9" t="s">
        <v>398</v>
      </c>
      <c r="D203" s="9" t="s">
        <v>76</v>
      </c>
      <c r="E203" s="9" t="s">
        <v>199</v>
      </c>
      <c r="F203" s="11">
        <v>645</v>
      </c>
      <c r="G203" s="11">
        <v>0</v>
      </c>
      <c r="H203" s="11">
        <v>645</v>
      </c>
      <c r="I203" s="11">
        <v>478.6</v>
      </c>
      <c r="J203" s="11">
        <v>166.4</v>
      </c>
      <c r="K203" s="12">
        <v>0.25798450000000001</v>
      </c>
      <c r="L203" s="9" t="s">
        <v>76</v>
      </c>
      <c r="M203" s="9" t="s">
        <v>106</v>
      </c>
      <c r="N203" s="9" t="s">
        <v>76</v>
      </c>
      <c r="O203" s="9">
        <v>1</v>
      </c>
    </row>
    <row r="204" spans="1:15" x14ac:dyDescent="0.2">
      <c r="A204" s="9" t="s">
        <v>400</v>
      </c>
      <c r="B204" s="10">
        <v>45882</v>
      </c>
      <c r="C204" s="9" t="s">
        <v>398</v>
      </c>
      <c r="D204" s="9" t="s">
        <v>76</v>
      </c>
      <c r="E204" s="9" t="s">
        <v>199</v>
      </c>
      <c r="F204" s="11">
        <v>0</v>
      </c>
      <c r="G204" s="11">
        <v>0</v>
      </c>
      <c r="H204" s="11">
        <v>0</v>
      </c>
      <c r="I204" s="11">
        <v>155.16</v>
      </c>
      <c r="J204" s="11">
        <v>-155.16</v>
      </c>
      <c r="K204" s="12">
        <v>0</v>
      </c>
      <c r="L204" s="9" t="s">
        <v>76</v>
      </c>
      <c r="M204" s="9" t="s">
        <v>106</v>
      </c>
      <c r="N204" s="9" t="s">
        <v>76</v>
      </c>
      <c r="O204" s="9">
        <v>0</v>
      </c>
    </row>
    <row r="205" spans="1:15" x14ac:dyDescent="0.2">
      <c r="A205" s="9" t="s">
        <v>401</v>
      </c>
      <c r="B205" s="10">
        <v>45882</v>
      </c>
      <c r="C205" s="9" t="s">
        <v>398</v>
      </c>
      <c r="D205" s="9" t="s">
        <v>76</v>
      </c>
      <c r="E205" s="9" t="s">
        <v>199</v>
      </c>
      <c r="F205" s="11">
        <v>12579.68</v>
      </c>
      <c r="G205" s="11">
        <v>0</v>
      </c>
      <c r="H205" s="11">
        <v>12579.68</v>
      </c>
      <c r="I205" s="11">
        <v>10738.29</v>
      </c>
      <c r="J205" s="11">
        <v>1841.39</v>
      </c>
      <c r="K205" s="12">
        <v>0.14637813</v>
      </c>
      <c r="L205" s="9" t="s">
        <v>76</v>
      </c>
      <c r="M205" s="9" t="s">
        <v>106</v>
      </c>
      <c r="N205" s="9" t="s">
        <v>76</v>
      </c>
      <c r="O205" s="9">
        <v>1</v>
      </c>
    </row>
    <row r="206" spans="1:15" x14ac:dyDescent="0.2">
      <c r="A206" s="9" t="s">
        <v>401</v>
      </c>
      <c r="B206" s="10">
        <v>45887</v>
      </c>
      <c r="C206" s="9" t="s">
        <v>398</v>
      </c>
      <c r="D206" s="9" t="s">
        <v>76</v>
      </c>
      <c r="E206" s="9" t="s">
        <v>199</v>
      </c>
      <c r="F206" s="11">
        <v>0</v>
      </c>
      <c r="G206" s="11">
        <v>0</v>
      </c>
      <c r="H206" s="11">
        <v>0</v>
      </c>
      <c r="I206" s="11">
        <v>-3.88</v>
      </c>
      <c r="J206" s="11">
        <v>3.88</v>
      </c>
      <c r="K206" s="12">
        <v>0</v>
      </c>
      <c r="L206" s="9" t="s">
        <v>76</v>
      </c>
      <c r="M206" s="9" t="s">
        <v>106</v>
      </c>
      <c r="N206" s="9" t="s">
        <v>76</v>
      </c>
      <c r="O206" s="9">
        <v>0</v>
      </c>
    </row>
    <row r="207" spans="1:15" x14ac:dyDescent="0.2">
      <c r="A207" s="9" t="s">
        <v>402</v>
      </c>
      <c r="B207" s="10">
        <v>45887</v>
      </c>
      <c r="C207" s="9" t="s">
        <v>398</v>
      </c>
      <c r="D207" s="9" t="s">
        <v>76</v>
      </c>
      <c r="E207" s="9" t="s">
        <v>199</v>
      </c>
      <c r="F207" s="11">
        <v>19568.8</v>
      </c>
      <c r="G207" s="11">
        <v>0</v>
      </c>
      <c r="H207" s="11">
        <v>19568.8</v>
      </c>
      <c r="I207" s="11">
        <v>16246.24</v>
      </c>
      <c r="J207" s="11">
        <v>3322.56</v>
      </c>
      <c r="K207" s="12">
        <v>0.16978863999999999</v>
      </c>
      <c r="L207" s="9" t="s">
        <v>76</v>
      </c>
      <c r="M207" s="9" t="s">
        <v>106</v>
      </c>
      <c r="N207" s="9" t="s">
        <v>76</v>
      </c>
      <c r="O207" s="9">
        <v>1</v>
      </c>
    </row>
    <row r="208" spans="1:15" x14ac:dyDescent="0.2">
      <c r="A208" s="9" t="s">
        <v>402</v>
      </c>
      <c r="B208" s="10">
        <v>45888</v>
      </c>
      <c r="C208" s="9" t="s">
        <v>398</v>
      </c>
      <c r="D208" s="9" t="s">
        <v>76</v>
      </c>
      <c r="E208" s="9" t="s">
        <v>199</v>
      </c>
      <c r="F208" s="11">
        <v>0</v>
      </c>
      <c r="G208" s="11">
        <v>0</v>
      </c>
      <c r="H208" s="11">
        <v>0</v>
      </c>
      <c r="I208" s="11">
        <v>30</v>
      </c>
      <c r="J208" s="11">
        <v>-30</v>
      </c>
      <c r="K208" s="12">
        <v>0</v>
      </c>
      <c r="L208" s="9" t="s">
        <v>76</v>
      </c>
      <c r="M208" s="9" t="s">
        <v>106</v>
      </c>
      <c r="N208" s="9" t="s">
        <v>76</v>
      </c>
      <c r="O208" s="9">
        <v>0</v>
      </c>
    </row>
    <row r="209" spans="1:15" x14ac:dyDescent="0.2">
      <c r="A209" s="9" t="s">
        <v>402</v>
      </c>
      <c r="B209" s="10">
        <v>45889</v>
      </c>
      <c r="C209" s="9" t="s">
        <v>398</v>
      </c>
      <c r="D209" s="9" t="s">
        <v>76</v>
      </c>
      <c r="E209" s="9" t="s">
        <v>199</v>
      </c>
      <c r="F209" s="11">
        <v>0</v>
      </c>
      <c r="G209" s="11">
        <v>0</v>
      </c>
      <c r="H209" s="11">
        <v>0</v>
      </c>
      <c r="I209" s="11">
        <v>-768.5</v>
      </c>
      <c r="J209" s="11">
        <v>768.5</v>
      </c>
      <c r="K209" s="12">
        <v>0</v>
      </c>
      <c r="L209" s="9" t="s">
        <v>76</v>
      </c>
      <c r="M209" s="9" t="s">
        <v>106</v>
      </c>
      <c r="N209" s="9" t="s">
        <v>76</v>
      </c>
      <c r="O209" s="9">
        <v>0</v>
      </c>
    </row>
    <row r="210" spans="1:15" x14ac:dyDescent="0.2">
      <c r="A210" s="9" t="s">
        <v>403</v>
      </c>
      <c r="B210" s="10">
        <v>45877</v>
      </c>
      <c r="C210" s="9" t="s">
        <v>49</v>
      </c>
      <c r="D210" s="9" t="s">
        <v>20</v>
      </c>
      <c r="E210" s="9" t="s">
        <v>227</v>
      </c>
      <c r="F210" s="11">
        <v>0</v>
      </c>
      <c r="G210" s="11">
        <v>0</v>
      </c>
      <c r="H210" s="11">
        <v>0</v>
      </c>
      <c r="I210" s="11">
        <v>-0.01</v>
      </c>
      <c r="J210" s="11">
        <v>0.01</v>
      </c>
      <c r="K210" s="12">
        <v>0</v>
      </c>
      <c r="L210" s="9" t="s">
        <v>168</v>
      </c>
      <c r="M210" s="9" t="s">
        <v>20</v>
      </c>
      <c r="N210" s="9" t="s">
        <v>168</v>
      </c>
      <c r="O210" s="9">
        <v>0</v>
      </c>
    </row>
    <row r="211" spans="1:15" x14ac:dyDescent="0.2">
      <c r="A211" s="9" t="s">
        <v>404</v>
      </c>
      <c r="B211" s="10">
        <v>45897</v>
      </c>
      <c r="C211" s="9" t="s">
        <v>49</v>
      </c>
      <c r="D211" s="9" t="s">
        <v>20</v>
      </c>
      <c r="E211" s="9" t="s">
        <v>227</v>
      </c>
      <c r="F211" s="11">
        <v>15977.85</v>
      </c>
      <c r="G211" s="11">
        <v>0</v>
      </c>
      <c r="H211" s="11">
        <v>15977.85</v>
      </c>
      <c r="I211" s="11">
        <v>12179.28</v>
      </c>
      <c r="J211" s="11">
        <v>3798.57</v>
      </c>
      <c r="K211" s="12">
        <v>0.23773975</v>
      </c>
      <c r="L211" s="9" t="s">
        <v>168</v>
      </c>
      <c r="M211" s="9" t="s">
        <v>20</v>
      </c>
      <c r="N211" s="9" t="s">
        <v>168</v>
      </c>
      <c r="O211" s="9">
        <v>1</v>
      </c>
    </row>
    <row r="212" spans="1:15" x14ac:dyDescent="0.2">
      <c r="A212" s="9" t="s">
        <v>405</v>
      </c>
      <c r="B212" s="10">
        <v>45897</v>
      </c>
      <c r="C212" s="9" t="s">
        <v>49</v>
      </c>
      <c r="D212" s="9" t="s">
        <v>20</v>
      </c>
      <c r="E212" s="9" t="s">
        <v>227</v>
      </c>
      <c r="F212" s="11">
        <v>44071.56</v>
      </c>
      <c r="G212" s="11">
        <v>0</v>
      </c>
      <c r="H212" s="11">
        <v>44071.56</v>
      </c>
      <c r="I212" s="11">
        <v>34243.980000000003</v>
      </c>
      <c r="J212" s="11">
        <v>9827.58</v>
      </c>
      <c r="K212" s="12">
        <v>0.22299142999999999</v>
      </c>
      <c r="L212" s="9" t="s">
        <v>168</v>
      </c>
      <c r="M212" s="9" t="s">
        <v>20</v>
      </c>
      <c r="N212" s="9" t="s">
        <v>168</v>
      </c>
      <c r="O212" s="9">
        <v>1</v>
      </c>
    </row>
    <row r="213" spans="1:15" x14ac:dyDescent="0.2">
      <c r="A213" s="9" t="s">
        <v>406</v>
      </c>
      <c r="B213" s="10">
        <v>45890</v>
      </c>
      <c r="C213" s="9" t="s">
        <v>49</v>
      </c>
      <c r="D213" s="9" t="s">
        <v>20</v>
      </c>
      <c r="E213" s="9" t="s">
        <v>227</v>
      </c>
      <c r="F213" s="11">
        <v>0</v>
      </c>
      <c r="G213" s="11">
        <v>0</v>
      </c>
      <c r="H213" s="11">
        <v>0</v>
      </c>
      <c r="I213" s="11">
        <v>529.42999999999995</v>
      </c>
      <c r="J213" s="11">
        <v>-529.42999999999995</v>
      </c>
      <c r="K213" s="12">
        <v>0</v>
      </c>
      <c r="L213" s="9" t="s">
        <v>407</v>
      </c>
      <c r="M213" s="9" t="s">
        <v>20</v>
      </c>
      <c r="N213" s="9" t="s">
        <v>20</v>
      </c>
      <c r="O213" s="9">
        <v>0</v>
      </c>
    </row>
    <row r="214" spans="1:15" x14ac:dyDescent="0.2">
      <c r="A214" s="9" t="s">
        <v>408</v>
      </c>
      <c r="B214" s="10">
        <v>45870</v>
      </c>
      <c r="C214" s="9" t="s">
        <v>409</v>
      </c>
      <c r="D214" s="9" t="s">
        <v>46</v>
      </c>
      <c r="E214" s="9" t="s">
        <v>192</v>
      </c>
      <c r="F214" s="11">
        <v>0</v>
      </c>
      <c r="G214" s="11">
        <v>0</v>
      </c>
      <c r="H214" s="11">
        <v>0</v>
      </c>
      <c r="I214" s="11">
        <v>-4.7300000000000004</v>
      </c>
      <c r="J214" s="11">
        <v>4.7300000000000004</v>
      </c>
      <c r="K214" s="12">
        <v>0</v>
      </c>
      <c r="L214" s="9" t="s">
        <v>257</v>
      </c>
      <c r="M214" s="9" t="s">
        <v>46</v>
      </c>
      <c r="N214" s="9" t="s">
        <v>257</v>
      </c>
      <c r="O214" s="9">
        <v>0</v>
      </c>
    </row>
    <row r="215" spans="1:15" x14ac:dyDescent="0.2">
      <c r="A215" s="9" t="s">
        <v>410</v>
      </c>
      <c r="B215" s="10">
        <v>45870</v>
      </c>
      <c r="C215" s="9" t="s">
        <v>409</v>
      </c>
      <c r="D215" s="9" t="s">
        <v>46</v>
      </c>
      <c r="E215" s="9" t="s">
        <v>192</v>
      </c>
      <c r="F215" s="11">
        <v>0</v>
      </c>
      <c r="G215" s="11">
        <v>0</v>
      </c>
      <c r="H215" s="11">
        <v>0</v>
      </c>
      <c r="I215" s="11">
        <v>-244.74</v>
      </c>
      <c r="J215" s="11">
        <v>244.74</v>
      </c>
      <c r="K215" s="12">
        <v>0</v>
      </c>
      <c r="L215" s="9" t="s">
        <v>257</v>
      </c>
      <c r="M215" s="9" t="s">
        <v>46</v>
      </c>
      <c r="N215" s="9" t="s">
        <v>257</v>
      </c>
      <c r="O215" s="9">
        <v>0</v>
      </c>
    </row>
    <row r="216" spans="1:15" x14ac:dyDescent="0.2">
      <c r="A216" s="9" t="s">
        <v>411</v>
      </c>
      <c r="B216" s="10">
        <v>45870</v>
      </c>
      <c r="C216" s="9" t="s">
        <v>409</v>
      </c>
      <c r="D216" s="9" t="s">
        <v>46</v>
      </c>
      <c r="E216" s="9" t="s">
        <v>192</v>
      </c>
      <c r="F216" s="11">
        <v>0</v>
      </c>
      <c r="G216" s="11">
        <v>0</v>
      </c>
      <c r="H216" s="11">
        <v>0</v>
      </c>
      <c r="I216" s="11">
        <v>32.380000000000003</v>
      </c>
      <c r="J216" s="11">
        <v>-32.380000000000003</v>
      </c>
      <c r="K216" s="12">
        <v>0</v>
      </c>
      <c r="L216" s="9" t="s">
        <v>257</v>
      </c>
      <c r="M216" s="9" t="s">
        <v>46</v>
      </c>
      <c r="N216" s="9" t="s">
        <v>257</v>
      </c>
      <c r="O216" s="9">
        <v>0</v>
      </c>
    </row>
    <row r="217" spans="1:15" x14ac:dyDescent="0.2">
      <c r="A217" s="9" t="s">
        <v>412</v>
      </c>
      <c r="B217" s="10">
        <v>45874</v>
      </c>
      <c r="C217" s="9" t="s">
        <v>409</v>
      </c>
      <c r="D217" s="9" t="s">
        <v>46</v>
      </c>
      <c r="E217" s="9" t="s">
        <v>192</v>
      </c>
      <c r="F217" s="11">
        <v>0</v>
      </c>
      <c r="G217" s="11">
        <v>0</v>
      </c>
      <c r="H217" s="11">
        <v>0</v>
      </c>
      <c r="I217" s="11">
        <v>-0.05</v>
      </c>
      <c r="J217" s="11">
        <v>0.05</v>
      </c>
      <c r="K217" s="12">
        <v>0</v>
      </c>
      <c r="L217" s="9" t="s">
        <v>257</v>
      </c>
      <c r="M217" s="9" t="s">
        <v>46</v>
      </c>
      <c r="N217" s="9" t="s">
        <v>257</v>
      </c>
      <c r="O217" s="9">
        <v>0</v>
      </c>
    </row>
    <row r="218" spans="1:15" x14ac:dyDescent="0.2">
      <c r="A218" s="9" t="s">
        <v>411</v>
      </c>
      <c r="B218" s="10">
        <v>45874</v>
      </c>
      <c r="C218" s="9" t="s">
        <v>409</v>
      </c>
      <c r="D218" s="9" t="s">
        <v>46</v>
      </c>
      <c r="E218" s="9" t="s">
        <v>192</v>
      </c>
      <c r="F218" s="11">
        <v>0</v>
      </c>
      <c r="G218" s="11">
        <v>1020</v>
      </c>
      <c r="H218" s="11">
        <v>1020</v>
      </c>
      <c r="I218" s="11">
        <v>711</v>
      </c>
      <c r="J218" s="11">
        <v>309</v>
      </c>
      <c r="K218" s="12">
        <v>0.30294117999999998</v>
      </c>
      <c r="L218" s="9" t="s">
        <v>257</v>
      </c>
      <c r="M218" s="9" t="s">
        <v>46</v>
      </c>
      <c r="N218" s="9" t="s">
        <v>257</v>
      </c>
      <c r="O218" s="9">
        <v>0</v>
      </c>
    </row>
    <row r="219" spans="1:15" x14ac:dyDescent="0.2">
      <c r="A219" s="9" t="s">
        <v>413</v>
      </c>
      <c r="B219" s="10">
        <v>45874</v>
      </c>
      <c r="C219" s="9" t="s">
        <v>409</v>
      </c>
      <c r="D219" s="9" t="s">
        <v>46</v>
      </c>
      <c r="E219" s="9" t="s">
        <v>192</v>
      </c>
      <c r="F219" s="11">
        <v>0</v>
      </c>
      <c r="G219" s="11">
        <v>0</v>
      </c>
      <c r="H219" s="11">
        <v>0</v>
      </c>
      <c r="I219" s="11">
        <v>33.69</v>
      </c>
      <c r="J219" s="11">
        <v>-33.69</v>
      </c>
      <c r="K219" s="12">
        <v>0</v>
      </c>
      <c r="L219" s="9" t="s">
        <v>257</v>
      </c>
      <c r="M219" s="9" t="s">
        <v>46</v>
      </c>
      <c r="N219" s="9" t="s">
        <v>257</v>
      </c>
      <c r="O219" s="9">
        <v>0</v>
      </c>
    </row>
    <row r="220" spans="1:15" x14ac:dyDescent="0.2">
      <c r="A220" s="9" t="s">
        <v>414</v>
      </c>
      <c r="B220" s="10">
        <v>45889</v>
      </c>
      <c r="C220" s="9" t="s">
        <v>409</v>
      </c>
      <c r="D220" s="9" t="s">
        <v>46</v>
      </c>
      <c r="E220" s="9" t="s">
        <v>192</v>
      </c>
      <c r="F220" s="11">
        <v>159190.22</v>
      </c>
      <c r="G220" s="11">
        <v>0</v>
      </c>
      <c r="H220" s="11">
        <v>159190.22</v>
      </c>
      <c r="I220" s="11">
        <v>122579.54</v>
      </c>
      <c r="J220" s="11">
        <v>36610.68</v>
      </c>
      <c r="K220" s="12">
        <v>0.22998071</v>
      </c>
      <c r="L220" s="9" t="s">
        <v>257</v>
      </c>
      <c r="M220" s="9" t="s">
        <v>46</v>
      </c>
      <c r="N220" s="9" t="s">
        <v>257</v>
      </c>
      <c r="O220" s="9">
        <v>1</v>
      </c>
    </row>
    <row r="221" spans="1:15" x14ac:dyDescent="0.2">
      <c r="A221" s="9" t="s">
        <v>415</v>
      </c>
      <c r="B221" s="10">
        <v>45889</v>
      </c>
      <c r="C221" s="9" t="s">
        <v>409</v>
      </c>
      <c r="D221" s="9" t="s">
        <v>46</v>
      </c>
      <c r="E221" s="9" t="s">
        <v>192</v>
      </c>
      <c r="F221" s="11">
        <v>88816.3</v>
      </c>
      <c r="G221" s="11">
        <v>0</v>
      </c>
      <c r="H221" s="11">
        <v>88816.3</v>
      </c>
      <c r="I221" s="11">
        <v>68452.94</v>
      </c>
      <c r="J221" s="11">
        <v>20363.36</v>
      </c>
      <c r="K221" s="12">
        <v>0.22927502999999999</v>
      </c>
      <c r="L221" s="9" t="s">
        <v>257</v>
      </c>
      <c r="M221" s="9" t="s">
        <v>46</v>
      </c>
      <c r="N221" s="9" t="s">
        <v>257</v>
      </c>
      <c r="O221" s="9">
        <v>1</v>
      </c>
    </row>
    <row r="222" spans="1:15" x14ac:dyDescent="0.2">
      <c r="A222" s="9" t="s">
        <v>416</v>
      </c>
      <c r="B222" s="10">
        <v>45889</v>
      </c>
      <c r="C222" s="9" t="s">
        <v>409</v>
      </c>
      <c r="D222" s="9" t="s">
        <v>46</v>
      </c>
      <c r="E222" s="9" t="s">
        <v>192</v>
      </c>
      <c r="F222" s="11">
        <v>33717.339999999997</v>
      </c>
      <c r="G222" s="11">
        <v>0</v>
      </c>
      <c r="H222" s="11">
        <v>33717.339999999997</v>
      </c>
      <c r="I222" s="11">
        <v>25963</v>
      </c>
      <c r="J222" s="11">
        <v>7754.34</v>
      </c>
      <c r="K222" s="12">
        <v>0.22998078</v>
      </c>
      <c r="L222" s="9" t="s">
        <v>257</v>
      </c>
      <c r="M222" s="9" t="s">
        <v>46</v>
      </c>
      <c r="N222" s="9" t="s">
        <v>257</v>
      </c>
      <c r="O222" s="9">
        <v>1</v>
      </c>
    </row>
    <row r="223" spans="1:15" x14ac:dyDescent="0.2">
      <c r="A223" s="9" t="s">
        <v>417</v>
      </c>
      <c r="B223" s="10">
        <v>45894</v>
      </c>
      <c r="C223" s="9" t="s">
        <v>418</v>
      </c>
      <c r="D223" s="9" t="s">
        <v>198</v>
      </c>
      <c r="E223" s="9" t="s">
        <v>227</v>
      </c>
      <c r="F223" s="11">
        <v>3111.78</v>
      </c>
      <c r="G223" s="11">
        <v>0</v>
      </c>
      <c r="H223" s="11">
        <v>3111.78</v>
      </c>
      <c r="I223" s="11">
        <v>2214.9</v>
      </c>
      <c r="J223" s="11">
        <v>896.88</v>
      </c>
      <c r="K223" s="12">
        <v>0.28822089000000001</v>
      </c>
      <c r="L223" s="9" t="s">
        <v>419</v>
      </c>
      <c r="M223" s="9" t="s">
        <v>65</v>
      </c>
      <c r="N223" s="9" t="s">
        <v>222</v>
      </c>
      <c r="O223" s="9">
        <v>1</v>
      </c>
    </row>
    <row r="224" spans="1:15" x14ac:dyDescent="0.2">
      <c r="A224" s="9" t="s">
        <v>420</v>
      </c>
      <c r="B224" s="10">
        <v>45898</v>
      </c>
      <c r="C224" s="9" t="s">
        <v>418</v>
      </c>
      <c r="D224" s="9" t="s">
        <v>65</v>
      </c>
      <c r="E224" s="9" t="s">
        <v>227</v>
      </c>
      <c r="F224" s="11">
        <v>1241.6400000000001</v>
      </c>
      <c r="G224" s="11">
        <v>0</v>
      </c>
      <c r="H224" s="11">
        <v>1241.6400000000001</v>
      </c>
      <c r="I224" s="11">
        <v>931.23</v>
      </c>
      <c r="J224" s="11">
        <v>310.41000000000003</v>
      </c>
      <c r="K224" s="12">
        <v>0.25</v>
      </c>
      <c r="L224" s="9" t="s">
        <v>419</v>
      </c>
      <c r="M224" s="9" t="s">
        <v>65</v>
      </c>
      <c r="N224" s="9" t="s">
        <v>222</v>
      </c>
      <c r="O224" s="9">
        <v>1</v>
      </c>
    </row>
    <row r="225" spans="1:15" x14ac:dyDescent="0.2">
      <c r="A225" s="9" t="s">
        <v>421</v>
      </c>
      <c r="B225" s="10">
        <v>45898</v>
      </c>
      <c r="C225" s="9" t="s">
        <v>418</v>
      </c>
      <c r="D225" s="9" t="s">
        <v>65</v>
      </c>
      <c r="E225" s="9" t="s">
        <v>227</v>
      </c>
      <c r="F225" s="11">
        <v>1160.07</v>
      </c>
      <c r="G225" s="11">
        <v>0</v>
      </c>
      <c r="H225" s="11">
        <v>1160.07</v>
      </c>
      <c r="I225" s="11">
        <v>870.05</v>
      </c>
      <c r="J225" s="11">
        <v>290.02</v>
      </c>
      <c r="K225" s="12">
        <v>0.25000215999999997</v>
      </c>
      <c r="L225" s="9" t="s">
        <v>419</v>
      </c>
      <c r="M225" s="9" t="s">
        <v>65</v>
      </c>
      <c r="N225" s="9" t="s">
        <v>222</v>
      </c>
      <c r="O225" s="9">
        <v>1</v>
      </c>
    </row>
    <row r="226" spans="1:15" x14ac:dyDescent="0.2">
      <c r="A226" s="9" t="s">
        <v>422</v>
      </c>
      <c r="B226" s="10">
        <v>45883</v>
      </c>
      <c r="C226" s="9" t="s">
        <v>423</v>
      </c>
      <c r="D226" s="9" t="s">
        <v>65</v>
      </c>
      <c r="E226" s="9" t="s">
        <v>227</v>
      </c>
      <c r="F226" s="11">
        <v>1404.71</v>
      </c>
      <c r="G226" s="11">
        <v>0</v>
      </c>
      <c r="H226" s="11">
        <v>1404.71</v>
      </c>
      <c r="I226" s="11">
        <v>1049.96</v>
      </c>
      <c r="J226" s="11">
        <v>354.75</v>
      </c>
      <c r="K226" s="12">
        <v>0.25254323000000001</v>
      </c>
      <c r="L226" s="9" t="s">
        <v>222</v>
      </c>
      <c r="M226" s="9" t="s">
        <v>65</v>
      </c>
      <c r="N226" s="9" t="s">
        <v>222</v>
      </c>
      <c r="O226" s="9">
        <v>1</v>
      </c>
    </row>
    <row r="227" spans="1:15" x14ac:dyDescent="0.2">
      <c r="A227" s="9" t="s">
        <v>422</v>
      </c>
      <c r="B227" s="10">
        <v>45884</v>
      </c>
      <c r="C227" s="9" t="s">
        <v>423</v>
      </c>
      <c r="D227" s="9" t="s">
        <v>65</v>
      </c>
      <c r="E227" s="9" t="s">
        <v>227</v>
      </c>
      <c r="F227" s="11">
        <v>0</v>
      </c>
      <c r="G227" s="11">
        <v>0</v>
      </c>
      <c r="H227" s="11">
        <v>0</v>
      </c>
      <c r="I227" s="11">
        <v>-35.590000000000003</v>
      </c>
      <c r="J227" s="11">
        <v>35.590000000000003</v>
      </c>
      <c r="K227" s="12">
        <v>0</v>
      </c>
      <c r="L227" s="9" t="s">
        <v>222</v>
      </c>
      <c r="M227" s="9" t="s">
        <v>65</v>
      </c>
      <c r="N227" s="9" t="s">
        <v>222</v>
      </c>
      <c r="O227" s="9">
        <v>0</v>
      </c>
    </row>
    <row r="228" spans="1:15" x14ac:dyDescent="0.2">
      <c r="A228" s="9" t="s">
        <v>424</v>
      </c>
      <c r="B228" s="10">
        <v>45870</v>
      </c>
      <c r="C228" s="9" t="s">
        <v>425</v>
      </c>
      <c r="D228" s="9" t="s">
        <v>46</v>
      </c>
      <c r="E228" s="9" t="s">
        <v>192</v>
      </c>
      <c r="F228" s="11">
        <v>0</v>
      </c>
      <c r="G228" s="11">
        <v>0</v>
      </c>
      <c r="H228" s="11">
        <v>0</v>
      </c>
      <c r="I228" s="11">
        <v>-8458.01</v>
      </c>
      <c r="J228" s="11">
        <v>8458.01</v>
      </c>
      <c r="K228" s="12">
        <v>0</v>
      </c>
      <c r="L228" s="9" t="s">
        <v>120</v>
      </c>
      <c r="M228" s="9" t="s">
        <v>46</v>
      </c>
      <c r="N228" s="9" t="s">
        <v>120</v>
      </c>
      <c r="O228" s="9">
        <v>0</v>
      </c>
    </row>
    <row r="229" spans="1:15" x14ac:dyDescent="0.2">
      <c r="A229" s="9" t="s">
        <v>426</v>
      </c>
      <c r="B229" s="10">
        <v>45870</v>
      </c>
      <c r="C229" s="9" t="s">
        <v>425</v>
      </c>
      <c r="D229" s="9" t="s">
        <v>46</v>
      </c>
      <c r="E229" s="9" t="s">
        <v>192</v>
      </c>
      <c r="F229" s="11">
        <v>0</v>
      </c>
      <c r="G229" s="11">
        <v>0</v>
      </c>
      <c r="H229" s="11">
        <v>0</v>
      </c>
      <c r="I229" s="11">
        <v>1923.58</v>
      </c>
      <c r="J229" s="11">
        <v>-1923.58</v>
      </c>
      <c r="K229" s="12">
        <v>0</v>
      </c>
      <c r="L229" s="9" t="s">
        <v>120</v>
      </c>
      <c r="M229" s="9" t="s">
        <v>46</v>
      </c>
      <c r="N229" s="9" t="s">
        <v>120</v>
      </c>
      <c r="O229" s="9">
        <v>0</v>
      </c>
    </row>
    <row r="230" spans="1:15" x14ac:dyDescent="0.2">
      <c r="A230" s="9" t="s">
        <v>427</v>
      </c>
      <c r="B230" s="10">
        <v>45870</v>
      </c>
      <c r="C230" s="9" t="s">
        <v>425</v>
      </c>
      <c r="D230" s="9" t="s">
        <v>46</v>
      </c>
      <c r="E230" s="9" t="s">
        <v>192</v>
      </c>
      <c r="F230" s="11">
        <v>65613.710000000006</v>
      </c>
      <c r="G230" s="11">
        <v>0</v>
      </c>
      <c r="H230" s="11">
        <v>65613.710000000006</v>
      </c>
      <c r="I230" s="11">
        <v>48042.79</v>
      </c>
      <c r="J230" s="11">
        <v>17570.919999999998</v>
      </c>
      <c r="K230" s="12">
        <v>0.26779342</v>
      </c>
      <c r="L230" s="9" t="s">
        <v>120</v>
      </c>
      <c r="M230" s="9" t="s">
        <v>46</v>
      </c>
      <c r="N230" s="9" t="s">
        <v>120</v>
      </c>
      <c r="O230" s="9">
        <v>1</v>
      </c>
    </row>
    <row r="231" spans="1:15" x14ac:dyDescent="0.2">
      <c r="A231" s="9" t="s">
        <v>424</v>
      </c>
      <c r="B231" s="10">
        <v>45873</v>
      </c>
      <c r="C231" s="9" t="s">
        <v>425</v>
      </c>
      <c r="D231" s="9" t="s">
        <v>46</v>
      </c>
      <c r="E231" s="9" t="s">
        <v>192</v>
      </c>
      <c r="F231" s="11">
        <v>0</v>
      </c>
      <c r="G231" s="11">
        <v>0</v>
      </c>
      <c r="H231" s="11">
        <v>0</v>
      </c>
      <c r="I231" s="11">
        <v>212.69</v>
      </c>
      <c r="J231" s="11">
        <v>-212.69</v>
      </c>
      <c r="K231" s="12">
        <v>0</v>
      </c>
      <c r="L231" s="9" t="s">
        <v>120</v>
      </c>
      <c r="M231" s="9" t="s">
        <v>46</v>
      </c>
      <c r="N231" s="9" t="s">
        <v>120</v>
      </c>
      <c r="O231" s="9">
        <v>0</v>
      </c>
    </row>
    <row r="232" spans="1:15" x14ac:dyDescent="0.2">
      <c r="A232" s="9" t="s">
        <v>426</v>
      </c>
      <c r="B232" s="10">
        <v>45874</v>
      </c>
      <c r="C232" s="9" t="s">
        <v>425</v>
      </c>
      <c r="D232" s="9" t="s">
        <v>46</v>
      </c>
      <c r="E232" s="9" t="s">
        <v>192</v>
      </c>
      <c r="F232" s="11">
        <v>0</v>
      </c>
      <c r="G232" s="11">
        <v>0</v>
      </c>
      <c r="H232" s="11">
        <v>0</v>
      </c>
      <c r="I232" s="11">
        <v>145.52000000000001</v>
      </c>
      <c r="J232" s="11">
        <v>-145.52000000000001</v>
      </c>
      <c r="K232" s="12">
        <v>0</v>
      </c>
      <c r="L232" s="9" t="s">
        <v>120</v>
      </c>
      <c r="M232" s="9" t="s">
        <v>46</v>
      </c>
      <c r="N232" s="9" t="s">
        <v>120</v>
      </c>
      <c r="O232" s="9">
        <v>0</v>
      </c>
    </row>
    <row r="233" spans="1:15" x14ac:dyDescent="0.2">
      <c r="A233" s="9" t="s">
        <v>426</v>
      </c>
      <c r="B233" s="10">
        <v>45875</v>
      </c>
      <c r="C233" s="9" t="s">
        <v>425</v>
      </c>
      <c r="D233" s="9" t="s">
        <v>46</v>
      </c>
      <c r="E233" s="9" t="s">
        <v>192</v>
      </c>
      <c r="F233" s="11">
        <v>0</v>
      </c>
      <c r="G233" s="11">
        <v>0</v>
      </c>
      <c r="H233" s="11">
        <v>0</v>
      </c>
      <c r="I233" s="11">
        <v>1187.1199999999999</v>
      </c>
      <c r="J233" s="11">
        <v>-1187.1199999999999</v>
      </c>
      <c r="K233" s="12">
        <v>0</v>
      </c>
      <c r="L233" s="9" t="s">
        <v>120</v>
      </c>
      <c r="M233" s="9" t="s">
        <v>46</v>
      </c>
      <c r="N233" s="9" t="s">
        <v>120</v>
      </c>
      <c r="O233" s="9">
        <v>0</v>
      </c>
    </row>
    <row r="234" spans="1:15" x14ac:dyDescent="0.2">
      <c r="A234" s="9" t="s">
        <v>424</v>
      </c>
      <c r="B234" s="10">
        <v>45875</v>
      </c>
      <c r="C234" s="9" t="s">
        <v>425</v>
      </c>
      <c r="D234" s="9" t="s">
        <v>46</v>
      </c>
      <c r="E234" s="9" t="s">
        <v>192</v>
      </c>
      <c r="F234" s="11">
        <v>0</v>
      </c>
      <c r="G234" s="11">
        <v>0</v>
      </c>
      <c r="H234" s="11">
        <v>0</v>
      </c>
      <c r="I234" s="11">
        <v>2670.98</v>
      </c>
      <c r="J234" s="11">
        <v>-2670.98</v>
      </c>
      <c r="K234" s="12">
        <v>0</v>
      </c>
      <c r="L234" s="9" t="s">
        <v>120</v>
      </c>
      <c r="M234" s="9" t="s">
        <v>46</v>
      </c>
      <c r="N234" s="9" t="s">
        <v>120</v>
      </c>
      <c r="O234" s="9">
        <v>0</v>
      </c>
    </row>
    <row r="235" spans="1:15" x14ac:dyDescent="0.2">
      <c r="A235" s="9" t="s">
        <v>424</v>
      </c>
      <c r="B235" s="10">
        <v>45876</v>
      </c>
      <c r="C235" s="9" t="s">
        <v>425</v>
      </c>
      <c r="D235" s="9" t="s">
        <v>46</v>
      </c>
      <c r="E235" s="9" t="s">
        <v>192</v>
      </c>
      <c r="F235" s="11">
        <v>0</v>
      </c>
      <c r="G235" s="11">
        <v>0</v>
      </c>
      <c r="H235" s="11">
        <v>0</v>
      </c>
      <c r="I235" s="11">
        <v>-3006.19</v>
      </c>
      <c r="J235" s="11">
        <v>3006.19</v>
      </c>
      <c r="K235" s="12">
        <v>0</v>
      </c>
      <c r="L235" s="9" t="s">
        <v>120</v>
      </c>
      <c r="M235" s="9" t="s">
        <v>46</v>
      </c>
      <c r="N235" s="9" t="s">
        <v>120</v>
      </c>
      <c r="O235" s="9">
        <v>0</v>
      </c>
    </row>
    <row r="236" spans="1:15" x14ac:dyDescent="0.2">
      <c r="A236" s="9" t="s">
        <v>427</v>
      </c>
      <c r="B236" s="10">
        <v>45876</v>
      </c>
      <c r="C236" s="9" t="s">
        <v>425</v>
      </c>
      <c r="D236" s="9" t="s">
        <v>46</v>
      </c>
      <c r="E236" s="9" t="s">
        <v>192</v>
      </c>
      <c r="F236" s="11">
        <v>0</v>
      </c>
      <c r="G236" s="11">
        <v>0</v>
      </c>
      <c r="H236" s="11">
        <v>0</v>
      </c>
      <c r="I236" s="11">
        <v>245.7</v>
      </c>
      <c r="J236" s="11">
        <v>-245.7</v>
      </c>
      <c r="K236" s="12">
        <v>0</v>
      </c>
      <c r="L236" s="9" t="s">
        <v>120</v>
      </c>
      <c r="M236" s="9" t="s">
        <v>46</v>
      </c>
      <c r="N236" s="9" t="s">
        <v>120</v>
      </c>
      <c r="O236" s="9">
        <v>0</v>
      </c>
    </row>
    <row r="237" spans="1:15" x14ac:dyDescent="0.2">
      <c r="A237" s="9" t="s">
        <v>427</v>
      </c>
      <c r="B237" s="10">
        <v>45878</v>
      </c>
      <c r="C237" s="9" t="s">
        <v>425</v>
      </c>
      <c r="D237" s="9" t="s">
        <v>46</v>
      </c>
      <c r="E237" s="9" t="s">
        <v>192</v>
      </c>
      <c r="F237" s="11">
        <v>0</v>
      </c>
      <c r="G237" s="11">
        <v>0</v>
      </c>
      <c r="H237" s="11">
        <v>0</v>
      </c>
      <c r="I237" s="11">
        <v>0.01</v>
      </c>
      <c r="J237" s="11">
        <v>-0.01</v>
      </c>
      <c r="K237" s="12">
        <v>0</v>
      </c>
      <c r="L237" s="9" t="s">
        <v>120</v>
      </c>
      <c r="M237" s="9" t="s">
        <v>46</v>
      </c>
      <c r="N237" s="9" t="s">
        <v>120</v>
      </c>
      <c r="O237" s="9">
        <v>0</v>
      </c>
    </row>
    <row r="238" spans="1:15" x14ac:dyDescent="0.2">
      <c r="A238" s="9" t="s">
        <v>424</v>
      </c>
      <c r="B238" s="10">
        <v>45880</v>
      </c>
      <c r="C238" s="9" t="s">
        <v>425</v>
      </c>
      <c r="D238" s="9" t="s">
        <v>46</v>
      </c>
      <c r="E238" s="9" t="s">
        <v>192</v>
      </c>
      <c r="F238" s="11">
        <v>0</v>
      </c>
      <c r="G238" s="11">
        <v>0</v>
      </c>
      <c r="H238" s="11">
        <v>0</v>
      </c>
      <c r="I238" s="11">
        <v>-100</v>
      </c>
      <c r="J238" s="11">
        <v>100</v>
      </c>
      <c r="K238" s="12">
        <v>0</v>
      </c>
      <c r="L238" s="9" t="s">
        <v>120</v>
      </c>
      <c r="M238" s="9" t="s">
        <v>46</v>
      </c>
      <c r="N238" s="9" t="s">
        <v>120</v>
      </c>
      <c r="O238" s="9">
        <v>0</v>
      </c>
    </row>
    <row r="239" spans="1:15" x14ac:dyDescent="0.2">
      <c r="A239" s="9" t="s">
        <v>426</v>
      </c>
      <c r="B239" s="10">
        <v>45881</v>
      </c>
      <c r="C239" s="9" t="s">
        <v>425</v>
      </c>
      <c r="D239" s="9" t="s">
        <v>46</v>
      </c>
      <c r="E239" s="9" t="s">
        <v>192</v>
      </c>
      <c r="F239" s="11">
        <v>0</v>
      </c>
      <c r="G239" s="11">
        <v>0</v>
      </c>
      <c r="H239" s="11">
        <v>0</v>
      </c>
      <c r="I239" s="11">
        <v>-86</v>
      </c>
      <c r="J239" s="11">
        <v>86</v>
      </c>
      <c r="K239" s="12">
        <v>0</v>
      </c>
      <c r="L239" s="9" t="s">
        <v>120</v>
      </c>
      <c r="M239" s="9" t="s">
        <v>46</v>
      </c>
      <c r="N239" s="9" t="s">
        <v>120</v>
      </c>
      <c r="O239" s="9">
        <v>0</v>
      </c>
    </row>
    <row r="240" spans="1:15" x14ac:dyDescent="0.2">
      <c r="A240" s="9" t="s">
        <v>424</v>
      </c>
      <c r="B240" s="10">
        <v>45882</v>
      </c>
      <c r="C240" s="9" t="s">
        <v>425</v>
      </c>
      <c r="D240" s="9" t="s">
        <v>46</v>
      </c>
      <c r="E240" s="9" t="s">
        <v>192</v>
      </c>
      <c r="F240" s="11">
        <v>0</v>
      </c>
      <c r="G240" s="11">
        <v>0</v>
      </c>
      <c r="H240" s="11">
        <v>0</v>
      </c>
      <c r="I240" s="11">
        <v>-33</v>
      </c>
      <c r="J240" s="11">
        <v>33</v>
      </c>
      <c r="K240" s="12">
        <v>0</v>
      </c>
      <c r="L240" s="9" t="s">
        <v>120</v>
      </c>
      <c r="M240" s="9" t="s">
        <v>46</v>
      </c>
      <c r="N240" s="9" t="s">
        <v>120</v>
      </c>
      <c r="O240" s="9">
        <v>0</v>
      </c>
    </row>
    <row r="241" spans="1:15" x14ac:dyDescent="0.2">
      <c r="A241" s="9" t="s">
        <v>427</v>
      </c>
      <c r="B241" s="10">
        <v>45882</v>
      </c>
      <c r="C241" s="9" t="s">
        <v>425</v>
      </c>
      <c r="D241" s="9" t="s">
        <v>46</v>
      </c>
      <c r="E241" s="9" t="s">
        <v>192</v>
      </c>
      <c r="F241" s="11">
        <v>0</v>
      </c>
      <c r="G241" s="11">
        <v>0</v>
      </c>
      <c r="H241" s="11">
        <v>0</v>
      </c>
      <c r="I241" s="11">
        <v>33</v>
      </c>
      <c r="J241" s="11">
        <v>-33</v>
      </c>
      <c r="K241" s="12">
        <v>0</v>
      </c>
      <c r="L241" s="9" t="s">
        <v>120</v>
      </c>
      <c r="M241" s="9" t="s">
        <v>46</v>
      </c>
      <c r="N241" s="9" t="s">
        <v>120</v>
      </c>
      <c r="O241" s="9">
        <v>0</v>
      </c>
    </row>
    <row r="242" spans="1:15" x14ac:dyDescent="0.2">
      <c r="A242" s="9" t="s">
        <v>426</v>
      </c>
      <c r="B242" s="10">
        <v>45887</v>
      </c>
      <c r="C242" s="9" t="s">
        <v>425</v>
      </c>
      <c r="D242" s="9" t="s">
        <v>46</v>
      </c>
      <c r="E242" s="9" t="s">
        <v>192</v>
      </c>
      <c r="F242" s="11">
        <v>0</v>
      </c>
      <c r="G242" s="11">
        <v>144.68</v>
      </c>
      <c r="H242" s="11">
        <v>144.68</v>
      </c>
      <c r="I242" s="11">
        <v>144.68</v>
      </c>
      <c r="J242" s="11">
        <v>0</v>
      </c>
      <c r="K242" s="12">
        <v>0</v>
      </c>
      <c r="L242" s="9" t="s">
        <v>120</v>
      </c>
      <c r="M242" s="9" t="s">
        <v>46</v>
      </c>
      <c r="N242" s="9" t="s">
        <v>120</v>
      </c>
      <c r="O242" s="9">
        <v>0</v>
      </c>
    </row>
    <row r="243" spans="1:15" x14ac:dyDescent="0.2">
      <c r="A243" s="9" t="s">
        <v>427</v>
      </c>
      <c r="B243" s="10">
        <v>45888</v>
      </c>
      <c r="C243" s="9" t="s">
        <v>425</v>
      </c>
      <c r="D243" s="9" t="s">
        <v>46</v>
      </c>
      <c r="E243" s="9" t="s">
        <v>192</v>
      </c>
      <c r="F243" s="11">
        <v>0</v>
      </c>
      <c r="G243" s="11">
        <v>0</v>
      </c>
      <c r="H243" s="11">
        <v>0</v>
      </c>
      <c r="I243" s="11">
        <v>559.41</v>
      </c>
      <c r="J243" s="11">
        <v>-559.41</v>
      </c>
      <c r="K243" s="12">
        <v>0</v>
      </c>
      <c r="L243" s="9" t="s">
        <v>120</v>
      </c>
      <c r="M243" s="9" t="s">
        <v>46</v>
      </c>
      <c r="N243" s="9" t="s">
        <v>120</v>
      </c>
      <c r="O243" s="9">
        <v>0</v>
      </c>
    </row>
    <row r="244" spans="1:15" x14ac:dyDescent="0.2">
      <c r="A244" s="9" t="s">
        <v>426</v>
      </c>
      <c r="B244" s="10">
        <v>45890</v>
      </c>
      <c r="C244" s="9" t="s">
        <v>425</v>
      </c>
      <c r="D244" s="9" t="s">
        <v>46</v>
      </c>
      <c r="E244" s="9" t="s">
        <v>192</v>
      </c>
      <c r="F244" s="11">
        <v>0</v>
      </c>
      <c r="G244" s="11">
        <v>0</v>
      </c>
      <c r="H244" s="11">
        <v>0</v>
      </c>
      <c r="I244" s="11">
        <v>593.91999999999996</v>
      </c>
      <c r="J244" s="11">
        <v>-593.91999999999996</v>
      </c>
      <c r="K244" s="12">
        <v>0</v>
      </c>
      <c r="L244" s="9" t="s">
        <v>120</v>
      </c>
      <c r="M244" s="9" t="s">
        <v>46</v>
      </c>
      <c r="N244" s="9" t="s">
        <v>120</v>
      </c>
      <c r="O244" s="9">
        <v>0</v>
      </c>
    </row>
    <row r="245" spans="1:15" x14ac:dyDescent="0.2">
      <c r="A245" s="9" t="s">
        <v>426</v>
      </c>
      <c r="B245" s="10">
        <v>45891</v>
      </c>
      <c r="C245" s="9" t="s">
        <v>425</v>
      </c>
      <c r="D245" s="9" t="s">
        <v>46</v>
      </c>
      <c r="E245" s="9" t="s">
        <v>192</v>
      </c>
      <c r="F245" s="11">
        <v>0</v>
      </c>
      <c r="G245" s="11">
        <v>0</v>
      </c>
      <c r="H245" s="11">
        <v>0</v>
      </c>
      <c r="I245" s="11">
        <v>7.11</v>
      </c>
      <c r="J245" s="11">
        <v>-7.11</v>
      </c>
      <c r="K245" s="12">
        <v>0</v>
      </c>
      <c r="L245" s="9" t="s">
        <v>120</v>
      </c>
      <c r="M245" s="9" t="s">
        <v>46</v>
      </c>
      <c r="N245" s="9" t="s">
        <v>120</v>
      </c>
      <c r="O245" s="9">
        <v>0</v>
      </c>
    </row>
    <row r="246" spans="1:15" x14ac:dyDescent="0.2">
      <c r="A246" s="9" t="s">
        <v>424</v>
      </c>
      <c r="B246" s="10">
        <v>45895</v>
      </c>
      <c r="C246" s="9" t="s">
        <v>425</v>
      </c>
      <c r="D246" s="9" t="s">
        <v>46</v>
      </c>
      <c r="E246" s="9" t="s">
        <v>192</v>
      </c>
      <c r="F246" s="11">
        <v>0</v>
      </c>
      <c r="G246" s="11">
        <v>0</v>
      </c>
      <c r="H246" s="11">
        <v>0</v>
      </c>
      <c r="I246" s="11">
        <v>100</v>
      </c>
      <c r="J246" s="11">
        <v>-100</v>
      </c>
      <c r="K246" s="12">
        <v>0</v>
      </c>
      <c r="L246" s="9" t="s">
        <v>120</v>
      </c>
      <c r="M246" s="9" t="s">
        <v>46</v>
      </c>
      <c r="N246" s="9" t="s">
        <v>120</v>
      </c>
      <c r="O246" s="9">
        <v>0</v>
      </c>
    </row>
    <row r="247" spans="1:15" x14ac:dyDescent="0.2">
      <c r="A247" s="9" t="s">
        <v>427</v>
      </c>
      <c r="B247" s="10">
        <v>45895</v>
      </c>
      <c r="C247" s="9" t="s">
        <v>425</v>
      </c>
      <c r="D247" s="9" t="s">
        <v>46</v>
      </c>
      <c r="E247" s="9" t="s">
        <v>192</v>
      </c>
      <c r="F247" s="11">
        <v>0</v>
      </c>
      <c r="G247" s="11">
        <v>0</v>
      </c>
      <c r="H247" s="11">
        <v>0</v>
      </c>
      <c r="I247" s="11">
        <v>38.229999999999997</v>
      </c>
      <c r="J247" s="11">
        <v>-38.229999999999997</v>
      </c>
      <c r="K247" s="12">
        <v>0</v>
      </c>
      <c r="L247" s="9" t="s">
        <v>120</v>
      </c>
      <c r="M247" s="9" t="s">
        <v>46</v>
      </c>
      <c r="N247" s="9" t="s">
        <v>120</v>
      </c>
      <c r="O247" s="9">
        <v>0</v>
      </c>
    </row>
    <row r="248" spans="1:15" x14ac:dyDescent="0.2">
      <c r="A248" s="9" t="s">
        <v>428</v>
      </c>
      <c r="B248" s="10">
        <v>45898</v>
      </c>
      <c r="C248" s="9" t="s">
        <v>425</v>
      </c>
      <c r="D248" s="9" t="s">
        <v>46</v>
      </c>
      <c r="E248" s="9" t="s">
        <v>192</v>
      </c>
      <c r="F248" s="11">
        <v>10981.63</v>
      </c>
      <c r="G248" s="11">
        <v>0</v>
      </c>
      <c r="H248" s="11">
        <v>10981.63</v>
      </c>
      <c r="I248" s="11">
        <v>7515.77</v>
      </c>
      <c r="J248" s="11">
        <v>3465.86</v>
      </c>
      <c r="K248" s="12">
        <v>0.31560524000000001</v>
      </c>
      <c r="L248" s="9" t="s">
        <v>120</v>
      </c>
      <c r="M248" s="9" t="s">
        <v>46</v>
      </c>
      <c r="N248" s="9" t="s">
        <v>120</v>
      </c>
      <c r="O248" s="9">
        <v>1</v>
      </c>
    </row>
    <row r="249" spans="1:15" x14ac:dyDescent="0.2">
      <c r="A249" s="9" t="s">
        <v>426</v>
      </c>
      <c r="B249" s="10">
        <v>45898</v>
      </c>
      <c r="C249" s="9" t="s">
        <v>425</v>
      </c>
      <c r="D249" s="9" t="s">
        <v>46</v>
      </c>
      <c r="E249" s="9" t="s">
        <v>192</v>
      </c>
      <c r="F249" s="11">
        <v>0</v>
      </c>
      <c r="G249" s="11">
        <v>0</v>
      </c>
      <c r="H249" s="11">
        <v>0</v>
      </c>
      <c r="I249" s="11">
        <v>7200</v>
      </c>
      <c r="J249" s="11">
        <v>-7200</v>
      </c>
      <c r="K249" s="12">
        <v>0</v>
      </c>
      <c r="L249" s="9" t="s">
        <v>120</v>
      </c>
      <c r="M249" s="9" t="s">
        <v>46</v>
      </c>
      <c r="N249" s="9" t="s">
        <v>120</v>
      </c>
      <c r="O249" s="9">
        <v>0</v>
      </c>
    </row>
    <row r="250" spans="1:15" x14ac:dyDescent="0.2">
      <c r="A250" s="9" t="s">
        <v>429</v>
      </c>
      <c r="B250" s="10">
        <v>45873</v>
      </c>
      <c r="C250" s="9" t="s">
        <v>430</v>
      </c>
      <c r="D250" s="9" t="s">
        <v>65</v>
      </c>
      <c r="E250" s="9" t="s">
        <v>227</v>
      </c>
      <c r="F250" s="11">
        <v>2171.69</v>
      </c>
      <c r="G250" s="11">
        <v>0</v>
      </c>
      <c r="H250" s="11">
        <v>2171.69</v>
      </c>
      <c r="I250" s="11">
        <v>1560.36</v>
      </c>
      <c r="J250" s="11">
        <v>611.33000000000004</v>
      </c>
      <c r="K250" s="12">
        <v>0.28149965999999998</v>
      </c>
      <c r="L250" s="9" t="s">
        <v>126</v>
      </c>
      <c r="M250" s="9" t="s">
        <v>65</v>
      </c>
      <c r="N250" s="9" t="s">
        <v>126</v>
      </c>
      <c r="O250" s="9">
        <v>1</v>
      </c>
    </row>
    <row r="251" spans="1:15" x14ac:dyDescent="0.2">
      <c r="A251" s="9" t="s">
        <v>431</v>
      </c>
      <c r="B251" s="10">
        <v>45875</v>
      </c>
      <c r="C251" s="9" t="s">
        <v>432</v>
      </c>
      <c r="D251" s="9" t="s">
        <v>20</v>
      </c>
      <c r="E251" s="9" t="s">
        <v>227</v>
      </c>
      <c r="F251" s="11">
        <v>1450</v>
      </c>
      <c r="G251" s="11">
        <v>0</v>
      </c>
      <c r="H251" s="11">
        <v>1450</v>
      </c>
      <c r="I251" s="11">
        <v>1090.5999999999999</v>
      </c>
      <c r="J251" s="11">
        <v>359.4</v>
      </c>
      <c r="K251" s="12">
        <v>0.24786206999999999</v>
      </c>
      <c r="L251" s="9" t="s">
        <v>20</v>
      </c>
      <c r="M251" s="9" t="s">
        <v>20</v>
      </c>
      <c r="N251" s="9" t="s">
        <v>20</v>
      </c>
      <c r="O251" s="9">
        <v>1</v>
      </c>
    </row>
    <row r="252" spans="1:15" x14ac:dyDescent="0.2">
      <c r="A252" s="9" t="s">
        <v>433</v>
      </c>
      <c r="B252" s="10">
        <v>45870</v>
      </c>
      <c r="C252" s="9" t="s">
        <v>434</v>
      </c>
      <c r="D252" s="9" t="s">
        <v>76</v>
      </c>
      <c r="E252" s="9" t="s">
        <v>199</v>
      </c>
      <c r="F252" s="11">
        <v>0</v>
      </c>
      <c r="G252" s="11">
        <v>0</v>
      </c>
      <c r="H252" s="11">
        <v>0</v>
      </c>
      <c r="I252" s="11">
        <v>-4.5999999999999996</v>
      </c>
      <c r="J252" s="11">
        <v>4.5999999999999996</v>
      </c>
      <c r="K252" s="12">
        <v>0</v>
      </c>
      <c r="L252" s="9" t="s">
        <v>76</v>
      </c>
      <c r="M252" s="9" t="s">
        <v>106</v>
      </c>
      <c r="N252" s="9" t="s">
        <v>76</v>
      </c>
      <c r="O252" s="9">
        <v>0</v>
      </c>
    </row>
    <row r="253" spans="1:15" x14ac:dyDescent="0.2">
      <c r="A253" s="9" t="s">
        <v>433</v>
      </c>
      <c r="B253" s="10">
        <v>45880</v>
      </c>
      <c r="C253" s="9" t="s">
        <v>434</v>
      </c>
      <c r="D253" s="9" t="s">
        <v>76</v>
      </c>
      <c r="E253" s="9" t="s">
        <v>199</v>
      </c>
      <c r="F253" s="11">
        <v>0</v>
      </c>
      <c r="G253" s="11">
        <v>177</v>
      </c>
      <c r="H253" s="11">
        <v>177</v>
      </c>
      <c r="I253" s="11">
        <v>146.83000000000001</v>
      </c>
      <c r="J253" s="11">
        <v>30.17</v>
      </c>
      <c r="K253" s="12">
        <v>0.17045198</v>
      </c>
      <c r="L253" s="9" t="s">
        <v>76</v>
      </c>
      <c r="M253" s="9" t="s">
        <v>106</v>
      </c>
      <c r="N253" s="9" t="s">
        <v>76</v>
      </c>
      <c r="O253" s="9">
        <v>0</v>
      </c>
    </row>
    <row r="254" spans="1:15" x14ac:dyDescent="0.2">
      <c r="A254" s="9" t="s">
        <v>435</v>
      </c>
      <c r="B254" s="10">
        <v>45881</v>
      </c>
      <c r="C254" s="9" t="s">
        <v>434</v>
      </c>
      <c r="D254" s="9" t="s">
        <v>76</v>
      </c>
      <c r="E254" s="9" t="s">
        <v>199</v>
      </c>
      <c r="F254" s="11">
        <v>575.24</v>
      </c>
      <c r="G254" s="11">
        <v>0</v>
      </c>
      <c r="H254" s="11">
        <v>575.24</v>
      </c>
      <c r="I254" s="11">
        <v>458.16</v>
      </c>
      <c r="J254" s="11">
        <v>117.08</v>
      </c>
      <c r="K254" s="12">
        <v>0.20353244000000001</v>
      </c>
      <c r="L254" s="9" t="s">
        <v>76</v>
      </c>
      <c r="M254" s="9" t="s">
        <v>106</v>
      </c>
      <c r="N254" s="9" t="s">
        <v>76</v>
      </c>
      <c r="O254" s="9">
        <v>1</v>
      </c>
    </row>
    <row r="255" spans="1:15" x14ac:dyDescent="0.2">
      <c r="A255" s="9" t="s">
        <v>436</v>
      </c>
      <c r="B255" s="10">
        <v>45899</v>
      </c>
      <c r="C255" s="9" t="s">
        <v>434</v>
      </c>
      <c r="D255" s="9" t="s">
        <v>76</v>
      </c>
      <c r="E255" s="9" t="s">
        <v>199</v>
      </c>
      <c r="F255" s="11">
        <v>0</v>
      </c>
      <c r="G255" s="11">
        <v>0</v>
      </c>
      <c r="H255" s="11">
        <v>0</v>
      </c>
      <c r="I255" s="11">
        <v>160</v>
      </c>
      <c r="J255" s="11">
        <v>-160</v>
      </c>
      <c r="K255" s="12">
        <v>0</v>
      </c>
      <c r="L255" s="9" t="s">
        <v>76</v>
      </c>
      <c r="M255" s="9" t="s">
        <v>106</v>
      </c>
      <c r="N255" s="9" t="s">
        <v>76</v>
      </c>
      <c r="O255" s="9">
        <v>0</v>
      </c>
    </row>
    <row r="256" spans="1:15" x14ac:dyDescent="0.2">
      <c r="A256" s="9" t="s">
        <v>437</v>
      </c>
      <c r="B256" s="10">
        <v>45884</v>
      </c>
      <c r="C256" s="9" t="s">
        <v>115</v>
      </c>
      <c r="D256" s="9" t="s">
        <v>106</v>
      </c>
      <c r="E256" s="9" t="s">
        <v>199</v>
      </c>
      <c r="F256" s="11">
        <v>176445.96</v>
      </c>
      <c r="G256" s="11">
        <v>0</v>
      </c>
      <c r="H256" s="11">
        <v>176445.96</v>
      </c>
      <c r="I256" s="11">
        <v>130722.13</v>
      </c>
      <c r="J256" s="11">
        <v>45723.83</v>
      </c>
      <c r="K256" s="12">
        <v>0.25913786999999999</v>
      </c>
      <c r="L256" s="9" t="s">
        <v>316</v>
      </c>
      <c r="M256" s="9" t="s">
        <v>106</v>
      </c>
      <c r="N256" s="9" t="s">
        <v>111</v>
      </c>
      <c r="O256" s="9">
        <v>1</v>
      </c>
    </row>
    <row r="257" spans="1:15" x14ac:dyDescent="0.2">
      <c r="A257" s="9" t="s">
        <v>437</v>
      </c>
      <c r="B257" s="10">
        <v>45887</v>
      </c>
      <c r="C257" s="9" t="s">
        <v>115</v>
      </c>
      <c r="D257" s="9" t="s">
        <v>106</v>
      </c>
      <c r="E257" s="9" t="s">
        <v>199</v>
      </c>
      <c r="F257" s="11">
        <v>0</v>
      </c>
      <c r="G257" s="11">
        <v>-1600</v>
      </c>
      <c r="H257" s="11">
        <v>-1600</v>
      </c>
      <c r="I257" s="11">
        <v>-1257.4000000000001</v>
      </c>
      <c r="J257" s="11">
        <v>-342.6</v>
      </c>
      <c r="K257" s="12">
        <v>0.21412500000000001</v>
      </c>
      <c r="L257" s="9" t="s">
        <v>316</v>
      </c>
      <c r="M257" s="9" t="s">
        <v>106</v>
      </c>
      <c r="N257" s="9" t="s">
        <v>111</v>
      </c>
      <c r="O257" s="9">
        <v>0</v>
      </c>
    </row>
    <row r="258" spans="1:15" x14ac:dyDescent="0.2">
      <c r="A258" s="9" t="s">
        <v>437</v>
      </c>
      <c r="B258" s="10">
        <v>45888</v>
      </c>
      <c r="C258" s="9" t="s">
        <v>115</v>
      </c>
      <c r="D258" s="9" t="s">
        <v>106</v>
      </c>
      <c r="E258" s="9" t="s">
        <v>199</v>
      </c>
      <c r="F258" s="11">
        <v>0</v>
      </c>
      <c r="G258" s="11">
        <v>0</v>
      </c>
      <c r="H258" s="11">
        <v>0</v>
      </c>
      <c r="I258" s="11">
        <v>-115.34</v>
      </c>
      <c r="J258" s="11">
        <v>115.34</v>
      </c>
      <c r="K258" s="12">
        <v>0</v>
      </c>
      <c r="L258" s="9" t="s">
        <v>316</v>
      </c>
      <c r="M258" s="9" t="s">
        <v>106</v>
      </c>
      <c r="N258" s="9" t="s">
        <v>111</v>
      </c>
      <c r="O258" s="9">
        <v>0</v>
      </c>
    </row>
    <row r="259" spans="1:15" x14ac:dyDescent="0.2">
      <c r="A259" s="9" t="s">
        <v>437</v>
      </c>
      <c r="B259" s="10">
        <v>45889</v>
      </c>
      <c r="C259" s="9" t="s">
        <v>115</v>
      </c>
      <c r="D259" s="9" t="s">
        <v>106</v>
      </c>
      <c r="E259" s="9" t="s">
        <v>199</v>
      </c>
      <c r="F259" s="11">
        <v>0</v>
      </c>
      <c r="G259" s="11">
        <v>46.47</v>
      </c>
      <c r="H259" s="11">
        <v>46.47</v>
      </c>
      <c r="I259" s="11">
        <v>33.83</v>
      </c>
      <c r="J259" s="11">
        <v>12.64</v>
      </c>
      <c r="K259" s="12">
        <v>0.27200343999999999</v>
      </c>
      <c r="L259" s="9" t="s">
        <v>316</v>
      </c>
      <c r="M259" s="9" t="s">
        <v>106</v>
      </c>
      <c r="N259" s="9" t="s">
        <v>111</v>
      </c>
      <c r="O259" s="9">
        <v>0</v>
      </c>
    </row>
    <row r="260" spans="1:15" x14ac:dyDescent="0.2">
      <c r="A260" s="9" t="s">
        <v>437</v>
      </c>
      <c r="B260" s="10">
        <v>45890</v>
      </c>
      <c r="C260" s="9" t="s">
        <v>115</v>
      </c>
      <c r="D260" s="9" t="s">
        <v>106</v>
      </c>
      <c r="E260" s="9" t="s">
        <v>199</v>
      </c>
      <c r="F260" s="11">
        <v>0</v>
      </c>
      <c r="G260" s="11">
        <v>-35</v>
      </c>
      <c r="H260" s="11">
        <v>-35</v>
      </c>
      <c r="I260" s="11">
        <v>-188.52</v>
      </c>
      <c r="J260" s="11">
        <v>153.52000000000001</v>
      </c>
      <c r="K260" s="12">
        <v>-4.3862857100000001</v>
      </c>
      <c r="L260" s="9" t="s">
        <v>316</v>
      </c>
      <c r="M260" s="9" t="s">
        <v>106</v>
      </c>
      <c r="N260" s="9" t="s">
        <v>111</v>
      </c>
      <c r="O260" s="9">
        <v>0</v>
      </c>
    </row>
    <row r="261" spans="1:15" x14ac:dyDescent="0.2">
      <c r="A261" s="9" t="s">
        <v>438</v>
      </c>
      <c r="B261" s="10">
        <v>45896</v>
      </c>
      <c r="C261" s="9" t="s">
        <v>439</v>
      </c>
      <c r="D261" s="9" t="s">
        <v>19</v>
      </c>
      <c r="E261" s="9" t="s">
        <v>192</v>
      </c>
      <c r="F261" s="11">
        <v>0</v>
      </c>
      <c r="G261" s="11">
        <v>0</v>
      </c>
      <c r="H261" s="11">
        <v>0</v>
      </c>
      <c r="I261" s="11">
        <v>69.489999999999995</v>
      </c>
      <c r="J261" s="11">
        <v>-69.489999999999995</v>
      </c>
      <c r="K261" s="12">
        <v>0</v>
      </c>
      <c r="L261" s="9" t="s">
        <v>131</v>
      </c>
      <c r="M261" s="9" t="s">
        <v>19</v>
      </c>
      <c r="N261" s="9" t="s">
        <v>131</v>
      </c>
      <c r="O261" s="9">
        <v>0</v>
      </c>
    </row>
    <row r="262" spans="1:15" x14ac:dyDescent="0.2">
      <c r="A262" s="9" t="s">
        <v>440</v>
      </c>
      <c r="B262" s="10">
        <v>45891</v>
      </c>
      <c r="C262" s="9" t="s">
        <v>441</v>
      </c>
      <c r="D262" s="9" t="s">
        <v>15</v>
      </c>
      <c r="E262" s="9" t="s">
        <v>227</v>
      </c>
      <c r="F262" s="11">
        <v>0</v>
      </c>
      <c r="G262" s="11">
        <v>0</v>
      </c>
      <c r="H262" s="11">
        <v>0</v>
      </c>
      <c r="I262" s="11">
        <v>360</v>
      </c>
      <c r="J262" s="11">
        <v>-360</v>
      </c>
      <c r="K262" s="12">
        <v>0</v>
      </c>
      <c r="L262" s="9" t="s">
        <v>153</v>
      </c>
      <c r="M262" s="9" t="s">
        <v>15</v>
      </c>
      <c r="N262" s="9" t="s">
        <v>153</v>
      </c>
      <c r="O262" s="9">
        <v>0</v>
      </c>
    </row>
    <row r="263" spans="1:15" x14ac:dyDescent="0.2">
      <c r="A263" s="9" t="s">
        <v>442</v>
      </c>
      <c r="B263" s="10">
        <v>45873</v>
      </c>
      <c r="C263" s="9" t="s">
        <v>443</v>
      </c>
      <c r="D263" s="9" t="s">
        <v>122</v>
      </c>
      <c r="E263" s="9" t="s">
        <v>227</v>
      </c>
      <c r="F263" s="11">
        <v>3610</v>
      </c>
      <c r="G263" s="11">
        <v>0</v>
      </c>
      <c r="H263" s="11">
        <v>3610</v>
      </c>
      <c r="I263" s="11">
        <v>2705.95</v>
      </c>
      <c r="J263" s="11">
        <v>904.05</v>
      </c>
      <c r="K263" s="12">
        <v>0.25042935999999999</v>
      </c>
      <c r="L263" s="9" t="s">
        <v>122</v>
      </c>
      <c r="M263" s="9" t="s">
        <v>65</v>
      </c>
      <c r="N263" s="9" t="s">
        <v>122</v>
      </c>
      <c r="O263" s="9">
        <v>1</v>
      </c>
    </row>
    <row r="264" spans="1:15" x14ac:dyDescent="0.2">
      <c r="A264" s="9" t="s">
        <v>444</v>
      </c>
      <c r="B264" s="10">
        <v>45890</v>
      </c>
      <c r="C264" s="9" t="s">
        <v>445</v>
      </c>
      <c r="D264" s="9" t="s">
        <v>48</v>
      </c>
      <c r="E264" s="9" t="s">
        <v>192</v>
      </c>
      <c r="F264" s="11">
        <v>0</v>
      </c>
      <c r="G264" s="11">
        <v>0</v>
      </c>
      <c r="H264" s="11">
        <v>0</v>
      </c>
      <c r="I264" s="11">
        <v>270.58999999999997</v>
      </c>
      <c r="J264" s="11">
        <v>-270.58999999999997</v>
      </c>
      <c r="K264" s="12">
        <v>0</v>
      </c>
      <c r="L264" s="9" t="s">
        <v>144</v>
      </c>
      <c r="M264" s="9" t="s">
        <v>48</v>
      </c>
      <c r="N264" s="9" t="s">
        <v>144</v>
      </c>
      <c r="O264" s="9">
        <v>0</v>
      </c>
    </row>
    <row r="265" spans="1:15" x14ac:dyDescent="0.2">
      <c r="A265" s="9" t="s">
        <v>446</v>
      </c>
      <c r="B265" s="10">
        <v>45888</v>
      </c>
      <c r="C265" s="9" t="s">
        <v>447</v>
      </c>
      <c r="D265" s="9" t="s">
        <v>268</v>
      </c>
      <c r="E265" s="9" t="s">
        <v>199</v>
      </c>
      <c r="F265" s="11">
        <v>0</v>
      </c>
      <c r="G265" s="11">
        <v>0</v>
      </c>
      <c r="H265" s="11">
        <v>0</v>
      </c>
      <c r="I265" s="11">
        <v>-75</v>
      </c>
      <c r="J265" s="11">
        <v>75</v>
      </c>
      <c r="K265" s="12">
        <v>0</v>
      </c>
      <c r="L265" s="9" t="s">
        <v>109</v>
      </c>
      <c r="M265" s="9" t="s">
        <v>268</v>
      </c>
      <c r="N265" s="9" t="s">
        <v>109</v>
      </c>
      <c r="O265" s="9">
        <v>0</v>
      </c>
    </row>
    <row r="266" spans="1:15" x14ac:dyDescent="0.2">
      <c r="A266" s="9" t="s">
        <v>448</v>
      </c>
      <c r="B266" s="10">
        <v>45874</v>
      </c>
      <c r="C266" s="9" t="s">
        <v>449</v>
      </c>
      <c r="D266" s="9" t="s">
        <v>15</v>
      </c>
      <c r="E266" s="9" t="s">
        <v>227</v>
      </c>
      <c r="F266" s="11">
        <v>1811.32</v>
      </c>
      <c r="G266" s="11">
        <v>0</v>
      </c>
      <c r="H266" s="11">
        <v>1811.32</v>
      </c>
      <c r="I266" s="11">
        <v>1504.25</v>
      </c>
      <c r="J266" s="11">
        <v>307.07</v>
      </c>
      <c r="K266" s="12">
        <v>0.16952829999999999</v>
      </c>
      <c r="L266" s="9" t="s">
        <v>153</v>
      </c>
      <c r="M266" s="9" t="s">
        <v>15</v>
      </c>
      <c r="N266" s="9" t="s">
        <v>153</v>
      </c>
      <c r="O266" s="9">
        <v>1</v>
      </c>
    </row>
    <row r="267" spans="1:15" x14ac:dyDescent="0.2">
      <c r="A267" s="9" t="s">
        <v>448</v>
      </c>
      <c r="B267" s="10">
        <v>45875</v>
      </c>
      <c r="C267" s="9" t="s">
        <v>449</v>
      </c>
      <c r="D267" s="9" t="s">
        <v>15</v>
      </c>
      <c r="E267" s="9" t="s">
        <v>227</v>
      </c>
      <c r="F267" s="11">
        <v>0</v>
      </c>
      <c r="G267" s="11">
        <v>0</v>
      </c>
      <c r="H267" s="11">
        <v>0</v>
      </c>
      <c r="I267" s="11">
        <v>36.979999999999997</v>
      </c>
      <c r="J267" s="11">
        <v>-36.979999999999997</v>
      </c>
      <c r="K267" s="12">
        <v>0</v>
      </c>
      <c r="L267" s="9" t="s">
        <v>153</v>
      </c>
      <c r="M267" s="9" t="s">
        <v>15</v>
      </c>
      <c r="N267" s="9" t="s">
        <v>153</v>
      </c>
      <c r="O267" s="9">
        <v>0</v>
      </c>
    </row>
    <row r="268" spans="1:15" x14ac:dyDescent="0.2">
      <c r="A268" s="9" t="s">
        <v>450</v>
      </c>
      <c r="B268" s="10">
        <v>45876</v>
      </c>
      <c r="C268" s="9" t="s">
        <v>449</v>
      </c>
      <c r="D268" s="9" t="s">
        <v>15</v>
      </c>
      <c r="E268" s="9" t="s">
        <v>227</v>
      </c>
      <c r="F268" s="11">
        <v>0</v>
      </c>
      <c r="G268" s="11">
        <v>0</v>
      </c>
      <c r="H268" s="11">
        <v>0</v>
      </c>
      <c r="I268" s="11">
        <v>404.99</v>
      </c>
      <c r="J268" s="11">
        <v>-404.99</v>
      </c>
      <c r="K268" s="12">
        <v>0</v>
      </c>
      <c r="L268" s="9" t="s">
        <v>153</v>
      </c>
      <c r="M268" s="9" t="s">
        <v>15</v>
      </c>
      <c r="N268" s="9" t="s">
        <v>153</v>
      </c>
      <c r="O268" s="9">
        <v>0</v>
      </c>
    </row>
    <row r="269" spans="1:15" x14ac:dyDescent="0.2">
      <c r="A269" s="9" t="s">
        <v>450</v>
      </c>
      <c r="B269" s="10">
        <v>45881</v>
      </c>
      <c r="C269" s="9" t="s">
        <v>449</v>
      </c>
      <c r="D269" s="9" t="s">
        <v>15</v>
      </c>
      <c r="E269" s="9" t="s">
        <v>227</v>
      </c>
      <c r="F269" s="11">
        <v>0</v>
      </c>
      <c r="G269" s="11">
        <v>0</v>
      </c>
      <c r="H269" s="11">
        <v>0</v>
      </c>
      <c r="I269" s="11">
        <v>811.3</v>
      </c>
      <c r="J269" s="11">
        <v>-811.3</v>
      </c>
      <c r="K269" s="12">
        <v>0</v>
      </c>
      <c r="L269" s="9" t="s">
        <v>153</v>
      </c>
      <c r="M269" s="9" t="s">
        <v>15</v>
      </c>
      <c r="N269" s="9" t="s">
        <v>153</v>
      </c>
      <c r="O269" s="9">
        <v>0</v>
      </c>
    </row>
    <row r="270" spans="1:15" x14ac:dyDescent="0.2">
      <c r="A270" s="9" t="s">
        <v>450</v>
      </c>
      <c r="B270" s="10">
        <v>45883</v>
      </c>
      <c r="C270" s="9" t="s">
        <v>449</v>
      </c>
      <c r="D270" s="9" t="s">
        <v>15</v>
      </c>
      <c r="E270" s="9" t="s">
        <v>227</v>
      </c>
      <c r="F270" s="11">
        <v>0</v>
      </c>
      <c r="G270" s="11">
        <v>0</v>
      </c>
      <c r="H270" s="11">
        <v>0</v>
      </c>
      <c r="I270" s="11">
        <v>-72.84</v>
      </c>
      <c r="J270" s="11">
        <v>72.84</v>
      </c>
      <c r="K270" s="12">
        <v>0</v>
      </c>
      <c r="L270" s="9" t="s">
        <v>153</v>
      </c>
      <c r="M270" s="9" t="s">
        <v>15</v>
      </c>
      <c r="N270" s="9" t="s">
        <v>153</v>
      </c>
      <c r="O270" s="9">
        <v>0</v>
      </c>
    </row>
    <row r="271" spans="1:15" x14ac:dyDescent="0.2">
      <c r="A271" s="9" t="s">
        <v>450</v>
      </c>
      <c r="B271" s="10">
        <v>45884</v>
      </c>
      <c r="C271" s="9" t="s">
        <v>449</v>
      </c>
      <c r="D271" s="9" t="s">
        <v>15</v>
      </c>
      <c r="E271" s="9" t="s">
        <v>227</v>
      </c>
      <c r="F271" s="11">
        <v>0</v>
      </c>
      <c r="G271" s="11">
        <v>0</v>
      </c>
      <c r="H271" s="11">
        <v>0</v>
      </c>
      <c r="I271" s="11">
        <v>331.6</v>
      </c>
      <c r="J271" s="11">
        <v>-331.6</v>
      </c>
      <c r="K271" s="12">
        <v>0</v>
      </c>
      <c r="L271" s="9" t="s">
        <v>153</v>
      </c>
      <c r="M271" s="9" t="s">
        <v>15</v>
      </c>
      <c r="N271" s="9" t="s">
        <v>153</v>
      </c>
      <c r="O271" s="9">
        <v>0</v>
      </c>
    </row>
    <row r="272" spans="1:15" x14ac:dyDescent="0.2">
      <c r="A272" s="9" t="s">
        <v>450</v>
      </c>
      <c r="B272" s="10">
        <v>45889</v>
      </c>
      <c r="C272" s="9" t="s">
        <v>449</v>
      </c>
      <c r="D272" s="9" t="s">
        <v>15</v>
      </c>
      <c r="E272" s="9" t="s">
        <v>227</v>
      </c>
      <c r="F272" s="11">
        <v>0</v>
      </c>
      <c r="G272" s="11">
        <v>0</v>
      </c>
      <c r="H272" s="11">
        <v>0</v>
      </c>
      <c r="I272" s="11">
        <v>8.2899999999999991</v>
      </c>
      <c r="J272" s="11">
        <v>-8.2899999999999991</v>
      </c>
      <c r="K272" s="12">
        <v>0</v>
      </c>
      <c r="L272" s="9" t="s">
        <v>153</v>
      </c>
      <c r="M272" s="9" t="s">
        <v>15</v>
      </c>
      <c r="N272" s="9" t="s">
        <v>153</v>
      </c>
      <c r="O272" s="9">
        <v>0</v>
      </c>
    </row>
    <row r="273" spans="1:15" x14ac:dyDescent="0.2">
      <c r="A273" s="9" t="s">
        <v>450</v>
      </c>
      <c r="B273" s="10">
        <v>45890</v>
      </c>
      <c r="C273" s="9" t="s">
        <v>449</v>
      </c>
      <c r="D273" s="9" t="s">
        <v>15</v>
      </c>
      <c r="E273" s="9" t="s">
        <v>227</v>
      </c>
      <c r="F273" s="11">
        <v>0</v>
      </c>
      <c r="G273" s="11">
        <v>0</v>
      </c>
      <c r="H273" s="11">
        <v>0</v>
      </c>
      <c r="I273" s="11">
        <v>194.15</v>
      </c>
      <c r="J273" s="11">
        <v>-194.15</v>
      </c>
      <c r="K273" s="12">
        <v>0</v>
      </c>
      <c r="L273" s="9" t="s">
        <v>153</v>
      </c>
      <c r="M273" s="9" t="s">
        <v>15</v>
      </c>
      <c r="N273" s="9" t="s">
        <v>153</v>
      </c>
      <c r="O273" s="9">
        <v>0</v>
      </c>
    </row>
    <row r="274" spans="1:15" x14ac:dyDescent="0.2">
      <c r="A274" s="9" t="s">
        <v>451</v>
      </c>
      <c r="B274" s="10">
        <v>45873</v>
      </c>
      <c r="C274" s="9" t="s">
        <v>452</v>
      </c>
      <c r="D274" s="9" t="s">
        <v>19</v>
      </c>
      <c r="E274" s="9" t="s">
        <v>192</v>
      </c>
      <c r="F274" s="11">
        <v>0</v>
      </c>
      <c r="G274" s="11">
        <v>0</v>
      </c>
      <c r="H274" s="11">
        <v>0</v>
      </c>
      <c r="I274" s="11">
        <v>155.41999999999999</v>
      </c>
      <c r="J274" s="11">
        <v>-155.41999999999999</v>
      </c>
      <c r="K274" s="12">
        <v>0</v>
      </c>
      <c r="L274" s="9" t="s">
        <v>131</v>
      </c>
      <c r="M274" s="9" t="s">
        <v>19</v>
      </c>
      <c r="N274" s="9" t="s">
        <v>131</v>
      </c>
      <c r="O274" s="9">
        <v>0</v>
      </c>
    </row>
    <row r="275" spans="1:15" x14ac:dyDescent="0.2">
      <c r="A275" s="9" t="s">
        <v>451</v>
      </c>
      <c r="B275" s="10">
        <v>45882</v>
      </c>
      <c r="C275" s="9" t="s">
        <v>452</v>
      </c>
      <c r="D275" s="9" t="s">
        <v>19</v>
      </c>
      <c r="E275" s="9" t="s">
        <v>192</v>
      </c>
      <c r="F275" s="11">
        <v>0</v>
      </c>
      <c r="G275" s="11">
        <v>-756</v>
      </c>
      <c r="H275" s="11">
        <v>-756</v>
      </c>
      <c r="I275" s="11">
        <v>-564.48</v>
      </c>
      <c r="J275" s="11">
        <v>-191.52</v>
      </c>
      <c r="K275" s="12">
        <v>0.25333333000000002</v>
      </c>
      <c r="L275" s="9" t="s">
        <v>131</v>
      </c>
      <c r="M275" s="9" t="s">
        <v>19</v>
      </c>
      <c r="N275" s="9" t="s">
        <v>131</v>
      </c>
      <c r="O275" s="9">
        <v>0</v>
      </c>
    </row>
    <row r="276" spans="1:15" x14ac:dyDescent="0.2">
      <c r="A276" s="9" t="s">
        <v>451</v>
      </c>
      <c r="B276" s="10">
        <v>45895</v>
      </c>
      <c r="C276" s="9" t="s">
        <v>452</v>
      </c>
      <c r="D276" s="9" t="s">
        <v>19</v>
      </c>
      <c r="E276" s="9" t="s">
        <v>192</v>
      </c>
      <c r="F276" s="11">
        <v>0</v>
      </c>
      <c r="G276" s="11">
        <v>0</v>
      </c>
      <c r="H276" s="11">
        <v>0</v>
      </c>
      <c r="I276" s="11">
        <v>-0.59</v>
      </c>
      <c r="J276" s="11">
        <v>0.59</v>
      </c>
      <c r="K276" s="12">
        <v>0</v>
      </c>
      <c r="L276" s="9" t="s">
        <v>131</v>
      </c>
      <c r="M276" s="9" t="s">
        <v>19</v>
      </c>
      <c r="N276" s="9" t="s">
        <v>131</v>
      </c>
      <c r="O276" s="9">
        <v>0</v>
      </c>
    </row>
    <row r="277" spans="1:15" x14ac:dyDescent="0.2">
      <c r="A277" s="9" t="s">
        <v>451</v>
      </c>
      <c r="B277" s="10">
        <v>45897</v>
      </c>
      <c r="C277" s="9" t="s">
        <v>452</v>
      </c>
      <c r="D277" s="9" t="s">
        <v>19</v>
      </c>
      <c r="E277" s="9" t="s">
        <v>192</v>
      </c>
      <c r="F277" s="11">
        <v>0</v>
      </c>
      <c r="G277" s="11">
        <v>0</v>
      </c>
      <c r="H277" s="11">
        <v>0</v>
      </c>
      <c r="I277" s="11">
        <v>14.7</v>
      </c>
      <c r="J277" s="11">
        <v>-14.7</v>
      </c>
      <c r="K277" s="12">
        <v>0</v>
      </c>
      <c r="L277" s="9" t="s">
        <v>131</v>
      </c>
      <c r="M277" s="9" t="s">
        <v>19</v>
      </c>
      <c r="N277" s="9" t="s">
        <v>131</v>
      </c>
      <c r="O277" s="9">
        <v>0</v>
      </c>
    </row>
    <row r="278" spans="1:15" x14ac:dyDescent="0.2">
      <c r="A278" s="9" t="s">
        <v>453</v>
      </c>
      <c r="B278" s="10">
        <v>45881</v>
      </c>
      <c r="C278" s="9" t="s">
        <v>454</v>
      </c>
      <c r="D278" s="9" t="s">
        <v>46</v>
      </c>
      <c r="E278" s="9" t="s">
        <v>192</v>
      </c>
      <c r="F278" s="11">
        <v>0</v>
      </c>
      <c r="G278" s="11">
        <v>0</v>
      </c>
      <c r="H278" s="11">
        <v>0</v>
      </c>
      <c r="I278" s="11">
        <v>2326.0500000000002</v>
      </c>
      <c r="J278" s="11">
        <v>-2326.0500000000002</v>
      </c>
      <c r="K278" s="12">
        <v>0</v>
      </c>
      <c r="L278" s="9" t="s">
        <v>125</v>
      </c>
      <c r="M278" s="9" t="s">
        <v>46</v>
      </c>
      <c r="N278" s="9" t="s">
        <v>125</v>
      </c>
      <c r="O278" s="9">
        <v>0</v>
      </c>
    </row>
    <row r="279" spans="1:15" x14ac:dyDescent="0.2">
      <c r="A279" s="9" t="s">
        <v>455</v>
      </c>
      <c r="B279" s="10">
        <v>45881</v>
      </c>
      <c r="C279" s="9" t="s">
        <v>454</v>
      </c>
      <c r="D279" s="9" t="s">
        <v>46</v>
      </c>
      <c r="E279" s="9" t="s">
        <v>192</v>
      </c>
      <c r="F279" s="11">
        <v>0</v>
      </c>
      <c r="G279" s="11">
        <v>0</v>
      </c>
      <c r="H279" s="11">
        <v>0</v>
      </c>
      <c r="I279" s="11">
        <v>758.72</v>
      </c>
      <c r="J279" s="11">
        <v>-758.72</v>
      </c>
      <c r="K279" s="12">
        <v>0</v>
      </c>
      <c r="L279" s="9" t="s">
        <v>125</v>
      </c>
      <c r="M279" s="9" t="s">
        <v>46</v>
      </c>
      <c r="N279" s="9" t="s">
        <v>125</v>
      </c>
      <c r="O279" s="9">
        <v>0</v>
      </c>
    </row>
    <row r="280" spans="1:15" x14ac:dyDescent="0.2">
      <c r="A280" s="9" t="s">
        <v>456</v>
      </c>
      <c r="B280" s="10">
        <v>45881</v>
      </c>
      <c r="C280" s="9" t="s">
        <v>454</v>
      </c>
      <c r="D280" s="9" t="s">
        <v>46</v>
      </c>
      <c r="E280" s="9" t="s">
        <v>192</v>
      </c>
      <c r="F280" s="11">
        <v>0</v>
      </c>
      <c r="G280" s="11">
        <v>0</v>
      </c>
      <c r="H280" s="11">
        <v>0</v>
      </c>
      <c r="I280" s="11">
        <v>336.83</v>
      </c>
      <c r="J280" s="11">
        <v>-336.83</v>
      </c>
      <c r="K280" s="12">
        <v>0</v>
      </c>
      <c r="L280" s="9" t="s">
        <v>125</v>
      </c>
      <c r="M280" s="9" t="s">
        <v>46</v>
      </c>
      <c r="N280" s="9" t="s">
        <v>125</v>
      </c>
      <c r="O280" s="9">
        <v>0</v>
      </c>
    </row>
    <row r="281" spans="1:15" x14ac:dyDescent="0.2">
      <c r="A281" s="9" t="s">
        <v>457</v>
      </c>
      <c r="B281" s="10">
        <v>45888</v>
      </c>
      <c r="C281" s="9" t="s">
        <v>454</v>
      </c>
      <c r="D281" s="9" t="s">
        <v>46</v>
      </c>
      <c r="E281" s="9" t="s">
        <v>192</v>
      </c>
      <c r="F281" s="11">
        <v>0</v>
      </c>
      <c r="G281" s="11">
        <v>-10013.290000000001</v>
      </c>
      <c r="H281" s="11">
        <v>-10013.290000000001</v>
      </c>
      <c r="I281" s="11">
        <v>0</v>
      </c>
      <c r="J281" s="11">
        <v>-10013.290000000001</v>
      </c>
      <c r="K281" s="12">
        <v>1</v>
      </c>
      <c r="L281" s="9" t="s">
        <v>125</v>
      </c>
      <c r="M281" s="9" t="s">
        <v>46</v>
      </c>
      <c r="N281" s="9" t="s">
        <v>125</v>
      </c>
      <c r="O281" s="9">
        <v>0</v>
      </c>
    </row>
    <row r="282" spans="1:15" x14ac:dyDescent="0.2">
      <c r="A282" s="9" t="s">
        <v>453</v>
      </c>
      <c r="B282" s="10">
        <v>45889</v>
      </c>
      <c r="C282" s="9" t="s">
        <v>454</v>
      </c>
      <c r="D282" s="9" t="s">
        <v>46</v>
      </c>
      <c r="E282" s="9" t="s">
        <v>192</v>
      </c>
      <c r="F282" s="11">
        <v>0</v>
      </c>
      <c r="G282" s="11">
        <v>0</v>
      </c>
      <c r="H282" s="11">
        <v>0</v>
      </c>
      <c r="I282" s="11">
        <v>1550.7</v>
      </c>
      <c r="J282" s="11">
        <v>-1550.7</v>
      </c>
      <c r="K282" s="12">
        <v>0</v>
      </c>
      <c r="L282" s="9" t="s">
        <v>125</v>
      </c>
      <c r="M282" s="9" t="s">
        <v>46</v>
      </c>
      <c r="N282" s="9" t="s">
        <v>125</v>
      </c>
      <c r="O282" s="9">
        <v>0</v>
      </c>
    </row>
    <row r="283" spans="1:15" x14ac:dyDescent="0.2">
      <c r="A283" s="9" t="s">
        <v>455</v>
      </c>
      <c r="B283" s="10">
        <v>45889</v>
      </c>
      <c r="C283" s="9" t="s">
        <v>454</v>
      </c>
      <c r="D283" s="9" t="s">
        <v>46</v>
      </c>
      <c r="E283" s="9" t="s">
        <v>192</v>
      </c>
      <c r="F283" s="11">
        <v>0</v>
      </c>
      <c r="G283" s="11">
        <v>0</v>
      </c>
      <c r="H283" s="11">
        <v>0</v>
      </c>
      <c r="I283" s="11">
        <v>132.47999999999999</v>
      </c>
      <c r="J283" s="11">
        <v>-132.47999999999999</v>
      </c>
      <c r="K283" s="12">
        <v>0</v>
      </c>
      <c r="L283" s="9" t="s">
        <v>125</v>
      </c>
      <c r="M283" s="9" t="s">
        <v>46</v>
      </c>
      <c r="N283" s="9" t="s">
        <v>125</v>
      </c>
      <c r="O283" s="9">
        <v>0</v>
      </c>
    </row>
    <row r="284" spans="1:15" x14ac:dyDescent="0.2">
      <c r="A284" s="9" t="s">
        <v>457</v>
      </c>
      <c r="B284" s="10">
        <v>45889</v>
      </c>
      <c r="C284" s="9" t="s">
        <v>454</v>
      </c>
      <c r="D284" s="9" t="s">
        <v>46</v>
      </c>
      <c r="E284" s="9" t="s">
        <v>192</v>
      </c>
      <c r="F284" s="11">
        <v>0</v>
      </c>
      <c r="G284" s="11">
        <v>0</v>
      </c>
      <c r="H284" s="11">
        <v>0</v>
      </c>
      <c r="I284" s="11">
        <v>2407.0500000000002</v>
      </c>
      <c r="J284" s="11">
        <v>-2407.0500000000002</v>
      </c>
      <c r="K284" s="12">
        <v>0</v>
      </c>
      <c r="L284" s="9" t="s">
        <v>125</v>
      </c>
      <c r="M284" s="9" t="s">
        <v>46</v>
      </c>
      <c r="N284" s="9" t="s">
        <v>125</v>
      </c>
      <c r="O284" s="9">
        <v>0</v>
      </c>
    </row>
    <row r="285" spans="1:15" x14ac:dyDescent="0.2">
      <c r="A285" s="9" t="s">
        <v>456</v>
      </c>
      <c r="B285" s="10">
        <v>45889</v>
      </c>
      <c r="C285" s="9" t="s">
        <v>454</v>
      </c>
      <c r="D285" s="9" t="s">
        <v>46</v>
      </c>
      <c r="E285" s="9" t="s">
        <v>192</v>
      </c>
      <c r="F285" s="11">
        <v>0</v>
      </c>
      <c r="G285" s="11">
        <v>0</v>
      </c>
      <c r="H285" s="11">
        <v>0</v>
      </c>
      <c r="I285" s="11">
        <v>224.55</v>
      </c>
      <c r="J285" s="11">
        <v>-224.55</v>
      </c>
      <c r="K285" s="12">
        <v>0</v>
      </c>
      <c r="L285" s="9" t="s">
        <v>125</v>
      </c>
      <c r="M285" s="9" t="s">
        <v>46</v>
      </c>
      <c r="N285" s="9" t="s">
        <v>125</v>
      </c>
      <c r="O285" s="9">
        <v>0</v>
      </c>
    </row>
    <row r="286" spans="1:15" x14ac:dyDescent="0.2">
      <c r="A286" s="9" t="s">
        <v>453</v>
      </c>
      <c r="B286" s="10">
        <v>45891</v>
      </c>
      <c r="C286" s="9" t="s">
        <v>454</v>
      </c>
      <c r="D286" s="9" t="s">
        <v>46</v>
      </c>
      <c r="E286" s="9" t="s">
        <v>192</v>
      </c>
      <c r="F286" s="11">
        <v>0</v>
      </c>
      <c r="G286" s="11">
        <v>4191.08</v>
      </c>
      <c r="H286" s="11">
        <v>4191.08</v>
      </c>
      <c r="I286" s="11">
        <v>0</v>
      </c>
      <c r="J286" s="11">
        <v>4191.08</v>
      </c>
      <c r="K286" s="12">
        <v>1</v>
      </c>
      <c r="L286" s="9" t="s">
        <v>125</v>
      </c>
      <c r="M286" s="9" t="s">
        <v>46</v>
      </c>
      <c r="N286" s="9" t="s">
        <v>125</v>
      </c>
      <c r="O286" s="9">
        <v>0</v>
      </c>
    </row>
    <row r="287" spans="1:15" x14ac:dyDescent="0.2">
      <c r="A287" s="9" t="s">
        <v>455</v>
      </c>
      <c r="B287" s="10">
        <v>45891</v>
      </c>
      <c r="C287" s="9" t="s">
        <v>454</v>
      </c>
      <c r="D287" s="9" t="s">
        <v>46</v>
      </c>
      <c r="E287" s="9" t="s">
        <v>192</v>
      </c>
      <c r="F287" s="11">
        <v>0</v>
      </c>
      <c r="G287" s="11">
        <v>358.05</v>
      </c>
      <c r="H287" s="11">
        <v>358.05</v>
      </c>
      <c r="I287" s="11">
        <v>0</v>
      </c>
      <c r="J287" s="11">
        <v>358.05</v>
      </c>
      <c r="K287" s="12">
        <v>1</v>
      </c>
      <c r="L287" s="9" t="s">
        <v>125</v>
      </c>
      <c r="M287" s="9" t="s">
        <v>46</v>
      </c>
      <c r="N287" s="9" t="s">
        <v>125</v>
      </c>
      <c r="O287" s="9">
        <v>0</v>
      </c>
    </row>
    <row r="288" spans="1:15" x14ac:dyDescent="0.2">
      <c r="A288" s="9" t="s">
        <v>457</v>
      </c>
      <c r="B288" s="10">
        <v>45891</v>
      </c>
      <c r="C288" s="9" t="s">
        <v>454</v>
      </c>
      <c r="D288" s="9" t="s">
        <v>46</v>
      </c>
      <c r="E288" s="9" t="s">
        <v>192</v>
      </c>
      <c r="F288" s="11">
        <v>0</v>
      </c>
      <c r="G288" s="11">
        <v>2602.2199999999998</v>
      </c>
      <c r="H288" s="11">
        <v>2602.2199999999998</v>
      </c>
      <c r="I288" s="11">
        <v>0</v>
      </c>
      <c r="J288" s="11">
        <v>2602.2199999999998</v>
      </c>
      <c r="K288" s="12">
        <v>1</v>
      </c>
      <c r="L288" s="9" t="s">
        <v>125</v>
      </c>
      <c r="M288" s="9" t="s">
        <v>46</v>
      </c>
      <c r="N288" s="9" t="s">
        <v>125</v>
      </c>
      <c r="O288" s="9">
        <v>0</v>
      </c>
    </row>
    <row r="289" spans="1:15" x14ac:dyDescent="0.2">
      <c r="A289" s="9" t="s">
        <v>456</v>
      </c>
      <c r="B289" s="10">
        <v>45891</v>
      </c>
      <c r="C289" s="9" t="s">
        <v>454</v>
      </c>
      <c r="D289" s="9" t="s">
        <v>46</v>
      </c>
      <c r="E289" s="9" t="s">
        <v>192</v>
      </c>
      <c r="F289" s="11">
        <v>0</v>
      </c>
      <c r="G289" s="11">
        <v>606.9</v>
      </c>
      <c r="H289" s="11">
        <v>606.9</v>
      </c>
      <c r="I289" s="11">
        <v>0</v>
      </c>
      <c r="J289" s="11">
        <v>606.9</v>
      </c>
      <c r="K289" s="12">
        <v>1</v>
      </c>
      <c r="L289" s="9" t="s">
        <v>125</v>
      </c>
      <c r="M289" s="9" t="s">
        <v>46</v>
      </c>
      <c r="N289" s="9" t="s">
        <v>125</v>
      </c>
      <c r="O289" s="9">
        <v>0</v>
      </c>
    </row>
    <row r="290" spans="1:15" x14ac:dyDescent="0.2">
      <c r="A290" s="9" t="s">
        <v>458</v>
      </c>
      <c r="B290" s="10">
        <v>45891</v>
      </c>
      <c r="C290" s="9" t="s">
        <v>459</v>
      </c>
      <c r="D290" s="9" t="s">
        <v>46</v>
      </c>
      <c r="E290" s="9" t="s">
        <v>192</v>
      </c>
      <c r="F290" s="11">
        <v>250264.21</v>
      </c>
      <c r="G290" s="11">
        <v>0</v>
      </c>
      <c r="H290" s="11">
        <v>250264.21</v>
      </c>
      <c r="I290" s="11">
        <v>197520.32</v>
      </c>
      <c r="J290" s="11">
        <v>52743.89</v>
      </c>
      <c r="K290" s="12">
        <v>0.21075283</v>
      </c>
      <c r="L290" s="9" t="s">
        <v>120</v>
      </c>
      <c r="M290" s="9" t="s">
        <v>46</v>
      </c>
      <c r="N290" s="9" t="s">
        <v>120</v>
      </c>
      <c r="O290" s="9">
        <v>1</v>
      </c>
    </row>
    <row r="291" spans="1:15" x14ac:dyDescent="0.2">
      <c r="A291" s="9" t="s">
        <v>460</v>
      </c>
      <c r="B291" s="10">
        <v>45891</v>
      </c>
      <c r="C291" s="9" t="s">
        <v>459</v>
      </c>
      <c r="D291" s="9" t="s">
        <v>46</v>
      </c>
      <c r="E291" s="9" t="s">
        <v>192</v>
      </c>
      <c r="F291" s="11">
        <v>352642.14</v>
      </c>
      <c r="G291" s="11">
        <v>0</v>
      </c>
      <c r="H291" s="11">
        <v>352642.14</v>
      </c>
      <c r="I291" s="11">
        <v>294768.17</v>
      </c>
      <c r="J291" s="11">
        <v>57873.97</v>
      </c>
      <c r="K291" s="12">
        <v>0.16411529999999999</v>
      </c>
      <c r="L291" s="9" t="s">
        <v>120</v>
      </c>
      <c r="M291" s="9" t="s">
        <v>46</v>
      </c>
      <c r="N291" s="9" t="s">
        <v>120</v>
      </c>
      <c r="O291" s="9">
        <v>1</v>
      </c>
    </row>
    <row r="292" spans="1:15" x14ac:dyDescent="0.2">
      <c r="A292" s="9" t="s">
        <v>461</v>
      </c>
      <c r="B292" s="10">
        <v>45873</v>
      </c>
      <c r="C292" s="9" t="s">
        <v>459</v>
      </c>
      <c r="D292" s="9" t="s">
        <v>46</v>
      </c>
      <c r="E292" s="9" t="s">
        <v>192</v>
      </c>
      <c r="F292" s="11">
        <v>31920</v>
      </c>
      <c r="G292" s="11">
        <v>0</v>
      </c>
      <c r="H292" s="11">
        <v>31920</v>
      </c>
      <c r="I292" s="11">
        <v>27140.3</v>
      </c>
      <c r="J292" s="11">
        <v>4779.7</v>
      </c>
      <c r="K292" s="12">
        <v>0.14973997</v>
      </c>
      <c r="L292" s="9" t="s">
        <v>462</v>
      </c>
      <c r="M292" s="9" t="s">
        <v>46</v>
      </c>
      <c r="N292" s="9" t="s">
        <v>120</v>
      </c>
      <c r="O292" s="9">
        <v>1</v>
      </c>
    </row>
    <row r="293" spans="1:15" x14ac:dyDescent="0.2">
      <c r="A293" s="9" t="s">
        <v>463</v>
      </c>
      <c r="B293" s="10">
        <v>45873</v>
      </c>
      <c r="C293" s="9" t="s">
        <v>459</v>
      </c>
      <c r="D293" s="9" t="s">
        <v>46</v>
      </c>
      <c r="E293" s="9" t="s">
        <v>227</v>
      </c>
      <c r="F293" s="11">
        <v>20535.900000000001</v>
      </c>
      <c r="G293" s="11">
        <v>0</v>
      </c>
      <c r="H293" s="11">
        <v>20535.900000000001</v>
      </c>
      <c r="I293" s="11">
        <v>24.64</v>
      </c>
      <c r="J293" s="11">
        <v>20511.259999999998</v>
      </c>
      <c r="K293" s="12">
        <v>0.99880015</v>
      </c>
      <c r="L293" s="9" t="s">
        <v>125</v>
      </c>
      <c r="M293" s="9" t="s">
        <v>46</v>
      </c>
      <c r="N293" s="9" t="s">
        <v>125</v>
      </c>
      <c r="O293" s="9">
        <v>1</v>
      </c>
    </row>
    <row r="294" spans="1:15" x14ac:dyDescent="0.2">
      <c r="A294" s="9" t="s">
        <v>464</v>
      </c>
      <c r="B294" s="10">
        <v>45884</v>
      </c>
      <c r="C294" s="9" t="s">
        <v>459</v>
      </c>
      <c r="D294" s="9" t="s">
        <v>46</v>
      </c>
      <c r="E294" s="9" t="s">
        <v>192</v>
      </c>
      <c r="F294" s="11">
        <v>29700</v>
      </c>
      <c r="G294" s="11">
        <v>0</v>
      </c>
      <c r="H294" s="11">
        <v>29700</v>
      </c>
      <c r="I294" s="11">
        <v>22275</v>
      </c>
      <c r="J294" s="11">
        <v>7425</v>
      </c>
      <c r="K294" s="12">
        <v>0.25</v>
      </c>
      <c r="L294" s="9" t="s">
        <v>125</v>
      </c>
      <c r="M294" s="9" t="s">
        <v>46</v>
      </c>
      <c r="N294" s="9" t="s">
        <v>125</v>
      </c>
      <c r="O294" s="9">
        <v>1</v>
      </c>
    </row>
    <row r="295" spans="1:15" x14ac:dyDescent="0.2">
      <c r="A295" s="9" t="s">
        <v>465</v>
      </c>
      <c r="B295" s="10">
        <v>45884</v>
      </c>
      <c r="C295" s="9" t="s">
        <v>459</v>
      </c>
      <c r="D295" s="9" t="s">
        <v>46</v>
      </c>
      <c r="E295" s="9" t="s">
        <v>192</v>
      </c>
      <c r="F295" s="11">
        <v>29300</v>
      </c>
      <c r="G295" s="11">
        <v>0</v>
      </c>
      <c r="H295" s="11">
        <v>29300</v>
      </c>
      <c r="I295" s="11">
        <v>21975</v>
      </c>
      <c r="J295" s="11">
        <v>7325</v>
      </c>
      <c r="K295" s="12">
        <v>0.25</v>
      </c>
      <c r="L295" s="9" t="s">
        <v>125</v>
      </c>
      <c r="M295" s="9" t="s">
        <v>46</v>
      </c>
      <c r="N295" s="9" t="s">
        <v>125</v>
      </c>
      <c r="O295" s="9">
        <v>1</v>
      </c>
    </row>
    <row r="296" spans="1:15" x14ac:dyDescent="0.2">
      <c r="A296" s="9" t="s">
        <v>466</v>
      </c>
      <c r="B296" s="10">
        <v>45870</v>
      </c>
      <c r="C296" s="9" t="s">
        <v>467</v>
      </c>
      <c r="D296" s="9" t="s">
        <v>19</v>
      </c>
      <c r="E296" s="9" t="s">
        <v>192</v>
      </c>
      <c r="F296" s="11">
        <v>0</v>
      </c>
      <c r="G296" s="11">
        <v>0</v>
      </c>
      <c r="H296" s="11">
        <v>0</v>
      </c>
      <c r="I296" s="11">
        <v>271.95999999999998</v>
      </c>
      <c r="J296" s="11">
        <v>-271.95999999999998</v>
      </c>
      <c r="K296" s="12">
        <v>0</v>
      </c>
      <c r="L296" s="9" t="s">
        <v>130</v>
      </c>
      <c r="M296" s="13" t="s">
        <v>19</v>
      </c>
      <c r="N296" s="13" t="s">
        <v>130</v>
      </c>
      <c r="O296" s="9">
        <v>0</v>
      </c>
    </row>
    <row r="297" spans="1:15" x14ac:dyDescent="0.2">
      <c r="A297" s="9" t="s">
        <v>468</v>
      </c>
      <c r="B297" s="10">
        <v>45870</v>
      </c>
      <c r="C297" s="9" t="s">
        <v>467</v>
      </c>
      <c r="D297" s="9" t="s">
        <v>19</v>
      </c>
      <c r="E297" s="9" t="s">
        <v>192</v>
      </c>
      <c r="F297" s="11">
        <v>0</v>
      </c>
      <c r="G297" s="11">
        <v>0</v>
      </c>
      <c r="H297" s="11">
        <v>0</v>
      </c>
      <c r="I297" s="11">
        <v>-119.96</v>
      </c>
      <c r="J297" s="11">
        <v>119.96</v>
      </c>
      <c r="K297" s="12">
        <v>0</v>
      </c>
      <c r="L297" s="9" t="s">
        <v>130</v>
      </c>
      <c r="M297" s="9" t="s">
        <v>19</v>
      </c>
      <c r="N297" s="9" t="s">
        <v>130</v>
      </c>
      <c r="O297" s="9">
        <v>0</v>
      </c>
    </row>
    <row r="298" spans="1:15" x14ac:dyDescent="0.2">
      <c r="A298" s="9" t="s">
        <v>468</v>
      </c>
      <c r="B298" s="10">
        <v>45873</v>
      </c>
      <c r="C298" s="9" t="s">
        <v>467</v>
      </c>
      <c r="D298" s="9" t="s">
        <v>19</v>
      </c>
      <c r="E298" s="9" t="s">
        <v>192</v>
      </c>
      <c r="F298" s="11">
        <v>0</v>
      </c>
      <c r="G298" s="11">
        <v>0</v>
      </c>
      <c r="H298" s="11">
        <v>0</v>
      </c>
      <c r="I298" s="11">
        <v>-9.7899999999999991</v>
      </c>
      <c r="J298" s="11">
        <v>9.7899999999999991</v>
      </c>
      <c r="K298" s="12">
        <v>0</v>
      </c>
      <c r="L298" s="9" t="s">
        <v>130</v>
      </c>
      <c r="M298" s="9" t="s">
        <v>19</v>
      </c>
      <c r="N298" s="9" t="s">
        <v>130</v>
      </c>
      <c r="O298" s="9">
        <v>0</v>
      </c>
    </row>
    <row r="299" spans="1:15" x14ac:dyDescent="0.2">
      <c r="A299" s="9" t="s">
        <v>466</v>
      </c>
      <c r="B299" s="10">
        <v>45874</v>
      </c>
      <c r="C299" s="9" t="s">
        <v>467</v>
      </c>
      <c r="D299" s="9" t="s">
        <v>19</v>
      </c>
      <c r="E299" s="9" t="s">
        <v>192</v>
      </c>
      <c r="F299" s="11">
        <v>0</v>
      </c>
      <c r="G299" s="11">
        <v>0</v>
      </c>
      <c r="H299" s="11">
        <v>0</v>
      </c>
      <c r="I299" s="11">
        <v>-960</v>
      </c>
      <c r="J299" s="11">
        <v>960</v>
      </c>
      <c r="K299" s="12">
        <v>0</v>
      </c>
      <c r="L299" s="9" t="s">
        <v>130</v>
      </c>
      <c r="M299" s="9" t="s">
        <v>19</v>
      </c>
      <c r="N299" s="9" t="s">
        <v>130</v>
      </c>
      <c r="O299" s="9">
        <v>0</v>
      </c>
    </row>
    <row r="300" spans="1:15" x14ac:dyDescent="0.2">
      <c r="A300" s="9" t="s">
        <v>468</v>
      </c>
      <c r="B300" s="10">
        <v>45876</v>
      </c>
      <c r="C300" s="9" t="s">
        <v>467</v>
      </c>
      <c r="D300" s="9" t="s">
        <v>19</v>
      </c>
      <c r="E300" s="9" t="s">
        <v>192</v>
      </c>
      <c r="F300" s="11">
        <v>0</v>
      </c>
      <c r="G300" s="11">
        <v>0</v>
      </c>
      <c r="H300" s="11">
        <v>0</v>
      </c>
      <c r="I300" s="11">
        <v>-166.48</v>
      </c>
      <c r="J300" s="11">
        <v>166.48</v>
      </c>
      <c r="K300" s="12">
        <v>0</v>
      </c>
      <c r="L300" s="9" t="s">
        <v>130</v>
      </c>
      <c r="M300" s="9" t="s">
        <v>19</v>
      </c>
      <c r="N300" s="9" t="s">
        <v>130</v>
      </c>
      <c r="O300" s="9">
        <v>0</v>
      </c>
    </row>
    <row r="301" spans="1:15" x14ac:dyDescent="0.2">
      <c r="A301" s="9" t="s">
        <v>468</v>
      </c>
      <c r="B301" s="10">
        <v>45877</v>
      </c>
      <c r="C301" s="9" t="s">
        <v>467</v>
      </c>
      <c r="D301" s="9" t="s">
        <v>19</v>
      </c>
      <c r="E301" s="9" t="s">
        <v>192</v>
      </c>
      <c r="F301" s="11">
        <v>0</v>
      </c>
      <c r="G301" s="11">
        <v>0</v>
      </c>
      <c r="H301" s="11">
        <v>0</v>
      </c>
      <c r="I301" s="11">
        <v>12.49</v>
      </c>
      <c r="J301" s="11">
        <v>-12.49</v>
      </c>
      <c r="K301" s="12">
        <v>0</v>
      </c>
      <c r="L301" s="9" t="s">
        <v>130</v>
      </c>
      <c r="M301" s="9" t="s">
        <v>19</v>
      </c>
      <c r="N301" s="9" t="s">
        <v>130</v>
      </c>
      <c r="O301" s="9">
        <v>0</v>
      </c>
    </row>
    <row r="302" spans="1:15" x14ac:dyDescent="0.2">
      <c r="A302" s="9" t="s">
        <v>468</v>
      </c>
      <c r="B302" s="10">
        <v>45878</v>
      </c>
      <c r="C302" s="9" t="s">
        <v>467</v>
      </c>
      <c r="D302" s="9" t="s">
        <v>19</v>
      </c>
      <c r="E302" s="9" t="s">
        <v>192</v>
      </c>
      <c r="F302" s="11">
        <v>0</v>
      </c>
      <c r="G302" s="11">
        <v>0</v>
      </c>
      <c r="H302" s="11">
        <v>0</v>
      </c>
      <c r="I302" s="11">
        <v>-0.01</v>
      </c>
      <c r="J302" s="11">
        <v>0.01</v>
      </c>
      <c r="K302" s="12">
        <v>0</v>
      </c>
      <c r="L302" s="9" t="s">
        <v>130</v>
      </c>
      <c r="M302" s="9" t="s">
        <v>19</v>
      </c>
      <c r="N302" s="9" t="s">
        <v>130</v>
      </c>
      <c r="O302" s="9">
        <v>0</v>
      </c>
    </row>
    <row r="303" spans="1:15" x14ac:dyDescent="0.2">
      <c r="A303" s="9" t="s">
        <v>466</v>
      </c>
      <c r="B303" s="10">
        <v>45894</v>
      </c>
      <c r="C303" s="9" t="s">
        <v>467</v>
      </c>
      <c r="D303" s="9" t="s">
        <v>19</v>
      </c>
      <c r="E303" s="9" t="s">
        <v>192</v>
      </c>
      <c r="F303" s="11">
        <v>0</v>
      </c>
      <c r="G303" s="11">
        <v>0</v>
      </c>
      <c r="H303" s="11">
        <v>0</v>
      </c>
      <c r="I303" s="11">
        <v>1180</v>
      </c>
      <c r="J303" s="11">
        <v>-1180</v>
      </c>
      <c r="K303" s="12">
        <v>0</v>
      </c>
      <c r="L303" s="9" t="s">
        <v>130</v>
      </c>
      <c r="M303" s="9" t="s">
        <v>19</v>
      </c>
      <c r="N303" s="9" t="s">
        <v>130</v>
      </c>
      <c r="O303" s="9">
        <v>0</v>
      </c>
    </row>
    <row r="304" spans="1:15" x14ac:dyDescent="0.2">
      <c r="A304" s="9" t="s">
        <v>469</v>
      </c>
      <c r="B304" s="10">
        <v>45896</v>
      </c>
      <c r="C304" s="9" t="s">
        <v>467</v>
      </c>
      <c r="D304" s="9" t="s">
        <v>19</v>
      </c>
      <c r="E304" s="9" t="s">
        <v>192</v>
      </c>
      <c r="F304" s="11">
        <v>0</v>
      </c>
      <c r="G304" s="11">
        <v>0</v>
      </c>
      <c r="H304" s="11">
        <v>0</v>
      </c>
      <c r="I304" s="11">
        <v>112.5</v>
      </c>
      <c r="J304" s="11">
        <v>-112.5</v>
      </c>
      <c r="K304" s="12">
        <v>0</v>
      </c>
      <c r="L304" s="9" t="s">
        <v>130</v>
      </c>
      <c r="M304" s="9" t="s">
        <v>19</v>
      </c>
      <c r="N304" s="9" t="s">
        <v>130</v>
      </c>
      <c r="O304" s="9">
        <v>0</v>
      </c>
    </row>
    <row r="305" spans="1:15" x14ac:dyDescent="0.2">
      <c r="A305" s="9" t="s">
        <v>470</v>
      </c>
      <c r="B305" s="10">
        <v>45891</v>
      </c>
      <c r="C305" s="9" t="s">
        <v>471</v>
      </c>
      <c r="D305" s="9" t="s">
        <v>15</v>
      </c>
      <c r="E305" s="9" t="s">
        <v>227</v>
      </c>
      <c r="F305" s="11">
        <v>0</v>
      </c>
      <c r="G305" s="11">
        <v>0</v>
      </c>
      <c r="H305" s="11">
        <v>0</v>
      </c>
      <c r="I305" s="11">
        <v>489.42</v>
      </c>
      <c r="J305" s="11">
        <v>-489.42</v>
      </c>
      <c r="K305" s="12">
        <v>0</v>
      </c>
      <c r="L305" s="9" t="s">
        <v>152</v>
      </c>
      <c r="M305" s="9" t="s">
        <v>15</v>
      </c>
      <c r="N305" s="9" t="s">
        <v>152</v>
      </c>
      <c r="O305" s="9">
        <v>0</v>
      </c>
    </row>
    <row r="306" spans="1:15" x14ac:dyDescent="0.2">
      <c r="A306" s="9" t="s">
        <v>472</v>
      </c>
      <c r="B306" s="10">
        <v>45896</v>
      </c>
      <c r="C306" s="9" t="s">
        <v>471</v>
      </c>
      <c r="D306" s="9" t="s">
        <v>15</v>
      </c>
      <c r="E306" s="9" t="s">
        <v>227</v>
      </c>
      <c r="F306" s="11">
        <v>627.45000000000005</v>
      </c>
      <c r="G306" s="11">
        <v>0</v>
      </c>
      <c r="H306" s="11">
        <v>627.45000000000005</v>
      </c>
      <c r="I306" s="11">
        <v>0</v>
      </c>
      <c r="J306" s="11">
        <v>627.45000000000005</v>
      </c>
      <c r="K306" s="12">
        <v>1</v>
      </c>
      <c r="L306" s="9" t="s">
        <v>152</v>
      </c>
      <c r="M306" s="9" t="s">
        <v>15</v>
      </c>
      <c r="N306" s="9" t="s">
        <v>152</v>
      </c>
      <c r="O306" s="9">
        <v>1</v>
      </c>
    </row>
    <row r="307" spans="1:15" x14ac:dyDescent="0.2">
      <c r="A307" s="9" t="s">
        <v>470</v>
      </c>
      <c r="B307" s="10">
        <v>45897</v>
      </c>
      <c r="C307" s="9" t="s">
        <v>471</v>
      </c>
      <c r="D307" s="9" t="s">
        <v>15</v>
      </c>
      <c r="E307" s="9" t="s">
        <v>227</v>
      </c>
      <c r="F307" s="11">
        <v>0</v>
      </c>
      <c r="G307" s="11">
        <v>0</v>
      </c>
      <c r="H307" s="11">
        <v>0</v>
      </c>
      <c r="I307" s="11">
        <v>-262.5</v>
      </c>
      <c r="J307" s="11">
        <v>262.5</v>
      </c>
      <c r="K307" s="12">
        <v>0</v>
      </c>
      <c r="L307" s="9" t="s">
        <v>152</v>
      </c>
      <c r="M307" s="9" t="s">
        <v>15</v>
      </c>
      <c r="N307" s="9" t="s">
        <v>152</v>
      </c>
      <c r="O307" s="9">
        <v>0</v>
      </c>
    </row>
    <row r="308" spans="1:15" x14ac:dyDescent="0.2">
      <c r="A308" s="9" t="s">
        <v>473</v>
      </c>
      <c r="B308" s="10">
        <v>45874</v>
      </c>
      <c r="C308" s="9" t="s">
        <v>474</v>
      </c>
      <c r="D308" s="9" t="s">
        <v>46</v>
      </c>
      <c r="E308" s="9" t="s">
        <v>192</v>
      </c>
      <c r="F308" s="11">
        <v>327599.84999999998</v>
      </c>
      <c r="G308" s="11">
        <v>0</v>
      </c>
      <c r="H308" s="11">
        <v>327599.84999999998</v>
      </c>
      <c r="I308" s="11">
        <v>232735.58</v>
      </c>
      <c r="J308" s="11">
        <v>94864.27</v>
      </c>
      <c r="K308" s="12">
        <v>0.28957360999999998</v>
      </c>
      <c r="L308" s="9" t="s">
        <v>131</v>
      </c>
      <c r="M308" s="9" t="s">
        <v>46</v>
      </c>
      <c r="N308" s="9" t="s">
        <v>131</v>
      </c>
      <c r="O308" s="9">
        <v>1</v>
      </c>
    </row>
    <row r="309" spans="1:15" x14ac:dyDescent="0.2">
      <c r="A309" s="9" t="s">
        <v>473</v>
      </c>
      <c r="B309" s="10">
        <v>45884</v>
      </c>
      <c r="C309" s="9" t="s">
        <v>474</v>
      </c>
      <c r="D309" s="9" t="s">
        <v>46</v>
      </c>
      <c r="E309" s="9" t="s">
        <v>192</v>
      </c>
      <c r="F309" s="11">
        <v>0</v>
      </c>
      <c r="G309" s="11">
        <v>43835</v>
      </c>
      <c r="H309" s="11">
        <v>43835</v>
      </c>
      <c r="I309" s="11">
        <v>38000.949999999997</v>
      </c>
      <c r="J309" s="11">
        <v>5834.05</v>
      </c>
      <c r="K309" s="12">
        <v>0.13309114</v>
      </c>
      <c r="L309" s="9" t="s">
        <v>131</v>
      </c>
      <c r="M309" s="9" t="s">
        <v>46</v>
      </c>
      <c r="N309" s="9" t="s">
        <v>131</v>
      </c>
      <c r="O309" s="9">
        <v>0</v>
      </c>
    </row>
    <row r="310" spans="1:15" x14ac:dyDescent="0.2">
      <c r="A310" s="9" t="s">
        <v>475</v>
      </c>
      <c r="B310" s="10">
        <v>45895</v>
      </c>
      <c r="C310" s="9" t="s">
        <v>474</v>
      </c>
      <c r="D310" s="9" t="s">
        <v>48</v>
      </c>
      <c r="E310" s="9" t="s">
        <v>192</v>
      </c>
      <c r="F310" s="11">
        <v>2655</v>
      </c>
      <c r="G310" s="11">
        <v>0</v>
      </c>
      <c r="H310" s="11">
        <v>2655</v>
      </c>
      <c r="I310" s="11">
        <v>1871.22</v>
      </c>
      <c r="J310" s="11">
        <v>783.78</v>
      </c>
      <c r="K310" s="12">
        <v>0.29520903999999998</v>
      </c>
      <c r="L310" s="9" t="s">
        <v>131</v>
      </c>
      <c r="M310" s="9" t="s">
        <v>48</v>
      </c>
      <c r="N310" s="9" t="s">
        <v>131</v>
      </c>
      <c r="O310" s="9">
        <v>1</v>
      </c>
    </row>
    <row r="311" spans="1:15" x14ac:dyDescent="0.2">
      <c r="A311" s="9" t="s">
        <v>476</v>
      </c>
      <c r="B311" s="10">
        <v>45899</v>
      </c>
      <c r="C311" s="9" t="s">
        <v>477</v>
      </c>
      <c r="D311" s="9" t="s">
        <v>9</v>
      </c>
      <c r="E311" s="9" t="s">
        <v>227</v>
      </c>
      <c r="F311" s="11">
        <v>0</v>
      </c>
      <c r="G311" s="11">
        <v>0</v>
      </c>
      <c r="H311" s="11">
        <v>0</v>
      </c>
      <c r="I311" s="11">
        <v>-1355</v>
      </c>
      <c r="J311" s="11">
        <v>1355</v>
      </c>
      <c r="K311" s="12">
        <v>0</v>
      </c>
      <c r="L311" s="9" t="s">
        <v>126</v>
      </c>
      <c r="M311" s="9" t="s">
        <v>9</v>
      </c>
      <c r="N311" s="9" t="s">
        <v>126</v>
      </c>
      <c r="O311" s="9">
        <v>0</v>
      </c>
    </row>
    <row r="312" spans="1:15" x14ac:dyDescent="0.2">
      <c r="A312" s="9" t="s">
        <v>478</v>
      </c>
      <c r="B312" s="10">
        <v>45894</v>
      </c>
      <c r="C312" s="9" t="s">
        <v>479</v>
      </c>
      <c r="D312" s="9" t="s">
        <v>380</v>
      </c>
      <c r="E312" s="9" t="s">
        <v>192</v>
      </c>
      <c r="F312" s="11">
        <v>0</v>
      </c>
      <c r="G312" s="11">
        <v>0</v>
      </c>
      <c r="H312" s="11">
        <v>0</v>
      </c>
      <c r="I312" s="11">
        <v>20</v>
      </c>
      <c r="J312" s="11">
        <v>-20</v>
      </c>
      <c r="K312" s="12">
        <v>0</v>
      </c>
      <c r="L312" s="9" t="s">
        <v>276</v>
      </c>
      <c r="M312" s="9" t="s">
        <v>48</v>
      </c>
      <c r="N312" s="9" t="s">
        <v>276</v>
      </c>
      <c r="O312" s="9">
        <v>0</v>
      </c>
    </row>
    <row r="313" spans="1:15" x14ac:dyDescent="0.2">
      <c r="A313" s="9" t="s">
        <v>480</v>
      </c>
      <c r="B313" s="10">
        <v>45891</v>
      </c>
      <c r="C313" s="9" t="s">
        <v>479</v>
      </c>
      <c r="D313" s="9" t="s">
        <v>380</v>
      </c>
      <c r="E313" s="9" t="s">
        <v>192</v>
      </c>
      <c r="F313" s="11">
        <v>3414.6</v>
      </c>
      <c r="G313" s="11">
        <v>0</v>
      </c>
      <c r="H313" s="11">
        <v>3414.6</v>
      </c>
      <c r="I313" s="11">
        <v>2390.2199999999998</v>
      </c>
      <c r="J313" s="11">
        <v>1024.3800000000001</v>
      </c>
      <c r="K313" s="12">
        <v>0.3</v>
      </c>
      <c r="L313" s="9" t="s">
        <v>481</v>
      </c>
      <c r="M313" s="9" t="s">
        <v>48</v>
      </c>
      <c r="N313" s="9" t="s">
        <v>380</v>
      </c>
      <c r="O313" s="9">
        <v>1</v>
      </c>
    </row>
    <row r="314" spans="1:15" x14ac:dyDescent="0.2">
      <c r="A314" s="9" t="s">
        <v>480</v>
      </c>
      <c r="B314" s="10">
        <v>45896</v>
      </c>
      <c r="C314" s="9" t="s">
        <v>479</v>
      </c>
      <c r="D314" s="9" t="s">
        <v>380</v>
      </c>
      <c r="E314" s="9" t="s">
        <v>192</v>
      </c>
      <c r="F314" s="11">
        <v>0</v>
      </c>
      <c r="G314" s="11">
        <v>3739.8</v>
      </c>
      <c r="H314" s="11">
        <v>3739.8</v>
      </c>
      <c r="I314" s="11">
        <v>2617.86</v>
      </c>
      <c r="J314" s="11">
        <v>1121.94</v>
      </c>
      <c r="K314" s="12">
        <v>0.3</v>
      </c>
      <c r="L314" s="9" t="s">
        <v>481</v>
      </c>
      <c r="M314" s="9" t="s">
        <v>48</v>
      </c>
      <c r="N314" s="9" t="s">
        <v>380</v>
      </c>
      <c r="O314" s="9">
        <v>0</v>
      </c>
    </row>
    <row r="315" spans="1:15" x14ac:dyDescent="0.2">
      <c r="A315" s="9" t="s">
        <v>482</v>
      </c>
      <c r="B315" s="10">
        <v>45889</v>
      </c>
      <c r="C315" s="9" t="s">
        <v>483</v>
      </c>
      <c r="D315" s="9" t="s">
        <v>9</v>
      </c>
      <c r="E315" s="9" t="s">
        <v>199</v>
      </c>
      <c r="F315" s="11">
        <v>0</v>
      </c>
      <c r="G315" s="11">
        <v>43.96</v>
      </c>
      <c r="H315" s="11">
        <v>43.96</v>
      </c>
      <c r="I315" s="11">
        <v>35.659999999999997</v>
      </c>
      <c r="J315" s="11">
        <v>8.3000000000000007</v>
      </c>
      <c r="K315" s="12">
        <v>0.18880801</v>
      </c>
      <c r="L315" s="9" t="s">
        <v>111</v>
      </c>
      <c r="M315" s="9" t="s">
        <v>9</v>
      </c>
      <c r="N315" s="9" t="s">
        <v>111</v>
      </c>
      <c r="O315" s="9">
        <v>0</v>
      </c>
    </row>
    <row r="316" spans="1:15" x14ac:dyDescent="0.2">
      <c r="A316" s="9" t="s">
        <v>482</v>
      </c>
      <c r="B316" s="10">
        <v>45894</v>
      </c>
      <c r="C316" s="9" t="s">
        <v>483</v>
      </c>
      <c r="D316" s="9" t="s">
        <v>9</v>
      </c>
      <c r="E316" s="9" t="s">
        <v>199</v>
      </c>
      <c r="F316" s="11">
        <v>0</v>
      </c>
      <c r="G316" s="11">
        <v>0</v>
      </c>
      <c r="H316" s="11">
        <v>0</v>
      </c>
      <c r="I316" s="11">
        <v>1371.21</v>
      </c>
      <c r="J316" s="11">
        <v>-1371.21</v>
      </c>
      <c r="K316" s="12">
        <v>0</v>
      </c>
      <c r="L316" s="9" t="s">
        <v>111</v>
      </c>
      <c r="M316" s="9" t="s">
        <v>9</v>
      </c>
      <c r="N316" s="9" t="s">
        <v>111</v>
      </c>
      <c r="O316" s="9">
        <v>0</v>
      </c>
    </row>
    <row r="317" spans="1:15" x14ac:dyDescent="0.2">
      <c r="A317" s="9" t="s">
        <v>482</v>
      </c>
      <c r="B317" s="10">
        <v>45899</v>
      </c>
      <c r="C317" s="9" t="s">
        <v>483</v>
      </c>
      <c r="D317" s="9" t="s">
        <v>9</v>
      </c>
      <c r="E317" s="9" t="s">
        <v>199</v>
      </c>
      <c r="F317" s="11">
        <v>0</v>
      </c>
      <c r="G317" s="11">
        <v>0</v>
      </c>
      <c r="H317" s="11">
        <v>0</v>
      </c>
      <c r="I317" s="11">
        <v>300</v>
      </c>
      <c r="J317" s="11">
        <v>-300</v>
      </c>
      <c r="K317" s="12">
        <v>0</v>
      </c>
      <c r="L317" s="9" t="s">
        <v>111</v>
      </c>
      <c r="M317" s="9" t="s">
        <v>9</v>
      </c>
      <c r="N317" s="9" t="s">
        <v>111</v>
      </c>
      <c r="O317" s="9">
        <v>0</v>
      </c>
    </row>
    <row r="318" spans="1:15" x14ac:dyDescent="0.2">
      <c r="A318" s="9" t="s">
        <v>484</v>
      </c>
      <c r="B318" s="10">
        <v>45874</v>
      </c>
      <c r="C318" s="9" t="s">
        <v>485</v>
      </c>
      <c r="D318" s="9" t="s">
        <v>9</v>
      </c>
      <c r="E318" s="9" t="s">
        <v>227</v>
      </c>
      <c r="F318" s="11">
        <v>45965.93</v>
      </c>
      <c r="G318" s="11">
        <v>0</v>
      </c>
      <c r="H318" s="11">
        <v>45965.93</v>
      </c>
      <c r="I318" s="11">
        <v>36270.47</v>
      </c>
      <c r="J318" s="11">
        <v>9695.4599999999991</v>
      </c>
      <c r="K318" s="12">
        <v>0.21092709000000001</v>
      </c>
      <c r="L318" s="9" t="s">
        <v>486</v>
      </c>
      <c r="M318" s="9" t="s">
        <v>9</v>
      </c>
      <c r="N318" s="9" t="s">
        <v>111</v>
      </c>
      <c r="O318" s="9">
        <v>1</v>
      </c>
    </row>
    <row r="319" spans="1:15" x14ac:dyDescent="0.2">
      <c r="A319" s="9" t="s">
        <v>487</v>
      </c>
      <c r="B319" s="10">
        <v>45874</v>
      </c>
      <c r="C319" s="9" t="s">
        <v>485</v>
      </c>
      <c r="D319" s="9" t="s">
        <v>9</v>
      </c>
      <c r="E319" s="9" t="s">
        <v>227</v>
      </c>
      <c r="F319" s="11">
        <v>43252.21</v>
      </c>
      <c r="G319" s="11">
        <v>0</v>
      </c>
      <c r="H319" s="11">
        <v>43252.21</v>
      </c>
      <c r="I319" s="11">
        <v>32727.45</v>
      </c>
      <c r="J319" s="11">
        <v>10524.76</v>
      </c>
      <c r="K319" s="12">
        <v>0.24333462</v>
      </c>
      <c r="L319" s="9" t="s">
        <v>486</v>
      </c>
      <c r="M319" s="9" t="s">
        <v>9</v>
      </c>
      <c r="N319" s="9" t="s">
        <v>111</v>
      </c>
      <c r="O319" s="9">
        <v>1</v>
      </c>
    </row>
    <row r="320" spans="1:15" x14ac:dyDescent="0.2">
      <c r="A320" s="9" t="s">
        <v>487</v>
      </c>
      <c r="B320" s="10">
        <v>45875</v>
      </c>
      <c r="C320" s="9" t="s">
        <v>485</v>
      </c>
      <c r="D320" s="9" t="s">
        <v>9</v>
      </c>
      <c r="E320" s="9" t="s">
        <v>227</v>
      </c>
      <c r="F320" s="11">
        <v>0</v>
      </c>
      <c r="G320" s="11">
        <v>0</v>
      </c>
      <c r="H320" s="11">
        <v>0</v>
      </c>
      <c r="I320" s="11">
        <v>-79.88</v>
      </c>
      <c r="J320" s="11">
        <v>79.88</v>
      </c>
      <c r="K320" s="12">
        <v>0</v>
      </c>
      <c r="L320" s="9" t="s">
        <v>486</v>
      </c>
      <c r="M320" s="9" t="s">
        <v>9</v>
      </c>
      <c r="N320" s="9" t="s">
        <v>111</v>
      </c>
      <c r="O320" s="9">
        <v>0</v>
      </c>
    </row>
    <row r="321" spans="1:15" x14ac:dyDescent="0.2">
      <c r="A321" s="9" t="s">
        <v>487</v>
      </c>
      <c r="B321" s="10">
        <v>45876</v>
      </c>
      <c r="C321" s="9" t="s">
        <v>485</v>
      </c>
      <c r="D321" s="9" t="s">
        <v>9</v>
      </c>
      <c r="E321" s="9" t="s">
        <v>227</v>
      </c>
      <c r="F321" s="11">
        <v>0</v>
      </c>
      <c r="G321" s="11">
        <v>0</v>
      </c>
      <c r="H321" s="11">
        <v>0</v>
      </c>
      <c r="I321" s="11">
        <v>-110.92</v>
      </c>
      <c r="J321" s="11">
        <v>110.92</v>
      </c>
      <c r="K321" s="12">
        <v>0</v>
      </c>
      <c r="L321" s="9" t="s">
        <v>486</v>
      </c>
      <c r="M321" s="9" t="s">
        <v>9</v>
      </c>
      <c r="N321" s="9" t="s">
        <v>111</v>
      </c>
      <c r="O321" s="9">
        <v>0</v>
      </c>
    </row>
    <row r="322" spans="1:15" x14ac:dyDescent="0.2">
      <c r="A322" s="9" t="s">
        <v>487</v>
      </c>
      <c r="B322" s="10">
        <v>45877</v>
      </c>
      <c r="C322" s="9" t="s">
        <v>485</v>
      </c>
      <c r="D322" s="9" t="s">
        <v>9</v>
      </c>
      <c r="E322" s="9" t="s">
        <v>227</v>
      </c>
      <c r="F322" s="11">
        <v>0</v>
      </c>
      <c r="G322" s="11">
        <v>0</v>
      </c>
      <c r="H322" s="11">
        <v>0</v>
      </c>
      <c r="I322" s="11">
        <v>-2.38</v>
      </c>
      <c r="J322" s="11">
        <v>2.38</v>
      </c>
      <c r="K322" s="12">
        <v>0</v>
      </c>
      <c r="L322" s="9" t="s">
        <v>486</v>
      </c>
      <c r="M322" s="9" t="s">
        <v>9</v>
      </c>
      <c r="N322" s="9" t="s">
        <v>111</v>
      </c>
      <c r="O322" s="9">
        <v>0</v>
      </c>
    </row>
    <row r="323" spans="1:15" x14ac:dyDescent="0.2">
      <c r="A323" s="9" t="s">
        <v>487</v>
      </c>
      <c r="B323" s="10">
        <v>45880</v>
      </c>
      <c r="C323" s="9" t="s">
        <v>485</v>
      </c>
      <c r="D323" s="9" t="s">
        <v>9</v>
      </c>
      <c r="E323" s="9" t="s">
        <v>227</v>
      </c>
      <c r="F323" s="11">
        <v>0</v>
      </c>
      <c r="G323" s="11">
        <v>238.8</v>
      </c>
      <c r="H323" s="11">
        <v>238.8</v>
      </c>
      <c r="I323" s="11">
        <v>38.700000000000003</v>
      </c>
      <c r="J323" s="11">
        <v>200.1</v>
      </c>
      <c r="K323" s="12">
        <v>0.83793969999999995</v>
      </c>
      <c r="L323" s="9" t="s">
        <v>486</v>
      </c>
      <c r="M323" s="9" t="s">
        <v>9</v>
      </c>
      <c r="N323" s="9" t="s">
        <v>111</v>
      </c>
      <c r="O323" s="9">
        <v>0</v>
      </c>
    </row>
    <row r="324" spans="1:15" x14ac:dyDescent="0.2">
      <c r="A324" s="9" t="s">
        <v>488</v>
      </c>
      <c r="B324" s="10">
        <v>45875</v>
      </c>
      <c r="C324" s="9" t="s">
        <v>489</v>
      </c>
      <c r="D324" s="9" t="s">
        <v>9</v>
      </c>
      <c r="E324" s="9" t="s">
        <v>227</v>
      </c>
      <c r="F324" s="11">
        <v>206.25</v>
      </c>
      <c r="G324" s="11">
        <v>0</v>
      </c>
      <c r="H324" s="11">
        <v>206.25</v>
      </c>
      <c r="I324" s="11">
        <v>217.65</v>
      </c>
      <c r="J324" s="11">
        <v>-11.4</v>
      </c>
      <c r="K324" s="12">
        <v>-5.5272729999999999E-2</v>
      </c>
      <c r="L324" s="9" t="s">
        <v>122</v>
      </c>
      <c r="M324" s="9" t="s">
        <v>9</v>
      </c>
      <c r="N324" s="9" t="s">
        <v>122</v>
      </c>
      <c r="O324" s="9">
        <v>1</v>
      </c>
    </row>
    <row r="325" spans="1:15" x14ac:dyDescent="0.2">
      <c r="A325" s="9" t="s">
        <v>490</v>
      </c>
      <c r="B325" s="10">
        <v>45882</v>
      </c>
      <c r="C325" s="9" t="s">
        <v>489</v>
      </c>
      <c r="D325" s="9" t="s">
        <v>9</v>
      </c>
      <c r="E325" s="9" t="s">
        <v>227</v>
      </c>
      <c r="F325" s="11">
        <v>225</v>
      </c>
      <c r="G325" s="11">
        <v>0</v>
      </c>
      <c r="H325" s="11">
        <v>225</v>
      </c>
      <c r="I325" s="11">
        <v>0</v>
      </c>
      <c r="J325" s="11">
        <v>225</v>
      </c>
      <c r="K325" s="12">
        <v>1</v>
      </c>
      <c r="L325" s="9" t="s">
        <v>122</v>
      </c>
      <c r="M325" s="9" t="s">
        <v>9</v>
      </c>
      <c r="N325" s="9" t="s">
        <v>122</v>
      </c>
      <c r="O325" s="9">
        <v>1</v>
      </c>
    </row>
    <row r="326" spans="1:15" x14ac:dyDescent="0.2">
      <c r="A326" s="9" t="s">
        <v>491</v>
      </c>
      <c r="B326" s="10">
        <v>45890</v>
      </c>
      <c r="C326" s="9" t="s">
        <v>489</v>
      </c>
      <c r="D326" s="9" t="s">
        <v>9</v>
      </c>
      <c r="E326" s="9" t="s">
        <v>227</v>
      </c>
      <c r="F326" s="11">
        <v>799</v>
      </c>
      <c r="G326" s="11">
        <v>0</v>
      </c>
      <c r="H326" s="11">
        <v>799</v>
      </c>
      <c r="I326" s="11">
        <v>499</v>
      </c>
      <c r="J326" s="11">
        <v>300</v>
      </c>
      <c r="K326" s="12">
        <v>0.37546933999999998</v>
      </c>
      <c r="L326" s="9" t="s">
        <v>122</v>
      </c>
      <c r="M326" s="9" t="s">
        <v>9</v>
      </c>
      <c r="N326" s="9" t="s">
        <v>122</v>
      </c>
      <c r="O326" s="9">
        <v>1</v>
      </c>
    </row>
    <row r="327" spans="1:15" x14ac:dyDescent="0.2">
      <c r="A327" s="9" t="s">
        <v>492</v>
      </c>
      <c r="B327" s="10">
        <v>45870</v>
      </c>
      <c r="C327" s="9" t="s">
        <v>493</v>
      </c>
      <c r="D327" s="9" t="s">
        <v>9</v>
      </c>
      <c r="E327" s="9" t="s">
        <v>227</v>
      </c>
      <c r="F327" s="11">
        <v>0</v>
      </c>
      <c r="G327" s="11">
        <v>0</v>
      </c>
      <c r="H327" s="11">
        <v>0</v>
      </c>
      <c r="I327" s="11">
        <v>-750</v>
      </c>
      <c r="J327" s="11">
        <v>750</v>
      </c>
      <c r="K327" s="12">
        <v>0</v>
      </c>
      <c r="L327" s="9" t="s">
        <v>122</v>
      </c>
      <c r="M327" s="9" t="s">
        <v>9</v>
      </c>
      <c r="N327" s="9" t="s">
        <v>122</v>
      </c>
      <c r="O327" s="9">
        <v>0</v>
      </c>
    </row>
    <row r="328" spans="1:15" x14ac:dyDescent="0.2">
      <c r="A328" s="9" t="s">
        <v>494</v>
      </c>
      <c r="B328" s="10">
        <v>45896</v>
      </c>
      <c r="C328" s="9" t="s">
        <v>493</v>
      </c>
      <c r="D328" s="9" t="s">
        <v>9</v>
      </c>
      <c r="E328" s="9" t="s">
        <v>227</v>
      </c>
      <c r="F328" s="11">
        <v>880</v>
      </c>
      <c r="G328" s="11">
        <v>0</v>
      </c>
      <c r="H328" s="11">
        <v>880</v>
      </c>
      <c r="I328" s="11">
        <v>689.43</v>
      </c>
      <c r="J328" s="11">
        <v>190.57</v>
      </c>
      <c r="K328" s="12">
        <v>0.21655682000000001</v>
      </c>
      <c r="L328" s="9" t="s">
        <v>122</v>
      </c>
      <c r="M328" s="9" t="s">
        <v>9</v>
      </c>
      <c r="N328" s="9" t="s">
        <v>122</v>
      </c>
      <c r="O328" s="9">
        <v>1</v>
      </c>
    </row>
    <row r="329" spans="1:15" x14ac:dyDescent="0.2">
      <c r="A329" s="9" t="s">
        <v>495</v>
      </c>
      <c r="B329" s="10">
        <v>45882</v>
      </c>
      <c r="C329" s="9" t="s">
        <v>496</v>
      </c>
      <c r="D329" s="9" t="s">
        <v>384</v>
      </c>
      <c r="E329" s="9" t="s">
        <v>227</v>
      </c>
      <c r="F329" s="11">
        <v>454.35</v>
      </c>
      <c r="G329" s="11">
        <v>0</v>
      </c>
      <c r="H329" s="11">
        <v>454.35</v>
      </c>
      <c r="I329" s="11">
        <v>372.53</v>
      </c>
      <c r="J329" s="11">
        <v>81.819999999999993</v>
      </c>
      <c r="K329" s="12">
        <v>0.18008144000000001</v>
      </c>
      <c r="L329" s="9" t="s">
        <v>384</v>
      </c>
      <c r="M329" s="9" t="s">
        <v>48</v>
      </c>
      <c r="N329" s="9" t="s">
        <v>251</v>
      </c>
      <c r="O329" s="9">
        <v>1</v>
      </c>
    </row>
    <row r="330" spans="1:15" x14ac:dyDescent="0.2">
      <c r="A330" s="9" t="s">
        <v>497</v>
      </c>
      <c r="B330" s="10">
        <v>45882</v>
      </c>
      <c r="C330" s="9" t="s">
        <v>496</v>
      </c>
      <c r="D330" s="9" t="s">
        <v>384</v>
      </c>
      <c r="E330" s="9" t="s">
        <v>192</v>
      </c>
      <c r="F330" s="11">
        <v>500.68</v>
      </c>
      <c r="G330" s="11">
        <v>0</v>
      </c>
      <c r="H330" s="11">
        <v>500.68</v>
      </c>
      <c r="I330" s="11">
        <v>407.28</v>
      </c>
      <c r="J330" s="11">
        <v>93.4</v>
      </c>
      <c r="K330" s="12">
        <v>0.1865463</v>
      </c>
      <c r="L330" s="9" t="s">
        <v>384</v>
      </c>
      <c r="M330" s="9" t="s">
        <v>48</v>
      </c>
      <c r="N330" s="9" t="s">
        <v>251</v>
      </c>
      <c r="O330" s="9">
        <v>1</v>
      </c>
    </row>
    <row r="331" spans="1:15" x14ac:dyDescent="0.2">
      <c r="A331" s="9" t="s">
        <v>498</v>
      </c>
      <c r="B331" s="10">
        <v>45884</v>
      </c>
      <c r="C331" s="9" t="s">
        <v>496</v>
      </c>
      <c r="D331" s="9" t="s">
        <v>384</v>
      </c>
      <c r="E331" s="9" t="s">
        <v>227</v>
      </c>
      <c r="F331" s="11">
        <v>916.69</v>
      </c>
      <c r="G331" s="11">
        <v>0</v>
      </c>
      <c r="H331" s="11">
        <v>916.69</v>
      </c>
      <c r="I331" s="11">
        <v>731</v>
      </c>
      <c r="J331" s="11">
        <v>185.69</v>
      </c>
      <c r="K331" s="12">
        <v>0.20256574999999999</v>
      </c>
      <c r="L331" s="9" t="s">
        <v>384</v>
      </c>
      <c r="M331" s="9" t="s">
        <v>48</v>
      </c>
      <c r="N331" s="9" t="s">
        <v>251</v>
      </c>
      <c r="O331" s="9">
        <v>1</v>
      </c>
    </row>
    <row r="332" spans="1:15" x14ac:dyDescent="0.2">
      <c r="A332" s="9" t="s">
        <v>498</v>
      </c>
      <c r="B332" s="10">
        <v>45888</v>
      </c>
      <c r="C332" s="9" t="s">
        <v>496</v>
      </c>
      <c r="D332" s="9" t="s">
        <v>384</v>
      </c>
      <c r="E332" s="9" t="s">
        <v>227</v>
      </c>
      <c r="F332" s="11">
        <v>0</v>
      </c>
      <c r="G332" s="11">
        <v>0</v>
      </c>
      <c r="H332" s="11">
        <v>0</v>
      </c>
      <c r="I332" s="11">
        <v>-271.35000000000002</v>
      </c>
      <c r="J332" s="11">
        <v>271.35000000000002</v>
      </c>
      <c r="K332" s="12">
        <v>0</v>
      </c>
      <c r="L332" s="9" t="s">
        <v>384</v>
      </c>
      <c r="M332" s="9" t="s">
        <v>48</v>
      </c>
      <c r="N332" s="9" t="s">
        <v>251</v>
      </c>
      <c r="O332" s="9">
        <v>0</v>
      </c>
    </row>
    <row r="333" spans="1:15" x14ac:dyDescent="0.2">
      <c r="A333" s="9" t="s">
        <v>498</v>
      </c>
      <c r="B333" s="10">
        <v>45890</v>
      </c>
      <c r="C333" s="9" t="s">
        <v>496</v>
      </c>
      <c r="D333" s="9" t="s">
        <v>384</v>
      </c>
      <c r="E333" s="9" t="s">
        <v>227</v>
      </c>
      <c r="F333" s="11">
        <v>0</v>
      </c>
      <c r="G333" s="11">
        <v>0</v>
      </c>
      <c r="H333" s="11">
        <v>0</v>
      </c>
      <c r="I333" s="11">
        <v>-82.35</v>
      </c>
      <c r="J333" s="11">
        <v>82.35</v>
      </c>
      <c r="K333" s="12">
        <v>0</v>
      </c>
      <c r="L333" s="9" t="s">
        <v>384</v>
      </c>
      <c r="M333" s="9" t="s">
        <v>48</v>
      </c>
      <c r="N333" s="9" t="s">
        <v>251</v>
      </c>
      <c r="O333" s="9">
        <v>0</v>
      </c>
    </row>
    <row r="334" spans="1:15" x14ac:dyDescent="0.2">
      <c r="A334" s="9" t="s">
        <v>498</v>
      </c>
      <c r="B334" s="10">
        <v>45896</v>
      </c>
      <c r="C334" s="9" t="s">
        <v>496</v>
      </c>
      <c r="D334" s="9" t="s">
        <v>384</v>
      </c>
      <c r="E334" s="9" t="s">
        <v>227</v>
      </c>
      <c r="F334" s="11">
        <v>0</v>
      </c>
      <c r="G334" s="11">
        <v>766.69</v>
      </c>
      <c r="H334" s="11">
        <v>766.69</v>
      </c>
      <c r="I334" s="11">
        <v>342</v>
      </c>
      <c r="J334" s="11">
        <v>424.69</v>
      </c>
      <c r="K334" s="12">
        <v>0.55392662000000004</v>
      </c>
      <c r="L334" s="9" t="s">
        <v>384</v>
      </c>
      <c r="M334" s="9" t="s">
        <v>48</v>
      </c>
      <c r="N334" s="9" t="s">
        <v>251</v>
      </c>
      <c r="O334" s="9">
        <v>0</v>
      </c>
    </row>
    <row r="335" spans="1:15" x14ac:dyDescent="0.2">
      <c r="A335" s="9" t="s">
        <v>499</v>
      </c>
      <c r="B335" s="10">
        <v>45875</v>
      </c>
      <c r="C335" s="9" t="s">
        <v>500</v>
      </c>
      <c r="D335" s="9" t="s">
        <v>18</v>
      </c>
      <c r="E335" s="9" t="s">
        <v>227</v>
      </c>
      <c r="F335" s="11">
        <v>1754.78</v>
      </c>
      <c r="G335" s="11">
        <v>0</v>
      </c>
      <c r="H335" s="11">
        <v>1754.78</v>
      </c>
      <c r="I335" s="11">
        <v>1345.95</v>
      </c>
      <c r="J335" s="11">
        <v>408.83</v>
      </c>
      <c r="K335" s="12">
        <v>0.23298077</v>
      </c>
      <c r="L335" s="9" t="s">
        <v>158</v>
      </c>
      <c r="M335" s="9" t="s">
        <v>65</v>
      </c>
      <c r="N335" s="9" t="s">
        <v>158</v>
      </c>
      <c r="O335" s="9">
        <v>1</v>
      </c>
    </row>
    <row r="336" spans="1:15" x14ac:dyDescent="0.2">
      <c r="A336" s="9" t="s">
        <v>501</v>
      </c>
      <c r="B336" s="10">
        <v>45896</v>
      </c>
      <c r="C336" s="9" t="s">
        <v>500</v>
      </c>
      <c r="D336" s="9" t="s">
        <v>18</v>
      </c>
      <c r="E336" s="9" t="s">
        <v>227</v>
      </c>
      <c r="F336" s="11">
        <v>453</v>
      </c>
      <c r="G336" s="11">
        <v>0</v>
      </c>
      <c r="H336" s="11">
        <v>453</v>
      </c>
      <c r="I336" s="11">
        <v>300</v>
      </c>
      <c r="J336" s="11">
        <v>153</v>
      </c>
      <c r="K336" s="12">
        <v>0.33774833999999998</v>
      </c>
      <c r="L336" s="9" t="s">
        <v>158</v>
      </c>
      <c r="M336" s="9" t="s">
        <v>65</v>
      </c>
      <c r="N336" s="9" t="s">
        <v>158</v>
      </c>
      <c r="O336" s="9">
        <v>1</v>
      </c>
    </row>
    <row r="337" spans="1:15" x14ac:dyDescent="0.2">
      <c r="A337" s="9" t="s">
        <v>502</v>
      </c>
      <c r="B337" s="10">
        <v>45870</v>
      </c>
      <c r="C337" s="9" t="s">
        <v>500</v>
      </c>
      <c r="D337" s="9" t="s">
        <v>18</v>
      </c>
      <c r="E337" s="9" t="s">
        <v>227</v>
      </c>
      <c r="F337" s="11">
        <v>1651</v>
      </c>
      <c r="G337" s="11">
        <v>0</v>
      </c>
      <c r="H337" s="11">
        <v>1651</v>
      </c>
      <c r="I337" s="11">
        <v>1258.4000000000001</v>
      </c>
      <c r="J337" s="11">
        <v>392.6</v>
      </c>
      <c r="K337" s="12">
        <v>0.23779528</v>
      </c>
      <c r="L337" s="9" t="s">
        <v>18</v>
      </c>
      <c r="M337" s="9" t="s">
        <v>65</v>
      </c>
      <c r="N337" s="9" t="s">
        <v>18</v>
      </c>
      <c r="O337" s="9">
        <v>1</v>
      </c>
    </row>
    <row r="338" spans="1:15" x14ac:dyDescent="0.2">
      <c r="A338" s="9" t="s">
        <v>503</v>
      </c>
      <c r="B338" s="10">
        <v>45870</v>
      </c>
      <c r="C338" s="9" t="s">
        <v>500</v>
      </c>
      <c r="D338" s="9" t="s">
        <v>18</v>
      </c>
      <c r="E338" s="9" t="s">
        <v>227</v>
      </c>
      <c r="F338" s="11">
        <v>2365.25</v>
      </c>
      <c r="G338" s="11">
        <v>0</v>
      </c>
      <c r="H338" s="11">
        <v>2365.25</v>
      </c>
      <c r="I338" s="11">
        <v>1848.16</v>
      </c>
      <c r="J338" s="11">
        <v>517.09</v>
      </c>
      <c r="K338" s="12">
        <v>0.2186196</v>
      </c>
      <c r="L338" s="9" t="s">
        <v>18</v>
      </c>
      <c r="M338" s="9" t="s">
        <v>65</v>
      </c>
      <c r="N338" s="9" t="s">
        <v>18</v>
      </c>
      <c r="O338" s="9">
        <v>1</v>
      </c>
    </row>
    <row r="339" spans="1:15" x14ac:dyDescent="0.2">
      <c r="A339" s="9" t="s">
        <v>504</v>
      </c>
      <c r="B339" s="10">
        <v>45870</v>
      </c>
      <c r="C339" s="9" t="s">
        <v>500</v>
      </c>
      <c r="D339" s="9" t="s">
        <v>18</v>
      </c>
      <c r="E339" s="9" t="s">
        <v>227</v>
      </c>
      <c r="F339" s="11">
        <v>1651</v>
      </c>
      <c r="G339" s="11">
        <v>0</v>
      </c>
      <c r="H339" s="11">
        <v>1651</v>
      </c>
      <c r="I339" s="11">
        <v>1341.4</v>
      </c>
      <c r="J339" s="11">
        <v>309.60000000000002</v>
      </c>
      <c r="K339" s="12">
        <v>0.18752271000000001</v>
      </c>
      <c r="L339" s="9" t="s">
        <v>18</v>
      </c>
      <c r="M339" s="9" t="s">
        <v>65</v>
      </c>
      <c r="N339" s="9" t="s">
        <v>18</v>
      </c>
      <c r="O339" s="9">
        <v>1</v>
      </c>
    </row>
    <row r="340" spans="1:15" x14ac:dyDescent="0.2">
      <c r="A340" s="9" t="s">
        <v>505</v>
      </c>
      <c r="B340" s="10">
        <v>45870</v>
      </c>
      <c r="C340" s="9" t="s">
        <v>500</v>
      </c>
      <c r="D340" s="9" t="s">
        <v>18</v>
      </c>
      <c r="E340" s="9" t="s">
        <v>227</v>
      </c>
      <c r="F340" s="11">
        <v>1514.18</v>
      </c>
      <c r="G340" s="11">
        <v>0</v>
      </c>
      <c r="H340" s="11">
        <v>1514.18</v>
      </c>
      <c r="I340" s="11">
        <v>1169</v>
      </c>
      <c r="J340" s="11">
        <v>345.18</v>
      </c>
      <c r="K340" s="12">
        <v>0.22796496999999999</v>
      </c>
      <c r="L340" s="9" t="s">
        <v>18</v>
      </c>
      <c r="M340" s="9" t="s">
        <v>65</v>
      </c>
      <c r="N340" s="9" t="s">
        <v>18</v>
      </c>
      <c r="O340" s="9">
        <v>1</v>
      </c>
    </row>
    <row r="341" spans="1:15" x14ac:dyDescent="0.2">
      <c r="A341" s="9" t="s">
        <v>506</v>
      </c>
      <c r="B341" s="10">
        <v>45870</v>
      </c>
      <c r="C341" s="9" t="s">
        <v>500</v>
      </c>
      <c r="D341" s="9" t="s">
        <v>18</v>
      </c>
      <c r="E341" s="9" t="s">
        <v>227</v>
      </c>
      <c r="F341" s="11">
        <v>1267.0999999999999</v>
      </c>
      <c r="G341" s="11">
        <v>0</v>
      </c>
      <c r="H341" s="11">
        <v>1267.0999999999999</v>
      </c>
      <c r="I341" s="11">
        <v>977.98</v>
      </c>
      <c r="J341" s="11">
        <v>289.12</v>
      </c>
      <c r="K341" s="12">
        <v>0.22817456999999999</v>
      </c>
      <c r="L341" s="9" t="s">
        <v>18</v>
      </c>
      <c r="M341" s="9" t="s">
        <v>65</v>
      </c>
      <c r="N341" s="9" t="s">
        <v>18</v>
      </c>
      <c r="O341" s="9">
        <v>1</v>
      </c>
    </row>
    <row r="342" spans="1:15" x14ac:dyDescent="0.2">
      <c r="A342" s="9" t="s">
        <v>507</v>
      </c>
      <c r="B342" s="10">
        <v>45874</v>
      </c>
      <c r="C342" s="9" t="s">
        <v>500</v>
      </c>
      <c r="D342" s="9" t="s">
        <v>18</v>
      </c>
      <c r="E342" s="9" t="s">
        <v>227</v>
      </c>
      <c r="F342" s="11">
        <v>0</v>
      </c>
      <c r="G342" s="11">
        <v>0</v>
      </c>
      <c r="H342" s="11">
        <v>0</v>
      </c>
      <c r="I342" s="11">
        <v>50</v>
      </c>
      <c r="J342" s="11">
        <v>-50</v>
      </c>
      <c r="K342" s="12">
        <v>0</v>
      </c>
      <c r="L342" s="9" t="s">
        <v>18</v>
      </c>
      <c r="M342" s="9" t="s">
        <v>65</v>
      </c>
      <c r="N342" s="9" t="s">
        <v>18</v>
      </c>
      <c r="O342" s="9">
        <v>0</v>
      </c>
    </row>
    <row r="343" spans="1:15" x14ac:dyDescent="0.2">
      <c r="A343" s="9" t="s">
        <v>508</v>
      </c>
      <c r="B343" s="10">
        <v>45874</v>
      </c>
      <c r="C343" s="9" t="s">
        <v>500</v>
      </c>
      <c r="D343" s="9" t="s">
        <v>18</v>
      </c>
      <c r="E343" s="9" t="s">
        <v>227</v>
      </c>
      <c r="F343" s="11">
        <v>1215.5999999999999</v>
      </c>
      <c r="G343" s="11">
        <v>0</v>
      </c>
      <c r="H343" s="11">
        <v>1215.5999999999999</v>
      </c>
      <c r="I343" s="11">
        <v>688.98</v>
      </c>
      <c r="J343" s="11">
        <v>526.62</v>
      </c>
      <c r="K343" s="12">
        <v>0.43321816000000002</v>
      </c>
      <c r="L343" s="9" t="s">
        <v>18</v>
      </c>
      <c r="M343" s="9" t="s">
        <v>65</v>
      </c>
      <c r="N343" s="9" t="s">
        <v>18</v>
      </c>
      <c r="O343" s="9">
        <v>1</v>
      </c>
    </row>
    <row r="344" spans="1:15" x14ac:dyDescent="0.2">
      <c r="A344" s="9" t="s">
        <v>509</v>
      </c>
      <c r="B344" s="10">
        <v>45874</v>
      </c>
      <c r="C344" s="9" t="s">
        <v>500</v>
      </c>
      <c r="D344" s="9" t="s">
        <v>18</v>
      </c>
      <c r="E344" s="9" t="s">
        <v>227</v>
      </c>
      <c r="F344" s="11">
        <v>1651</v>
      </c>
      <c r="G344" s="11">
        <v>0</v>
      </c>
      <c r="H344" s="11">
        <v>1651</v>
      </c>
      <c r="I344" s="11">
        <v>1183.4000000000001</v>
      </c>
      <c r="J344" s="11">
        <v>467.6</v>
      </c>
      <c r="K344" s="12">
        <v>0.28322228999999999</v>
      </c>
      <c r="L344" s="9" t="s">
        <v>18</v>
      </c>
      <c r="M344" s="9" t="s">
        <v>65</v>
      </c>
      <c r="N344" s="9" t="s">
        <v>18</v>
      </c>
      <c r="O344" s="9">
        <v>1</v>
      </c>
    </row>
    <row r="345" spans="1:15" x14ac:dyDescent="0.2">
      <c r="A345" s="9" t="s">
        <v>510</v>
      </c>
      <c r="B345" s="10">
        <v>45874</v>
      </c>
      <c r="C345" s="9" t="s">
        <v>500</v>
      </c>
      <c r="D345" s="9" t="s">
        <v>18</v>
      </c>
      <c r="E345" s="9" t="s">
        <v>227</v>
      </c>
      <c r="F345" s="11">
        <v>1651</v>
      </c>
      <c r="G345" s="11">
        <v>0</v>
      </c>
      <c r="H345" s="11">
        <v>1651</v>
      </c>
      <c r="I345" s="11">
        <v>1244.4000000000001</v>
      </c>
      <c r="J345" s="11">
        <v>406.6</v>
      </c>
      <c r="K345" s="12">
        <v>0.24627498</v>
      </c>
      <c r="L345" s="9" t="s">
        <v>18</v>
      </c>
      <c r="M345" s="9" t="s">
        <v>65</v>
      </c>
      <c r="N345" s="9" t="s">
        <v>18</v>
      </c>
      <c r="O345" s="9">
        <v>1</v>
      </c>
    </row>
    <row r="346" spans="1:15" x14ac:dyDescent="0.2">
      <c r="A346" s="9" t="s">
        <v>511</v>
      </c>
      <c r="B346" s="10">
        <v>45874</v>
      </c>
      <c r="C346" s="9" t="s">
        <v>500</v>
      </c>
      <c r="D346" s="9" t="s">
        <v>18</v>
      </c>
      <c r="E346" s="9" t="s">
        <v>227</v>
      </c>
      <c r="F346" s="11">
        <v>1651</v>
      </c>
      <c r="G346" s="11">
        <v>0</v>
      </c>
      <c r="H346" s="11">
        <v>1651</v>
      </c>
      <c r="I346" s="11">
        <v>1336.4</v>
      </c>
      <c r="J346" s="11">
        <v>314.60000000000002</v>
      </c>
      <c r="K346" s="12">
        <v>0.19055117999999999</v>
      </c>
      <c r="L346" s="9" t="s">
        <v>18</v>
      </c>
      <c r="M346" s="9" t="s">
        <v>65</v>
      </c>
      <c r="N346" s="9" t="s">
        <v>18</v>
      </c>
      <c r="O346" s="9">
        <v>1</v>
      </c>
    </row>
    <row r="347" spans="1:15" x14ac:dyDescent="0.2">
      <c r="A347" s="9" t="s">
        <v>512</v>
      </c>
      <c r="B347" s="10">
        <v>45874</v>
      </c>
      <c r="C347" s="9" t="s">
        <v>500</v>
      </c>
      <c r="D347" s="9" t="s">
        <v>18</v>
      </c>
      <c r="E347" s="9" t="s">
        <v>227</v>
      </c>
      <c r="F347" s="11">
        <v>1651</v>
      </c>
      <c r="G347" s="11">
        <v>0</v>
      </c>
      <c r="H347" s="11">
        <v>1651</v>
      </c>
      <c r="I347" s="11">
        <v>1266.4000000000001</v>
      </c>
      <c r="J347" s="11">
        <v>384.6</v>
      </c>
      <c r="K347" s="12">
        <v>0.23294972999999999</v>
      </c>
      <c r="L347" s="9" t="s">
        <v>18</v>
      </c>
      <c r="M347" s="9" t="s">
        <v>65</v>
      </c>
      <c r="N347" s="9" t="s">
        <v>18</v>
      </c>
      <c r="O347" s="9">
        <v>1</v>
      </c>
    </row>
    <row r="348" spans="1:15" x14ac:dyDescent="0.2">
      <c r="A348" s="9" t="s">
        <v>513</v>
      </c>
      <c r="B348" s="10">
        <v>45874</v>
      </c>
      <c r="C348" s="9" t="s">
        <v>500</v>
      </c>
      <c r="D348" s="9" t="s">
        <v>18</v>
      </c>
      <c r="E348" s="9" t="s">
        <v>227</v>
      </c>
      <c r="F348" s="11">
        <v>2172.1999999999998</v>
      </c>
      <c r="G348" s="11">
        <v>0</v>
      </c>
      <c r="H348" s="11">
        <v>2172.1999999999998</v>
      </c>
      <c r="I348" s="11">
        <v>1650.26</v>
      </c>
      <c r="J348" s="11">
        <v>521.94000000000005</v>
      </c>
      <c r="K348" s="12">
        <v>0.24028173999999999</v>
      </c>
      <c r="L348" s="9" t="s">
        <v>18</v>
      </c>
      <c r="M348" s="9" t="s">
        <v>65</v>
      </c>
      <c r="N348" s="9" t="s">
        <v>18</v>
      </c>
      <c r="O348" s="9">
        <v>1</v>
      </c>
    </row>
    <row r="349" spans="1:15" x14ac:dyDescent="0.2">
      <c r="A349" s="9" t="s">
        <v>514</v>
      </c>
      <c r="B349" s="10">
        <v>45874</v>
      </c>
      <c r="C349" s="9" t="s">
        <v>500</v>
      </c>
      <c r="D349" s="9" t="s">
        <v>18</v>
      </c>
      <c r="E349" s="9" t="s">
        <v>227</v>
      </c>
      <c r="F349" s="11">
        <v>2284.98</v>
      </c>
      <c r="G349" s="11">
        <v>0</v>
      </c>
      <c r="H349" s="11">
        <v>2284.98</v>
      </c>
      <c r="I349" s="11">
        <v>1749.26</v>
      </c>
      <c r="J349" s="11">
        <v>535.72</v>
      </c>
      <c r="K349" s="12">
        <v>0.23445282000000001</v>
      </c>
      <c r="L349" s="9" t="s">
        <v>18</v>
      </c>
      <c r="M349" s="9" t="s">
        <v>65</v>
      </c>
      <c r="N349" s="9" t="s">
        <v>18</v>
      </c>
      <c r="O349" s="9">
        <v>1</v>
      </c>
    </row>
    <row r="350" spans="1:15" x14ac:dyDescent="0.2">
      <c r="A350" s="9" t="s">
        <v>515</v>
      </c>
      <c r="B350" s="10">
        <v>45874</v>
      </c>
      <c r="C350" s="9" t="s">
        <v>500</v>
      </c>
      <c r="D350" s="9" t="s">
        <v>18</v>
      </c>
      <c r="E350" s="9" t="s">
        <v>227</v>
      </c>
      <c r="F350" s="11">
        <v>2228.4299999999998</v>
      </c>
      <c r="G350" s="11">
        <v>0</v>
      </c>
      <c r="H350" s="11">
        <v>2228.4299999999998</v>
      </c>
      <c r="I350" s="11">
        <v>1699.76</v>
      </c>
      <c r="J350" s="11">
        <v>528.66999999999996</v>
      </c>
      <c r="K350" s="12">
        <v>0.23723876999999999</v>
      </c>
      <c r="L350" s="9" t="s">
        <v>18</v>
      </c>
      <c r="M350" s="9" t="s">
        <v>65</v>
      </c>
      <c r="N350" s="9" t="s">
        <v>18</v>
      </c>
      <c r="O350" s="9">
        <v>1</v>
      </c>
    </row>
    <row r="351" spans="1:15" x14ac:dyDescent="0.2">
      <c r="A351" s="9" t="s">
        <v>516</v>
      </c>
      <c r="B351" s="10">
        <v>45875</v>
      </c>
      <c r="C351" s="9" t="s">
        <v>500</v>
      </c>
      <c r="D351" s="9" t="s">
        <v>18</v>
      </c>
      <c r="E351" s="9" t="s">
        <v>227</v>
      </c>
      <c r="F351" s="11">
        <v>2365.25</v>
      </c>
      <c r="G351" s="11">
        <v>0</v>
      </c>
      <c r="H351" s="11">
        <v>2365.25</v>
      </c>
      <c r="I351" s="11">
        <v>1922.16</v>
      </c>
      <c r="J351" s="11">
        <v>443.09</v>
      </c>
      <c r="K351" s="12">
        <v>0.18733326</v>
      </c>
      <c r="L351" s="9" t="s">
        <v>18</v>
      </c>
      <c r="M351" s="9" t="s">
        <v>65</v>
      </c>
      <c r="N351" s="9" t="s">
        <v>18</v>
      </c>
      <c r="O351" s="9">
        <v>1</v>
      </c>
    </row>
    <row r="352" spans="1:15" x14ac:dyDescent="0.2">
      <c r="A352" s="9" t="s">
        <v>517</v>
      </c>
      <c r="B352" s="10">
        <v>45876</v>
      </c>
      <c r="C352" s="9" t="s">
        <v>500</v>
      </c>
      <c r="D352" s="9" t="s">
        <v>18</v>
      </c>
      <c r="E352" s="9" t="s">
        <v>227</v>
      </c>
      <c r="F352" s="11">
        <v>1514.18</v>
      </c>
      <c r="G352" s="11">
        <v>0</v>
      </c>
      <c r="H352" s="11">
        <v>1514.18</v>
      </c>
      <c r="I352" s="11">
        <v>1086</v>
      </c>
      <c r="J352" s="11">
        <v>428.18</v>
      </c>
      <c r="K352" s="12">
        <v>0.28278012000000002</v>
      </c>
      <c r="L352" s="9" t="s">
        <v>18</v>
      </c>
      <c r="M352" s="9" t="s">
        <v>65</v>
      </c>
      <c r="N352" s="9" t="s">
        <v>18</v>
      </c>
      <c r="O352" s="9">
        <v>1</v>
      </c>
    </row>
    <row r="353" spans="1:15" x14ac:dyDescent="0.2">
      <c r="A353" s="9" t="s">
        <v>518</v>
      </c>
      <c r="B353" s="10">
        <v>45876</v>
      </c>
      <c r="C353" s="9" t="s">
        <v>500</v>
      </c>
      <c r="D353" s="9" t="s">
        <v>18</v>
      </c>
      <c r="E353" s="9" t="s">
        <v>227</v>
      </c>
      <c r="F353" s="11">
        <v>1651</v>
      </c>
      <c r="G353" s="11">
        <v>0</v>
      </c>
      <c r="H353" s="11">
        <v>1651</v>
      </c>
      <c r="I353" s="11">
        <v>1266.4000000000001</v>
      </c>
      <c r="J353" s="11">
        <v>384.6</v>
      </c>
      <c r="K353" s="12">
        <v>0.23294972999999999</v>
      </c>
      <c r="L353" s="9" t="s">
        <v>18</v>
      </c>
      <c r="M353" s="9" t="s">
        <v>65</v>
      </c>
      <c r="N353" s="9" t="s">
        <v>18</v>
      </c>
      <c r="O353" s="9">
        <v>1</v>
      </c>
    </row>
    <row r="354" spans="1:15" x14ac:dyDescent="0.2">
      <c r="A354" s="9" t="s">
        <v>519</v>
      </c>
      <c r="B354" s="10">
        <v>45876</v>
      </c>
      <c r="C354" s="9" t="s">
        <v>500</v>
      </c>
      <c r="D354" s="9" t="s">
        <v>18</v>
      </c>
      <c r="E354" s="9" t="s">
        <v>227</v>
      </c>
      <c r="F354" s="11">
        <v>1651</v>
      </c>
      <c r="G354" s="11">
        <v>0</v>
      </c>
      <c r="H354" s="11">
        <v>1651</v>
      </c>
      <c r="I354" s="11">
        <v>1266.4000000000001</v>
      </c>
      <c r="J354" s="11">
        <v>384.6</v>
      </c>
      <c r="K354" s="12">
        <v>0.23294972999999999</v>
      </c>
      <c r="L354" s="9" t="s">
        <v>18</v>
      </c>
      <c r="M354" s="9" t="s">
        <v>65</v>
      </c>
      <c r="N354" s="9" t="s">
        <v>18</v>
      </c>
      <c r="O354" s="9">
        <v>1</v>
      </c>
    </row>
    <row r="355" spans="1:15" x14ac:dyDescent="0.2">
      <c r="A355" s="9" t="s">
        <v>520</v>
      </c>
      <c r="B355" s="10">
        <v>45876</v>
      </c>
      <c r="C355" s="9" t="s">
        <v>500</v>
      </c>
      <c r="D355" s="9" t="s">
        <v>18</v>
      </c>
      <c r="E355" s="9" t="s">
        <v>227</v>
      </c>
      <c r="F355" s="11">
        <v>0</v>
      </c>
      <c r="G355" s="11">
        <v>0</v>
      </c>
      <c r="H355" s="11">
        <v>0</v>
      </c>
      <c r="I355" s="11">
        <v>250</v>
      </c>
      <c r="J355" s="11">
        <v>-250</v>
      </c>
      <c r="K355" s="12">
        <v>0</v>
      </c>
      <c r="L355" s="9" t="s">
        <v>18</v>
      </c>
      <c r="M355" s="9" t="s">
        <v>65</v>
      </c>
      <c r="N355" s="9" t="s">
        <v>18</v>
      </c>
      <c r="O355" s="9">
        <v>0</v>
      </c>
    </row>
    <row r="356" spans="1:15" x14ac:dyDescent="0.2">
      <c r="A356" s="9" t="s">
        <v>521</v>
      </c>
      <c r="B356" s="10">
        <v>45876</v>
      </c>
      <c r="C356" s="9" t="s">
        <v>500</v>
      </c>
      <c r="D356" s="9" t="s">
        <v>18</v>
      </c>
      <c r="E356" s="9" t="s">
        <v>227</v>
      </c>
      <c r="F356" s="11">
        <v>0</v>
      </c>
      <c r="G356" s="11">
        <v>0</v>
      </c>
      <c r="H356" s="11">
        <v>0</v>
      </c>
      <c r="I356" s="11">
        <v>100</v>
      </c>
      <c r="J356" s="11">
        <v>-100</v>
      </c>
      <c r="K356" s="12">
        <v>0</v>
      </c>
      <c r="L356" s="9" t="s">
        <v>18</v>
      </c>
      <c r="M356" s="9" t="s">
        <v>65</v>
      </c>
      <c r="N356" s="9" t="s">
        <v>18</v>
      </c>
      <c r="O356" s="9">
        <v>0</v>
      </c>
    </row>
    <row r="357" spans="1:15" x14ac:dyDescent="0.2">
      <c r="A357" s="9" t="s">
        <v>522</v>
      </c>
      <c r="B357" s="10">
        <v>45876</v>
      </c>
      <c r="C357" s="9" t="s">
        <v>500</v>
      </c>
      <c r="D357" s="9" t="s">
        <v>18</v>
      </c>
      <c r="E357" s="9" t="s">
        <v>227</v>
      </c>
      <c r="F357" s="11">
        <v>0</v>
      </c>
      <c r="G357" s="11">
        <v>0</v>
      </c>
      <c r="H357" s="11">
        <v>0</v>
      </c>
      <c r="I357" s="11">
        <v>250</v>
      </c>
      <c r="J357" s="11">
        <v>-250</v>
      </c>
      <c r="K357" s="12">
        <v>0</v>
      </c>
      <c r="L357" s="9" t="s">
        <v>18</v>
      </c>
      <c r="M357" s="9" t="s">
        <v>65</v>
      </c>
      <c r="N357" s="9" t="s">
        <v>18</v>
      </c>
      <c r="O357" s="9">
        <v>0</v>
      </c>
    </row>
    <row r="358" spans="1:15" x14ac:dyDescent="0.2">
      <c r="A358" s="9" t="s">
        <v>523</v>
      </c>
      <c r="B358" s="10">
        <v>45876</v>
      </c>
      <c r="C358" s="9" t="s">
        <v>500</v>
      </c>
      <c r="D358" s="9" t="s">
        <v>18</v>
      </c>
      <c r="E358" s="9" t="s">
        <v>227</v>
      </c>
      <c r="F358" s="11">
        <v>2421.8000000000002</v>
      </c>
      <c r="G358" s="11">
        <v>0</v>
      </c>
      <c r="H358" s="11">
        <v>2421.8000000000002</v>
      </c>
      <c r="I358" s="11">
        <v>2609.16</v>
      </c>
      <c r="J358" s="11">
        <v>-187.36</v>
      </c>
      <c r="K358" s="12">
        <v>-7.7363940000000006E-2</v>
      </c>
      <c r="L358" s="9" t="s">
        <v>18</v>
      </c>
      <c r="M358" s="9" t="s">
        <v>65</v>
      </c>
      <c r="N358" s="9" t="s">
        <v>18</v>
      </c>
      <c r="O358" s="9">
        <v>1</v>
      </c>
    </row>
    <row r="359" spans="1:15" x14ac:dyDescent="0.2">
      <c r="A359" s="9" t="s">
        <v>522</v>
      </c>
      <c r="B359" s="10">
        <v>45877</v>
      </c>
      <c r="C359" s="9" t="s">
        <v>500</v>
      </c>
      <c r="D359" s="9" t="s">
        <v>18</v>
      </c>
      <c r="E359" s="9" t="s">
        <v>227</v>
      </c>
      <c r="F359" s="11">
        <v>0</v>
      </c>
      <c r="G359" s="11">
        <v>0</v>
      </c>
      <c r="H359" s="11">
        <v>0</v>
      </c>
      <c r="I359" s="11">
        <v>-45.55</v>
      </c>
      <c r="J359" s="11">
        <v>45.55</v>
      </c>
      <c r="K359" s="12">
        <v>0</v>
      </c>
      <c r="L359" s="9" t="s">
        <v>18</v>
      </c>
      <c r="M359" s="9" t="s">
        <v>65</v>
      </c>
      <c r="N359" s="9" t="s">
        <v>18</v>
      </c>
      <c r="O359" s="9">
        <v>0</v>
      </c>
    </row>
    <row r="360" spans="1:15" x14ac:dyDescent="0.2">
      <c r="A360" s="9" t="s">
        <v>524</v>
      </c>
      <c r="B360" s="10">
        <v>45877</v>
      </c>
      <c r="C360" s="9" t="s">
        <v>500</v>
      </c>
      <c r="D360" s="9" t="s">
        <v>18</v>
      </c>
      <c r="E360" s="9" t="s">
        <v>227</v>
      </c>
      <c r="F360" s="11">
        <v>0</v>
      </c>
      <c r="G360" s="11">
        <v>0</v>
      </c>
      <c r="H360" s="11">
        <v>0</v>
      </c>
      <c r="I360" s="11">
        <v>-67.55</v>
      </c>
      <c r="J360" s="11">
        <v>67.55</v>
      </c>
      <c r="K360" s="12">
        <v>0</v>
      </c>
      <c r="L360" s="9" t="s">
        <v>18</v>
      </c>
      <c r="M360" s="9" t="s">
        <v>65</v>
      </c>
      <c r="N360" s="9" t="s">
        <v>18</v>
      </c>
      <c r="O360" s="9">
        <v>0</v>
      </c>
    </row>
    <row r="361" spans="1:15" x14ac:dyDescent="0.2">
      <c r="A361" s="9" t="s">
        <v>525</v>
      </c>
      <c r="B361" s="10">
        <v>45877</v>
      </c>
      <c r="C361" s="9" t="s">
        <v>500</v>
      </c>
      <c r="D361" s="9" t="s">
        <v>18</v>
      </c>
      <c r="E361" s="9" t="s">
        <v>227</v>
      </c>
      <c r="F361" s="11">
        <v>0</v>
      </c>
      <c r="G361" s="11">
        <v>0</v>
      </c>
      <c r="H361" s="11">
        <v>0</v>
      </c>
      <c r="I361" s="11">
        <v>-41.98</v>
      </c>
      <c r="J361" s="11">
        <v>41.98</v>
      </c>
      <c r="K361" s="12">
        <v>0</v>
      </c>
      <c r="L361" s="9" t="s">
        <v>18</v>
      </c>
      <c r="M361" s="9" t="s">
        <v>65</v>
      </c>
      <c r="N361" s="9" t="s">
        <v>18</v>
      </c>
      <c r="O361" s="9">
        <v>0</v>
      </c>
    </row>
    <row r="362" spans="1:15" x14ac:dyDescent="0.2">
      <c r="A362" s="9" t="s">
        <v>526</v>
      </c>
      <c r="B362" s="10">
        <v>45877</v>
      </c>
      <c r="C362" s="9" t="s">
        <v>500</v>
      </c>
      <c r="D362" s="9" t="s">
        <v>18</v>
      </c>
      <c r="E362" s="9" t="s">
        <v>227</v>
      </c>
      <c r="F362" s="11">
        <v>0</v>
      </c>
      <c r="G362" s="11">
        <v>0</v>
      </c>
      <c r="H362" s="11">
        <v>0</v>
      </c>
      <c r="I362" s="11">
        <v>-28.46</v>
      </c>
      <c r="J362" s="11">
        <v>28.46</v>
      </c>
      <c r="K362" s="12">
        <v>0</v>
      </c>
      <c r="L362" s="9" t="s">
        <v>18</v>
      </c>
      <c r="M362" s="9" t="s">
        <v>65</v>
      </c>
      <c r="N362" s="9" t="s">
        <v>18</v>
      </c>
      <c r="O362" s="9">
        <v>0</v>
      </c>
    </row>
    <row r="363" spans="1:15" x14ac:dyDescent="0.2">
      <c r="A363" s="9" t="s">
        <v>527</v>
      </c>
      <c r="B363" s="10">
        <v>45877</v>
      </c>
      <c r="C363" s="9" t="s">
        <v>500</v>
      </c>
      <c r="D363" s="9" t="s">
        <v>18</v>
      </c>
      <c r="E363" s="9" t="s">
        <v>227</v>
      </c>
      <c r="F363" s="11">
        <v>0</v>
      </c>
      <c r="G363" s="11">
        <v>0</v>
      </c>
      <c r="H363" s="11">
        <v>0</v>
      </c>
      <c r="I363" s="11">
        <v>-29.95</v>
      </c>
      <c r="J363" s="11">
        <v>29.95</v>
      </c>
      <c r="K363" s="12">
        <v>0</v>
      </c>
      <c r="L363" s="9" t="s">
        <v>18</v>
      </c>
      <c r="M363" s="9" t="s">
        <v>65</v>
      </c>
      <c r="N363" s="9" t="s">
        <v>18</v>
      </c>
      <c r="O363" s="9">
        <v>0</v>
      </c>
    </row>
    <row r="364" spans="1:15" x14ac:dyDescent="0.2">
      <c r="A364" s="9" t="s">
        <v>528</v>
      </c>
      <c r="B364" s="10">
        <v>45877</v>
      </c>
      <c r="C364" s="9" t="s">
        <v>500</v>
      </c>
      <c r="D364" s="9" t="s">
        <v>18</v>
      </c>
      <c r="E364" s="9" t="s">
        <v>227</v>
      </c>
      <c r="F364" s="11">
        <v>0</v>
      </c>
      <c r="G364" s="11">
        <v>0</v>
      </c>
      <c r="H364" s="11">
        <v>0</v>
      </c>
      <c r="I364" s="11">
        <v>-25.73</v>
      </c>
      <c r="J364" s="11">
        <v>25.73</v>
      </c>
      <c r="K364" s="12">
        <v>0</v>
      </c>
      <c r="L364" s="9" t="s">
        <v>18</v>
      </c>
      <c r="M364" s="9" t="s">
        <v>65</v>
      </c>
      <c r="N364" s="9" t="s">
        <v>18</v>
      </c>
      <c r="O364" s="9">
        <v>0</v>
      </c>
    </row>
    <row r="365" spans="1:15" x14ac:dyDescent="0.2">
      <c r="A365" s="9" t="s">
        <v>529</v>
      </c>
      <c r="B365" s="10">
        <v>45877</v>
      </c>
      <c r="C365" s="9" t="s">
        <v>500</v>
      </c>
      <c r="D365" s="9" t="s">
        <v>18</v>
      </c>
      <c r="E365" s="9" t="s">
        <v>227</v>
      </c>
      <c r="F365" s="11">
        <v>0</v>
      </c>
      <c r="G365" s="11">
        <v>0</v>
      </c>
      <c r="H365" s="11">
        <v>0</v>
      </c>
      <c r="I365" s="11">
        <v>-44.71</v>
      </c>
      <c r="J365" s="11">
        <v>44.71</v>
      </c>
      <c r="K365" s="12">
        <v>0</v>
      </c>
      <c r="L365" s="9" t="s">
        <v>18</v>
      </c>
      <c r="M365" s="9" t="s">
        <v>65</v>
      </c>
      <c r="N365" s="9" t="s">
        <v>18</v>
      </c>
      <c r="O365" s="9">
        <v>0</v>
      </c>
    </row>
    <row r="366" spans="1:15" x14ac:dyDescent="0.2">
      <c r="A366" s="9" t="s">
        <v>530</v>
      </c>
      <c r="B366" s="10">
        <v>45877</v>
      </c>
      <c r="C366" s="9" t="s">
        <v>500</v>
      </c>
      <c r="D366" s="9" t="s">
        <v>18</v>
      </c>
      <c r="E366" s="9" t="s">
        <v>227</v>
      </c>
      <c r="F366" s="11">
        <v>0</v>
      </c>
      <c r="G366" s="11">
        <v>0</v>
      </c>
      <c r="H366" s="11">
        <v>0</v>
      </c>
      <c r="I366" s="11">
        <v>-39.21</v>
      </c>
      <c r="J366" s="11">
        <v>39.21</v>
      </c>
      <c r="K366" s="12">
        <v>0</v>
      </c>
      <c r="L366" s="9" t="s">
        <v>18</v>
      </c>
      <c r="M366" s="9" t="s">
        <v>65</v>
      </c>
      <c r="N366" s="9" t="s">
        <v>18</v>
      </c>
      <c r="O366" s="9">
        <v>0</v>
      </c>
    </row>
    <row r="367" spans="1:15" x14ac:dyDescent="0.2">
      <c r="A367" s="9" t="s">
        <v>531</v>
      </c>
      <c r="B367" s="10">
        <v>45877</v>
      </c>
      <c r="C367" s="9" t="s">
        <v>500</v>
      </c>
      <c r="D367" s="9" t="s">
        <v>18</v>
      </c>
      <c r="E367" s="9" t="s">
        <v>227</v>
      </c>
      <c r="F367" s="11">
        <v>0</v>
      </c>
      <c r="G367" s="11">
        <v>0</v>
      </c>
      <c r="H367" s="11">
        <v>0</v>
      </c>
      <c r="I367" s="11">
        <v>-14.86</v>
      </c>
      <c r="J367" s="11">
        <v>14.86</v>
      </c>
      <c r="K367" s="12">
        <v>0</v>
      </c>
      <c r="L367" s="9" t="s">
        <v>18</v>
      </c>
      <c r="M367" s="9" t="s">
        <v>65</v>
      </c>
      <c r="N367" s="9" t="s">
        <v>18</v>
      </c>
      <c r="O367" s="9">
        <v>0</v>
      </c>
    </row>
    <row r="368" spans="1:15" x14ac:dyDescent="0.2">
      <c r="A368" s="9" t="s">
        <v>532</v>
      </c>
      <c r="B368" s="10">
        <v>45877</v>
      </c>
      <c r="C368" s="9" t="s">
        <v>500</v>
      </c>
      <c r="D368" s="9" t="s">
        <v>18</v>
      </c>
      <c r="E368" s="9" t="s">
        <v>227</v>
      </c>
      <c r="F368" s="11">
        <v>0</v>
      </c>
      <c r="G368" s="11">
        <v>0</v>
      </c>
      <c r="H368" s="11">
        <v>0</v>
      </c>
      <c r="I368" s="11">
        <v>-28.46</v>
      </c>
      <c r="J368" s="11">
        <v>28.46</v>
      </c>
      <c r="K368" s="12">
        <v>0</v>
      </c>
      <c r="L368" s="9" t="s">
        <v>18</v>
      </c>
      <c r="M368" s="9" t="s">
        <v>65</v>
      </c>
      <c r="N368" s="9" t="s">
        <v>18</v>
      </c>
      <c r="O368" s="9">
        <v>0</v>
      </c>
    </row>
    <row r="369" spans="1:15" x14ac:dyDescent="0.2">
      <c r="A369" s="9" t="s">
        <v>533</v>
      </c>
      <c r="B369" s="10">
        <v>45877</v>
      </c>
      <c r="C369" s="9" t="s">
        <v>500</v>
      </c>
      <c r="D369" s="9" t="s">
        <v>18</v>
      </c>
      <c r="E369" s="9" t="s">
        <v>227</v>
      </c>
      <c r="F369" s="11">
        <v>0</v>
      </c>
      <c r="G369" s="11">
        <v>0</v>
      </c>
      <c r="H369" s="11">
        <v>0</v>
      </c>
      <c r="I369" s="11">
        <v>-28.46</v>
      </c>
      <c r="J369" s="11">
        <v>28.46</v>
      </c>
      <c r="K369" s="12">
        <v>0</v>
      </c>
      <c r="L369" s="9" t="s">
        <v>18</v>
      </c>
      <c r="M369" s="9" t="s">
        <v>65</v>
      </c>
      <c r="N369" s="9" t="s">
        <v>18</v>
      </c>
      <c r="O369" s="9">
        <v>0</v>
      </c>
    </row>
    <row r="370" spans="1:15" x14ac:dyDescent="0.2">
      <c r="A370" s="9" t="s">
        <v>534</v>
      </c>
      <c r="B370" s="10">
        <v>45877</v>
      </c>
      <c r="C370" s="9" t="s">
        <v>500</v>
      </c>
      <c r="D370" s="9" t="s">
        <v>18</v>
      </c>
      <c r="E370" s="9" t="s">
        <v>227</v>
      </c>
      <c r="F370" s="11">
        <v>0</v>
      </c>
      <c r="G370" s="11">
        <v>0</v>
      </c>
      <c r="H370" s="11">
        <v>0</v>
      </c>
      <c r="I370" s="11">
        <v>-28.46</v>
      </c>
      <c r="J370" s="11">
        <v>28.46</v>
      </c>
      <c r="K370" s="12">
        <v>0</v>
      </c>
      <c r="L370" s="9" t="s">
        <v>18</v>
      </c>
      <c r="M370" s="9" t="s">
        <v>65</v>
      </c>
      <c r="N370" s="9" t="s">
        <v>18</v>
      </c>
      <c r="O370" s="9">
        <v>0</v>
      </c>
    </row>
    <row r="371" spans="1:15" x14ac:dyDescent="0.2">
      <c r="A371" s="9" t="s">
        <v>535</v>
      </c>
      <c r="B371" s="10">
        <v>45877</v>
      </c>
      <c r="C371" s="9" t="s">
        <v>500</v>
      </c>
      <c r="D371" s="9" t="s">
        <v>18</v>
      </c>
      <c r="E371" s="9" t="s">
        <v>227</v>
      </c>
      <c r="F371" s="11">
        <v>0</v>
      </c>
      <c r="G371" s="11">
        <v>0</v>
      </c>
      <c r="H371" s="11">
        <v>0</v>
      </c>
      <c r="I371" s="11">
        <v>-28.46</v>
      </c>
      <c r="J371" s="11">
        <v>28.46</v>
      </c>
      <c r="K371" s="12">
        <v>0</v>
      </c>
      <c r="L371" s="9" t="s">
        <v>18</v>
      </c>
      <c r="M371" s="9" t="s">
        <v>65</v>
      </c>
      <c r="N371" s="9" t="s">
        <v>18</v>
      </c>
      <c r="O371" s="9">
        <v>0</v>
      </c>
    </row>
    <row r="372" spans="1:15" x14ac:dyDescent="0.2">
      <c r="A372" s="9" t="s">
        <v>536</v>
      </c>
      <c r="B372" s="10">
        <v>45877</v>
      </c>
      <c r="C372" s="9" t="s">
        <v>500</v>
      </c>
      <c r="D372" s="9" t="s">
        <v>18</v>
      </c>
      <c r="E372" s="9" t="s">
        <v>227</v>
      </c>
      <c r="F372" s="11">
        <v>0</v>
      </c>
      <c r="G372" s="11">
        <v>0</v>
      </c>
      <c r="H372" s="11">
        <v>0</v>
      </c>
      <c r="I372" s="11">
        <v>-25.73</v>
      </c>
      <c r="J372" s="11">
        <v>25.73</v>
      </c>
      <c r="K372" s="12">
        <v>0</v>
      </c>
      <c r="L372" s="9" t="s">
        <v>18</v>
      </c>
      <c r="M372" s="9" t="s">
        <v>65</v>
      </c>
      <c r="N372" s="9" t="s">
        <v>18</v>
      </c>
      <c r="O372" s="9">
        <v>0</v>
      </c>
    </row>
    <row r="373" spans="1:15" x14ac:dyDescent="0.2">
      <c r="A373" s="9" t="s">
        <v>537</v>
      </c>
      <c r="B373" s="10">
        <v>45877</v>
      </c>
      <c r="C373" s="9" t="s">
        <v>500</v>
      </c>
      <c r="D373" s="9" t="s">
        <v>18</v>
      </c>
      <c r="E373" s="9" t="s">
        <v>227</v>
      </c>
      <c r="F373" s="11">
        <v>0</v>
      </c>
      <c r="G373" s="11">
        <v>0</v>
      </c>
      <c r="H373" s="11">
        <v>0</v>
      </c>
      <c r="I373" s="11">
        <v>-43.32</v>
      </c>
      <c r="J373" s="11">
        <v>43.32</v>
      </c>
      <c r="K373" s="12">
        <v>0</v>
      </c>
      <c r="L373" s="9" t="s">
        <v>18</v>
      </c>
      <c r="M373" s="9" t="s">
        <v>65</v>
      </c>
      <c r="N373" s="9" t="s">
        <v>18</v>
      </c>
      <c r="O373" s="9">
        <v>0</v>
      </c>
    </row>
    <row r="374" spans="1:15" x14ac:dyDescent="0.2">
      <c r="A374" s="9" t="s">
        <v>538</v>
      </c>
      <c r="B374" s="10">
        <v>45877</v>
      </c>
      <c r="C374" s="9" t="s">
        <v>500</v>
      </c>
      <c r="D374" s="9" t="s">
        <v>18</v>
      </c>
      <c r="E374" s="9" t="s">
        <v>227</v>
      </c>
      <c r="F374" s="11">
        <v>0</v>
      </c>
      <c r="G374" s="11">
        <v>0</v>
      </c>
      <c r="H374" s="11">
        <v>0</v>
      </c>
      <c r="I374" s="11">
        <v>-25.73</v>
      </c>
      <c r="J374" s="11">
        <v>25.73</v>
      </c>
      <c r="K374" s="12">
        <v>0</v>
      </c>
      <c r="L374" s="9" t="s">
        <v>18</v>
      </c>
      <c r="M374" s="9" t="s">
        <v>65</v>
      </c>
      <c r="N374" s="9" t="s">
        <v>18</v>
      </c>
      <c r="O374" s="9">
        <v>0</v>
      </c>
    </row>
    <row r="375" spans="1:15" x14ac:dyDescent="0.2">
      <c r="A375" s="9" t="s">
        <v>539</v>
      </c>
      <c r="B375" s="10">
        <v>45877</v>
      </c>
      <c r="C375" s="9" t="s">
        <v>500</v>
      </c>
      <c r="D375" s="9" t="s">
        <v>18</v>
      </c>
      <c r="E375" s="9" t="s">
        <v>227</v>
      </c>
      <c r="F375" s="11">
        <v>0</v>
      </c>
      <c r="G375" s="11">
        <v>0</v>
      </c>
      <c r="H375" s="11">
        <v>0</v>
      </c>
      <c r="I375" s="11">
        <v>-25.73</v>
      </c>
      <c r="J375" s="11">
        <v>25.73</v>
      </c>
      <c r="K375" s="12">
        <v>0</v>
      </c>
      <c r="L375" s="9" t="s">
        <v>18</v>
      </c>
      <c r="M375" s="9" t="s">
        <v>65</v>
      </c>
      <c r="N375" s="9" t="s">
        <v>18</v>
      </c>
      <c r="O375" s="9">
        <v>0</v>
      </c>
    </row>
    <row r="376" spans="1:15" x14ac:dyDescent="0.2">
      <c r="A376" s="9" t="s">
        <v>540</v>
      </c>
      <c r="B376" s="10">
        <v>45877</v>
      </c>
      <c r="C376" s="9" t="s">
        <v>500</v>
      </c>
      <c r="D376" s="9" t="s">
        <v>18</v>
      </c>
      <c r="E376" s="9" t="s">
        <v>227</v>
      </c>
      <c r="F376" s="11">
        <v>0</v>
      </c>
      <c r="G376" s="11">
        <v>0</v>
      </c>
      <c r="H376" s="11">
        <v>0</v>
      </c>
      <c r="I376" s="11">
        <v>-28.46</v>
      </c>
      <c r="J376" s="11">
        <v>28.46</v>
      </c>
      <c r="K376" s="12">
        <v>0</v>
      </c>
      <c r="L376" s="9" t="s">
        <v>18</v>
      </c>
      <c r="M376" s="9" t="s">
        <v>65</v>
      </c>
      <c r="N376" s="9" t="s">
        <v>18</v>
      </c>
      <c r="O376" s="9">
        <v>0</v>
      </c>
    </row>
    <row r="377" spans="1:15" x14ac:dyDescent="0.2">
      <c r="A377" s="9" t="s">
        <v>541</v>
      </c>
      <c r="B377" s="10">
        <v>45877</v>
      </c>
      <c r="C377" s="9" t="s">
        <v>500</v>
      </c>
      <c r="D377" s="9" t="s">
        <v>18</v>
      </c>
      <c r="E377" s="9" t="s">
        <v>227</v>
      </c>
      <c r="F377" s="11">
        <v>0</v>
      </c>
      <c r="G377" s="11">
        <v>0</v>
      </c>
      <c r="H377" s="11">
        <v>0</v>
      </c>
      <c r="I377" s="11">
        <v>-14.86</v>
      </c>
      <c r="J377" s="11">
        <v>14.86</v>
      </c>
      <c r="K377" s="12">
        <v>0</v>
      </c>
      <c r="L377" s="9" t="s">
        <v>18</v>
      </c>
      <c r="M377" s="9" t="s">
        <v>65</v>
      </c>
      <c r="N377" s="9" t="s">
        <v>18</v>
      </c>
      <c r="O377" s="9">
        <v>0</v>
      </c>
    </row>
    <row r="378" spans="1:15" x14ac:dyDescent="0.2">
      <c r="A378" s="9" t="s">
        <v>542</v>
      </c>
      <c r="B378" s="10">
        <v>45877</v>
      </c>
      <c r="C378" s="9" t="s">
        <v>500</v>
      </c>
      <c r="D378" s="9" t="s">
        <v>18</v>
      </c>
      <c r="E378" s="9" t="s">
        <v>227</v>
      </c>
      <c r="F378" s="11">
        <v>0</v>
      </c>
      <c r="G378" s="11">
        <v>0</v>
      </c>
      <c r="H378" s="11">
        <v>0</v>
      </c>
      <c r="I378" s="11">
        <v>-28.46</v>
      </c>
      <c r="J378" s="11">
        <v>28.46</v>
      </c>
      <c r="K378" s="12">
        <v>0</v>
      </c>
      <c r="L378" s="9" t="s">
        <v>18</v>
      </c>
      <c r="M378" s="9" t="s">
        <v>65</v>
      </c>
      <c r="N378" s="9" t="s">
        <v>18</v>
      </c>
      <c r="O378" s="9">
        <v>0</v>
      </c>
    </row>
    <row r="379" spans="1:15" x14ac:dyDescent="0.2">
      <c r="A379" s="9" t="s">
        <v>543</v>
      </c>
      <c r="B379" s="10">
        <v>45877</v>
      </c>
      <c r="C379" s="9" t="s">
        <v>500</v>
      </c>
      <c r="D379" s="9" t="s">
        <v>18</v>
      </c>
      <c r="E379" s="9" t="s">
        <v>227</v>
      </c>
      <c r="F379" s="11">
        <v>0</v>
      </c>
      <c r="G379" s="11">
        <v>0</v>
      </c>
      <c r="H379" s="11">
        <v>0</v>
      </c>
      <c r="I379" s="11">
        <v>-39.21</v>
      </c>
      <c r="J379" s="11">
        <v>39.21</v>
      </c>
      <c r="K379" s="12">
        <v>0</v>
      </c>
      <c r="L379" s="9" t="s">
        <v>18</v>
      </c>
      <c r="M379" s="9" t="s">
        <v>65</v>
      </c>
      <c r="N379" s="9" t="s">
        <v>18</v>
      </c>
      <c r="O379" s="9">
        <v>0</v>
      </c>
    </row>
    <row r="380" spans="1:15" x14ac:dyDescent="0.2">
      <c r="A380" s="9" t="s">
        <v>544</v>
      </c>
      <c r="B380" s="10">
        <v>45877</v>
      </c>
      <c r="C380" s="9" t="s">
        <v>500</v>
      </c>
      <c r="D380" s="9" t="s">
        <v>18</v>
      </c>
      <c r="E380" s="9" t="s">
        <v>227</v>
      </c>
      <c r="F380" s="11">
        <v>0</v>
      </c>
      <c r="G380" s="11">
        <v>0</v>
      </c>
      <c r="H380" s="11">
        <v>0</v>
      </c>
      <c r="I380" s="11">
        <v>-25.73</v>
      </c>
      <c r="J380" s="11">
        <v>25.73</v>
      </c>
      <c r="K380" s="12">
        <v>0</v>
      </c>
      <c r="L380" s="9" t="s">
        <v>18</v>
      </c>
      <c r="M380" s="9" t="s">
        <v>65</v>
      </c>
      <c r="N380" s="9" t="s">
        <v>18</v>
      </c>
      <c r="O380" s="9">
        <v>0</v>
      </c>
    </row>
    <row r="381" spans="1:15" x14ac:dyDescent="0.2">
      <c r="A381" s="9" t="s">
        <v>545</v>
      </c>
      <c r="B381" s="10">
        <v>45877</v>
      </c>
      <c r="C381" s="9" t="s">
        <v>500</v>
      </c>
      <c r="D381" s="9" t="s">
        <v>18</v>
      </c>
      <c r="E381" s="9" t="s">
        <v>227</v>
      </c>
      <c r="F381" s="11">
        <v>0</v>
      </c>
      <c r="G381" s="11">
        <v>0</v>
      </c>
      <c r="H381" s="11">
        <v>0</v>
      </c>
      <c r="I381" s="11">
        <v>-44.71</v>
      </c>
      <c r="J381" s="11">
        <v>44.71</v>
      </c>
      <c r="K381" s="12">
        <v>0</v>
      </c>
      <c r="L381" s="9" t="s">
        <v>18</v>
      </c>
      <c r="M381" s="9" t="s">
        <v>65</v>
      </c>
      <c r="N381" s="9" t="s">
        <v>18</v>
      </c>
      <c r="O381" s="9">
        <v>0</v>
      </c>
    </row>
    <row r="382" spans="1:15" x14ac:dyDescent="0.2">
      <c r="A382" s="9" t="s">
        <v>546</v>
      </c>
      <c r="B382" s="10">
        <v>45877</v>
      </c>
      <c r="C382" s="9" t="s">
        <v>500</v>
      </c>
      <c r="D382" s="9" t="s">
        <v>18</v>
      </c>
      <c r="E382" s="9" t="s">
        <v>227</v>
      </c>
      <c r="F382" s="11">
        <v>0</v>
      </c>
      <c r="G382" s="11">
        <v>0</v>
      </c>
      <c r="H382" s="11">
        <v>0</v>
      </c>
      <c r="I382" s="11">
        <v>-25.73</v>
      </c>
      <c r="J382" s="11">
        <v>25.73</v>
      </c>
      <c r="K382" s="12">
        <v>0</v>
      </c>
      <c r="L382" s="9" t="s">
        <v>18</v>
      </c>
      <c r="M382" s="9" t="s">
        <v>65</v>
      </c>
      <c r="N382" s="9" t="s">
        <v>18</v>
      </c>
      <c r="O382" s="9">
        <v>0</v>
      </c>
    </row>
    <row r="383" spans="1:15" x14ac:dyDescent="0.2">
      <c r="A383" s="9" t="s">
        <v>547</v>
      </c>
      <c r="B383" s="10">
        <v>45877</v>
      </c>
      <c r="C383" s="9" t="s">
        <v>500</v>
      </c>
      <c r="D383" s="9" t="s">
        <v>18</v>
      </c>
      <c r="E383" s="9" t="s">
        <v>227</v>
      </c>
      <c r="F383" s="11">
        <v>0</v>
      </c>
      <c r="G383" s="11">
        <v>0</v>
      </c>
      <c r="H383" s="11">
        <v>0</v>
      </c>
      <c r="I383" s="11">
        <v>-25.73</v>
      </c>
      <c r="J383" s="11">
        <v>25.73</v>
      </c>
      <c r="K383" s="12">
        <v>0</v>
      </c>
      <c r="L383" s="9" t="s">
        <v>18</v>
      </c>
      <c r="M383" s="9" t="s">
        <v>65</v>
      </c>
      <c r="N383" s="9" t="s">
        <v>18</v>
      </c>
      <c r="O383" s="9">
        <v>0</v>
      </c>
    </row>
    <row r="384" spans="1:15" x14ac:dyDescent="0.2">
      <c r="A384" s="9" t="s">
        <v>548</v>
      </c>
      <c r="B384" s="10">
        <v>45877</v>
      </c>
      <c r="C384" s="9" t="s">
        <v>500</v>
      </c>
      <c r="D384" s="9" t="s">
        <v>18</v>
      </c>
      <c r="E384" s="9" t="s">
        <v>227</v>
      </c>
      <c r="F384" s="11">
        <v>0</v>
      </c>
      <c r="G384" s="11">
        <v>0</v>
      </c>
      <c r="H384" s="11">
        <v>0</v>
      </c>
      <c r="I384" s="11">
        <v>-25.73</v>
      </c>
      <c r="J384" s="11">
        <v>25.73</v>
      </c>
      <c r="K384" s="12">
        <v>0</v>
      </c>
      <c r="L384" s="9" t="s">
        <v>18</v>
      </c>
      <c r="M384" s="9" t="s">
        <v>65</v>
      </c>
      <c r="N384" s="9" t="s">
        <v>18</v>
      </c>
      <c r="O384" s="9">
        <v>0</v>
      </c>
    </row>
    <row r="385" spans="1:15" x14ac:dyDescent="0.2">
      <c r="A385" s="9" t="s">
        <v>549</v>
      </c>
      <c r="B385" s="10">
        <v>45877</v>
      </c>
      <c r="C385" s="9" t="s">
        <v>500</v>
      </c>
      <c r="D385" s="9" t="s">
        <v>18</v>
      </c>
      <c r="E385" s="9" t="s">
        <v>227</v>
      </c>
      <c r="F385" s="11">
        <v>0</v>
      </c>
      <c r="G385" s="11">
        <v>0</v>
      </c>
      <c r="H385" s="11">
        <v>0</v>
      </c>
      <c r="I385" s="11">
        <v>-41.94</v>
      </c>
      <c r="J385" s="11">
        <v>41.94</v>
      </c>
      <c r="K385" s="12">
        <v>0</v>
      </c>
      <c r="L385" s="9" t="s">
        <v>18</v>
      </c>
      <c r="M385" s="9" t="s">
        <v>65</v>
      </c>
      <c r="N385" s="9" t="s">
        <v>18</v>
      </c>
      <c r="O385" s="9">
        <v>0</v>
      </c>
    </row>
    <row r="386" spans="1:15" x14ac:dyDescent="0.2">
      <c r="A386" s="9" t="s">
        <v>550</v>
      </c>
      <c r="B386" s="10">
        <v>45877</v>
      </c>
      <c r="C386" s="9" t="s">
        <v>500</v>
      </c>
      <c r="D386" s="9" t="s">
        <v>18</v>
      </c>
      <c r="E386" s="9" t="s">
        <v>227</v>
      </c>
      <c r="F386" s="11">
        <v>0</v>
      </c>
      <c r="G386" s="11">
        <v>0</v>
      </c>
      <c r="H386" s="11">
        <v>0</v>
      </c>
      <c r="I386" s="11">
        <v>-41.98</v>
      </c>
      <c r="J386" s="11">
        <v>41.98</v>
      </c>
      <c r="K386" s="12">
        <v>0</v>
      </c>
      <c r="L386" s="9" t="s">
        <v>18</v>
      </c>
      <c r="M386" s="9" t="s">
        <v>65</v>
      </c>
      <c r="N386" s="9" t="s">
        <v>18</v>
      </c>
      <c r="O386" s="9">
        <v>0</v>
      </c>
    </row>
    <row r="387" spans="1:15" x14ac:dyDescent="0.2">
      <c r="A387" s="9" t="s">
        <v>551</v>
      </c>
      <c r="B387" s="10">
        <v>45877</v>
      </c>
      <c r="C387" s="9" t="s">
        <v>500</v>
      </c>
      <c r="D387" s="9" t="s">
        <v>18</v>
      </c>
      <c r="E387" s="9" t="s">
        <v>227</v>
      </c>
      <c r="F387" s="11">
        <v>0</v>
      </c>
      <c r="G387" s="11">
        <v>0</v>
      </c>
      <c r="H387" s="11">
        <v>0</v>
      </c>
      <c r="I387" s="11">
        <v>-25.73</v>
      </c>
      <c r="J387" s="11">
        <v>25.73</v>
      </c>
      <c r="K387" s="12">
        <v>0</v>
      </c>
      <c r="L387" s="9" t="s">
        <v>18</v>
      </c>
      <c r="M387" s="9" t="s">
        <v>65</v>
      </c>
      <c r="N387" s="9" t="s">
        <v>18</v>
      </c>
      <c r="O387" s="9">
        <v>0</v>
      </c>
    </row>
    <row r="388" spans="1:15" x14ac:dyDescent="0.2">
      <c r="A388" s="9" t="s">
        <v>552</v>
      </c>
      <c r="B388" s="10">
        <v>45877</v>
      </c>
      <c r="C388" s="9" t="s">
        <v>500</v>
      </c>
      <c r="D388" s="9" t="s">
        <v>18</v>
      </c>
      <c r="E388" s="9" t="s">
        <v>227</v>
      </c>
      <c r="F388" s="11">
        <v>0</v>
      </c>
      <c r="G388" s="11">
        <v>0</v>
      </c>
      <c r="H388" s="11">
        <v>0</v>
      </c>
      <c r="I388" s="11">
        <v>-28.46</v>
      </c>
      <c r="J388" s="11">
        <v>28.46</v>
      </c>
      <c r="K388" s="12">
        <v>0</v>
      </c>
      <c r="L388" s="9" t="s">
        <v>18</v>
      </c>
      <c r="M388" s="9" t="s">
        <v>65</v>
      </c>
      <c r="N388" s="9" t="s">
        <v>18</v>
      </c>
      <c r="O388" s="9">
        <v>0</v>
      </c>
    </row>
    <row r="389" spans="1:15" x14ac:dyDescent="0.2">
      <c r="A389" s="9" t="s">
        <v>553</v>
      </c>
      <c r="B389" s="10">
        <v>45877</v>
      </c>
      <c r="C389" s="9" t="s">
        <v>500</v>
      </c>
      <c r="D389" s="9" t="s">
        <v>18</v>
      </c>
      <c r="E389" s="9" t="s">
        <v>227</v>
      </c>
      <c r="F389" s="11">
        <v>0</v>
      </c>
      <c r="G389" s="11">
        <v>0</v>
      </c>
      <c r="H389" s="11">
        <v>0</v>
      </c>
      <c r="I389" s="11">
        <v>-25.73</v>
      </c>
      <c r="J389" s="11">
        <v>25.73</v>
      </c>
      <c r="K389" s="12">
        <v>0</v>
      </c>
      <c r="L389" s="9" t="s">
        <v>18</v>
      </c>
      <c r="M389" s="9" t="s">
        <v>65</v>
      </c>
      <c r="N389" s="9" t="s">
        <v>18</v>
      </c>
      <c r="O389" s="9">
        <v>0</v>
      </c>
    </row>
    <row r="390" spans="1:15" x14ac:dyDescent="0.2">
      <c r="A390" s="9" t="s">
        <v>554</v>
      </c>
      <c r="B390" s="10">
        <v>45877</v>
      </c>
      <c r="C390" s="9" t="s">
        <v>500</v>
      </c>
      <c r="D390" s="9" t="s">
        <v>18</v>
      </c>
      <c r="E390" s="9" t="s">
        <v>227</v>
      </c>
      <c r="F390" s="11">
        <v>0</v>
      </c>
      <c r="G390" s="11">
        <v>0</v>
      </c>
      <c r="H390" s="11">
        <v>0</v>
      </c>
      <c r="I390" s="11">
        <v>-28.46</v>
      </c>
      <c r="J390" s="11">
        <v>28.46</v>
      </c>
      <c r="K390" s="12">
        <v>0</v>
      </c>
      <c r="L390" s="9" t="s">
        <v>18</v>
      </c>
      <c r="M390" s="9" t="s">
        <v>65</v>
      </c>
      <c r="N390" s="9" t="s">
        <v>18</v>
      </c>
      <c r="O390" s="9">
        <v>0</v>
      </c>
    </row>
    <row r="391" spans="1:15" x14ac:dyDescent="0.2">
      <c r="A391" s="9" t="s">
        <v>555</v>
      </c>
      <c r="B391" s="10">
        <v>45877</v>
      </c>
      <c r="C391" s="9" t="s">
        <v>500</v>
      </c>
      <c r="D391" s="9" t="s">
        <v>18</v>
      </c>
      <c r="E391" s="9" t="s">
        <v>227</v>
      </c>
      <c r="F391" s="11">
        <v>0</v>
      </c>
      <c r="G391" s="11">
        <v>0</v>
      </c>
      <c r="H391" s="11">
        <v>0</v>
      </c>
      <c r="I391" s="11">
        <v>-44.71</v>
      </c>
      <c r="J391" s="11">
        <v>44.71</v>
      </c>
      <c r="K391" s="12">
        <v>0</v>
      </c>
      <c r="L391" s="9" t="s">
        <v>18</v>
      </c>
      <c r="M391" s="9" t="s">
        <v>65</v>
      </c>
      <c r="N391" s="9" t="s">
        <v>18</v>
      </c>
      <c r="O391" s="9">
        <v>0</v>
      </c>
    </row>
    <row r="392" spans="1:15" x14ac:dyDescent="0.2">
      <c r="A392" s="9" t="s">
        <v>556</v>
      </c>
      <c r="B392" s="10">
        <v>45877</v>
      </c>
      <c r="C392" s="9" t="s">
        <v>500</v>
      </c>
      <c r="D392" s="9" t="s">
        <v>18</v>
      </c>
      <c r="E392" s="9" t="s">
        <v>227</v>
      </c>
      <c r="F392" s="11">
        <v>0</v>
      </c>
      <c r="G392" s="11">
        <v>0</v>
      </c>
      <c r="H392" s="11">
        <v>0</v>
      </c>
      <c r="I392" s="11">
        <v>-44.71</v>
      </c>
      <c r="J392" s="11">
        <v>44.71</v>
      </c>
      <c r="K392" s="12">
        <v>0</v>
      </c>
      <c r="L392" s="9" t="s">
        <v>18</v>
      </c>
      <c r="M392" s="9" t="s">
        <v>65</v>
      </c>
      <c r="N392" s="9" t="s">
        <v>18</v>
      </c>
      <c r="O392" s="9">
        <v>0</v>
      </c>
    </row>
    <row r="393" spans="1:15" x14ac:dyDescent="0.2">
      <c r="A393" s="9" t="s">
        <v>557</v>
      </c>
      <c r="B393" s="10">
        <v>45877</v>
      </c>
      <c r="C393" s="9" t="s">
        <v>500</v>
      </c>
      <c r="D393" s="9" t="s">
        <v>18</v>
      </c>
      <c r="E393" s="9" t="s">
        <v>227</v>
      </c>
      <c r="F393" s="11">
        <v>0</v>
      </c>
      <c r="G393" s="11">
        <v>0</v>
      </c>
      <c r="H393" s="11">
        <v>0</v>
      </c>
      <c r="I393" s="11">
        <v>-25.73</v>
      </c>
      <c r="J393" s="11">
        <v>25.73</v>
      </c>
      <c r="K393" s="12">
        <v>0</v>
      </c>
      <c r="L393" s="9" t="s">
        <v>18</v>
      </c>
      <c r="M393" s="9" t="s">
        <v>65</v>
      </c>
      <c r="N393" s="9" t="s">
        <v>18</v>
      </c>
      <c r="O393" s="9">
        <v>0</v>
      </c>
    </row>
    <row r="394" spans="1:15" x14ac:dyDescent="0.2">
      <c r="A394" s="9" t="s">
        <v>558</v>
      </c>
      <c r="B394" s="10">
        <v>45877</v>
      </c>
      <c r="C394" s="9" t="s">
        <v>500</v>
      </c>
      <c r="D394" s="9" t="s">
        <v>18</v>
      </c>
      <c r="E394" s="9" t="s">
        <v>227</v>
      </c>
      <c r="F394" s="11">
        <v>0</v>
      </c>
      <c r="G394" s="11">
        <v>0</v>
      </c>
      <c r="H394" s="11">
        <v>0</v>
      </c>
      <c r="I394" s="11">
        <v>-28.46</v>
      </c>
      <c r="J394" s="11">
        <v>28.46</v>
      </c>
      <c r="K394" s="12">
        <v>0</v>
      </c>
      <c r="L394" s="9" t="s">
        <v>18</v>
      </c>
      <c r="M394" s="9" t="s">
        <v>65</v>
      </c>
      <c r="N394" s="9" t="s">
        <v>18</v>
      </c>
      <c r="O394" s="9">
        <v>0</v>
      </c>
    </row>
    <row r="395" spans="1:15" x14ac:dyDescent="0.2">
      <c r="A395" s="9" t="s">
        <v>559</v>
      </c>
      <c r="B395" s="10">
        <v>45877</v>
      </c>
      <c r="C395" s="9" t="s">
        <v>500</v>
      </c>
      <c r="D395" s="9" t="s">
        <v>18</v>
      </c>
      <c r="E395" s="9" t="s">
        <v>227</v>
      </c>
      <c r="F395" s="11">
        <v>0</v>
      </c>
      <c r="G395" s="11">
        <v>0</v>
      </c>
      <c r="H395" s="11">
        <v>0</v>
      </c>
      <c r="I395" s="11">
        <v>-55.31</v>
      </c>
      <c r="J395" s="11">
        <v>55.31</v>
      </c>
      <c r="K395" s="12">
        <v>0</v>
      </c>
      <c r="L395" s="9" t="s">
        <v>18</v>
      </c>
      <c r="M395" s="9" t="s">
        <v>65</v>
      </c>
      <c r="N395" s="9" t="s">
        <v>18</v>
      </c>
      <c r="O395" s="9">
        <v>0</v>
      </c>
    </row>
    <row r="396" spans="1:15" x14ac:dyDescent="0.2">
      <c r="A396" s="9" t="s">
        <v>560</v>
      </c>
      <c r="B396" s="10">
        <v>45877</v>
      </c>
      <c r="C396" s="9" t="s">
        <v>500</v>
      </c>
      <c r="D396" s="9" t="s">
        <v>18</v>
      </c>
      <c r="E396" s="9" t="s">
        <v>227</v>
      </c>
      <c r="F396" s="11">
        <v>0</v>
      </c>
      <c r="G396" s="11">
        <v>0</v>
      </c>
      <c r="H396" s="11">
        <v>0</v>
      </c>
      <c r="I396" s="11">
        <v>-41.98</v>
      </c>
      <c r="J396" s="11">
        <v>41.98</v>
      </c>
      <c r="K396" s="12">
        <v>0</v>
      </c>
      <c r="L396" s="9" t="s">
        <v>18</v>
      </c>
      <c r="M396" s="9" t="s">
        <v>65</v>
      </c>
      <c r="N396" s="9" t="s">
        <v>18</v>
      </c>
      <c r="O396" s="9">
        <v>0</v>
      </c>
    </row>
    <row r="397" spans="1:15" x14ac:dyDescent="0.2">
      <c r="A397" s="9" t="s">
        <v>561</v>
      </c>
      <c r="B397" s="10">
        <v>45877</v>
      </c>
      <c r="C397" s="9" t="s">
        <v>500</v>
      </c>
      <c r="D397" s="9" t="s">
        <v>18</v>
      </c>
      <c r="E397" s="9" t="s">
        <v>227</v>
      </c>
      <c r="F397" s="11">
        <v>0</v>
      </c>
      <c r="G397" s="11">
        <v>0</v>
      </c>
      <c r="H397" s="11">
        <v>0</v>
      </c>
      <c r="I397" s="11">
        <v>-25.73</v>
      </c>
      <c r="J397" s="11">
        <v>25.73</v>
      </c>
      <c r="K397" s="12">
        <v>0</v>
      </c>
      <c r="L397" s="9" t="s">
        <v>18</v>
      </c>
      <c r="M397" s="9" t="s">
        <v>65</v>
      </c>
      <c r="N397" s="9" t="s">
        <v>18</v>
      </c>
      <c r="O397" s="9">
        <v>0</v>
      </c>
    </row>
    <row r="398" spans="1:15" x14ac:dyDescent="0.2">
      <c r="A398" s="9" t="s">
        <v>562</v>
      </c>
      <c r="B398" s="10">
        <v>45877</v>
      </c>
      <c r="C398" s="9" t="s">
        <v>500</v>
      </c>
      <c r="D398" s="9" t="s">
        <v>18</v>
      </c>
      <c r="E398" s="9" t="s">
        <v>227</v>
      </c>
      <c r="F398" s="11">
        <v>0</v>
      </c>
      <c r="G398" s="11">
        <v>0</v>
      </c>
      <c r="H398" s="11">
        <v>0</v>
      </c>
      <c r="I398" s="11">
        <v>-28.46</v>
      </c>
      <c r="J398" s="11">
        <v>28.46</v>
      </c>
      <c r="K398" s="12">
        <v>0</v>
      </c>
      <c r="L398" s="9" t="s">
        <v>18</v>
      </c>
      <c r="M398" s="9" t="s">
        <v>65</v>
      </c>
      <c r="N398" s="9" t="s">
        <v>18</v>
      </c>
      <c r="O398" s="9">
        <v>0</v>
      </c>
    </row>
    <row r="399" spans="1:15" x14ac:dyDescent="0.2">
      <c r="A399" s="9" t="s">
        <v>563</v>
      </c>
      <c r="B399" s="10">
        <v>45877</v>
      </c>
      <c r="C399" s="9" t="s">
        <v>500</v>
      </c>
      <c r="D399" s="9" t="s">
        <v>18</v>
      </c>
      <c r="E399" s="9" t="s">
        <v>227</v>
      </c>
      <c r="F399" s="11">
        <v>0</v>
      </c>
      <c r="G399" s="11">
        <v>0</v>
      </c>
      <c r="H399" s="11">
        <v>0</v>
      </c>
      <c r="I399" s="11">
        <v>-25.73</v>
      </c>
      <c r="J399" s="11">
        <v>25.73</v>
      </c>
      <c r="K399" s="12">
        <v>0</v>
      </c>
      <c r="L399" s="9" t="s">
        <v>18</v>
      </c>
      <c r="M399" s="9" t="s">
        <v>65</v>
      </c>
      <c r="N399" s="9" t="s">
        <v>18</v>
      </c>
      <c r="O399" s="9">
        <v>0</v>
      </c>
    </row>
    <row r="400" spans="1:15" x14ac:dyDescent="0.2">
      <c r="A400" s="9" t="s">
        <v>564</v>
      </c>
      <c r="B400" s="10">
        <v>45877</v>
      </c>
      <c r="C400" s="9" t="s">
        <v>500</v>
      </c>
      <c r="D400" s="9" t="s">
        <v>18</v>
      </c>
      <c r="E400" s="9" t="s">
        <v>227</v>
      </c>
      <c r="F400" s="11">
        <v>0</v>
      </c>
      <c r="G400" s="11">
        <v>0</v>
      </c>
      <c r="H400" s="11">
        <v>0</v>
      </c>
      <c r="I400" s="11">
        <v>-39.21</v>
      </c>
      <c r="J400" s="11">
        <v>39.21</v>
      </c>
      <c r="K400" s="12">
        <v>0</v>
      </c>
      <c r="L400" s="9" t="s">
        <v>18</v>
      </c>
      <c r="M400" s="9" t="s">
        <v>65</v>
      </c>
      <c r="N400" s="9" t="s">
        <v>18</v>
      </c>
      <c r="O400" s="9">
        <v>0</v>
      </c>
    </row>
    <row r="401" spans="1:15" x14ac:dyDescent="0.2">
      <c r="A401" s="9" t="s">
        <v>565</v>
      </c>
      <c r="B401" s="10">
        <v>45877</v>
      </c>
      <c r="C401" s="9" t="s">
        <v>500</v>
      </c>
      <c r="D401" s="9" t="s">
        <v>18</v>
      </c>
      <c r="E401" s="9" t="s">
        <v>227</v>
      </c>
      <c r="F401" s="11">
        <v>0</v>
      </c>
      <c r="G401" s="11">
        <v>0</v>
      </c>
      <c r="H401" s="11">
        <v>0</v>
      </c>
      <c r="I401" s="11">
        <v>-25.73</v>
      </c>
      <c r="J401" s="11">
        <v>25.73</v>
      </c>
      <c r="K401" s="12">
        <v>0</v>
      </c>
      <c r="L401" s="9" t="s">
        <v>18</v>
      </c>
      <c r="M401" s="9" t="s">
        <v>65</v>
      </c>
      <c r="N401" s="9" t="s">
        <v>18</v>
      </c>
      <c r="O401" s="9">
        <v>0</v>
      </c>
    </row>
    <row r="402" spans="1:15" x14ac:dyDescent="0.2">
      <c r="A402" s="9" t="s">
        <v>566</v>
      </c>
      <c r="B402" s="10">
        <v>45877</v>
      </c>
      <c r="C402" s="9" t="s">
        <v>500</v>
      </c>
      <c r="D402" s="9" t="s">
        <v>18</v>
      </c>
      <c r="E402" s="9" t="s">
        <v>227</v>
      </c>
      <c r="F402" s="11">
        <v>0</v>
      </c>
      <c r="G402" s="11">
        <v>0</v>
      </c>
      <c r="H402" s="11">
        <v>0</v>
      </c>
      <c r="I402" s="11">
        <v>-15.09</v>
      </c>
      <c r="J402" s="11">
        <v>15.09</v>
      </c>
      <c r="K402" s="12">
        <v>0</v>
      </c>
      <c r="L402" s="9" t="s">
        <v>18</v>
      </c>
      <c r="M402" s="9" t="s">
        <v>65</v>
      </c>
      <c r="N402" s="9" t="s">
        <v>18</v>
      </c>
      <c r="O402" s="9">
        <v>0</v>
      </c>
    </row>
    <row r="403" spans="1:15" x14ac:dyDescent="0.2">
      <c r="A403" s="9" t="s">
        <v>567</v>
      </c>
      <c r="B403" s="10">
        <v>45877</v>
      </c>
      <c r="C403" s="9" t="s">
        <v>500</v>
      </c>
      <c r="D403" s="9" t="s">
        <v>18</v>
      </c>
      <c r="E403" s="9" t="s">
        <v>227</v>
      </c>
      <c r="F403" s="11">
        <v>0</v>
      </c>
      <c r="G403" s="11">
        <v>0</v>
      </c>
      <c r="H403" s="11">
        <v>0</v>
      </c>
      <c r="I403" s="11">
        <v>-28.46</v>
      </c>
      <c r="J403" s="11">
        <v>28.46</v>
      </c>
      <c r="K403" s="12">
        <v>0</v>
      </c>
      <c r="L403" s="9" t="s">
        <v>18</v>
      </c>
      <c r="M403" s="9" t="s">
        <v>65</v>
      </c>
      <c r="N403" s="9" t="s">
        <v>18</v>
      </c>
      <c r="O403" s="9">
        <v>0</v>
      </c>
    </row>
    <row r="404" spans="1:15" x14ac:dyDescent="0.2">
      <c r="A404" s="9" t="s">
        <v>568</v>
      </c>
      <c r="B404" s="10">
        <v>45877</v>
      </c>
      <c r="C404" s="9" t="s">
        <v>500</v>
      </c>
      <c r="D404" s="9" t="s">
        <v>18</v>
      </c>
      <c r="E404" s="9" t="s">
        <v>227</v>
      </c>
      <c r="F404" s="11">
        <v>0</v>
      </c>
      <c r="G404" s="11">
        <v>0</v>
      </c>
      <c r="H404" s="11">
        <v>0</v>
      </c>
      <c r="I404" s="11">
        <v>-21.22</v>
      </c>
      <c r="J404" s="11">
        <v>21.22</v>
      </c>
      <c r="K404" s="12">
        <v>0</v>
      </c>
      <c r="L404" s="9" t="s">
        <v>18</v>
      </c>
      <c r="M404" s="9" t="s">
        <v>65</v>
      </c>
      <c r="N404" s="9" t="s">
        <v>18</v>
      </c>
      <c r="O404" s="9">
        <v>0</v>
      </c>
    </row>
    <row r="405" spans="1:15" x14ac:dyDescent="0.2">
      <c r="A405" s="9" t="s">
        <v>569</v>
      </c>
      <c r="B405" s="10">
        <v>45877</v>
      </c>
      <c r="C405" s="9" t="s">
        <v>500</v>
      </c>
      <c r="D405" s="9" t="s">
        <v>18</v>
      </c>
      <c r="E405" s="9" t="s">
        <v>227</v>
      </c>
      <c r="F405" s="11">
        <v>0</v>
      </c>
      <c r="G405" s="11">
        <v>0</v>
      </c>
      <c r="H405" s="11">
        <v>0</v>
      </c>
      <c r="I405" s="11">
        <v>-40.590000000000003</v>
      </c>
      <c r="J405" s="11">
        <v>40.590000000000003</v>
      </c>
      <c r="K405" s="12">
        <v>0</v>
      </c>
      <c r="L405" s="9" t="s">
        <v>18</v>
      </c>
      <c r="M405" s="9" t="s">
        <v>65</v>
      </c>
      <c r="N405" s="9" t="s">
        <v>18</v>
      </c>
      <c r="O405" s="9">
        <v>0</v>
      </c>
    </row>
    <row r="406" spans="1:15" x14ac:dyDescent="0.2">
      <c r="A406" s="9" t="s">
        <v>570</v>
      </c>
      <c r="B406" s="10">
        <v>45877</v>
      </c>
      <c r="C406" s="9" t="s">
        <v>500</v>
      </c>
      <c r="D406" s="9" t="s">
        <v>18</v>
      </c>
      <c r="E406" s="9" t="s">
        <v>227</v>
      </c>
      <c r="F406" s="11">
        <v>0</v>
      </c>
      <c r="G406" s="11">
        <v>0</v>
      </c>
      <c r="H406" s="11">
        <v>0</v>
      </c>
      <c r="I406" s="11">
        <v>-28.46</v>
      </c>
      <c r="J406" s="11">
        <v>28.46</v>
      </c>
      <c r="K406" s="12">
        <v>0</v>
      </c>
      <c r="L406" s="9" t="s">
        <v>18</v>
      </c>
      <c r="M406" s="9" t="s">
        <v>65</v>
      </c>
      <c r="N406" s="9" t="s">
        <v>18</v>
      </c>
      <c r="O406" s="9">
        <v>0</v>
      </c>
    </row>
    <row r="407" spans="1:15" x14ac:dyDescent="0.2">
      <c r="A407" s="9" t="s">
        <v>571</v>
      </c>
      <c r="B407" s="10">
        <v>45877</v>
      </c>
      <c r="C407" s="9" t="s">
        <v>500</v>
      </c>
      <c r="D407" s="9" t="s">
        <v>18</v>
      </c>
      <c r="E407" s="9" t="s">
        <v>227</v>
      </c>
      <c r="F407" s="11">
        <v>0</v>
      </c>
      <c r="G407" s="11">
        <v>0</v>
      </c>
      <c r="H407" s="11">
        <v>0</v>
      </c>
      <c r="I407" s="11">
        <v>-13.48</v>
      </c>
      <c r="J407" s="11">
        <v>13.48</v>
      </c>
      <c r="K407" s="12">
        <v>0</v>
      </c>
      <c r="L407" s="9" t="s">
        <v>18</v>
      </c>
      <c r="M407" s="9" t="s">
        <v>65</v>
      </c>
      <c r="N407" s="9" t="s">
        <v>18</v>
      </c>
      <c r="O407" s="9">
        <v>0</v>
      </c>
    </row>
    <row r="408" spans="1:15" x14ac:dyDescent="0.2">
      <c r="A408" s="9" t="s">
        <v>572</v>
      </c>
      <c r="B408" s="10">
        <v>45877</v>
      </c>
      <c r="C408" s="9" t="s">
        <v>500</v>
      </c>
      <c r="D408" s="9" t="s">
        <v>18</v>
      </c>
      <c r="E408" s="9" t="s">
        <v>227</v>
      </c>
      <c r="F408" s="11">
        <v>0</v>
      </c>
      <c r="G408" s="11">
        <v>0</v>
      </c>
      <c r="H408" s="11">
        <v>0</v>
      </c>
      <c r="I408" s="11">
        <v>-16.25</v>
      </c>
      <c r="J408" s="11">
        <v>16.25</v>
      </c>
      <c r="K408" s="12">
        <v>0</v>
      </c>
      <c r="L408" s="9" t="s">
        <v>18</v>
      </c>
      <c r="M408" s="9" t="s">
        <v>65</v>
      </c>
      <c r="N408" s="9" t="s">
        <v>18</v>
      </c>
      <c r="O408" s="9">
        <v>0</v>
      </c>
    </row>
    <row r="409" spans="1:15" x14ac:dyDescent="0.2">
      <c r="A409" s="9" t="s">
        <v>573</v>
      </c>
      <c r="B409" s="10">
        <v>45877</v>
      </c>
      <c r="C409" s="9" t="s">
        <v>500</v>
      </c>
      <c r="D409" s="9" t="s">
        <v>18</v>
      </c>
      <c r="E409" s="9" t="s">
        <v>227</v>
      </c>
      <c r="F409" s="11">
        <v>1651</v>
      </c>
      <c r="G409" s="11">
        <v>0</v>
      </c>
      <c r="H409" s="11">
        <v>1651</v>
      </c>
      <c r="I409" s="11">
        <v>1283.4000000000001</v>
      </c>
      <c r="J409" s="11">
        <v>367.6</v>
      </c>
      <c r="K409" s="12">
        <v>0.22265293999999999</v>
      </c>
      <c r="L409" s="9" t="s">
        <v>18</v>
      </c>
      <c r="M409" s="9" t="s">
        <v>65</v>
      </c>
      <c r="N409" s="9" t="s">
        <v>18</v>
      </c>
      <c r="O409" s="9">
        <v>1</v>
      </c>
    </row>
    <row r="410" spans="1:15" x14ac:dyDescent="0.2">
      <c r="A410" s="9" t="s">
        <v>574</v>
      </c>
      <c r="B410" s="10">
        <v>45877</v>
      </c>
      <c r="C410" s="9" t="s">
        <v>500</v>
      </c>
      <c r="D410" s="9" t="s">
        <v>18</v>
      </c>
      <c r="E410" s="9" t="s">
        <v>227</v>
      </c>
      <c r="F410" s="11">
        <v>1651</v>
      </c>
      <c r="G410" s="11">
        <v>0</v>
      </c>
      <c r="H410" s="11">
        <v>1651</v>
      </c>
      <c r="I410" s="11">
        <v>1341.4</v>
      </c>
      <c r="J410" s="11">
        <v>309.60000000000002</v>
      </c>
      <c r="K410" s="12">
        <v>0.18752271000000001</v>
      </c>
      <c r="L410" s="9" t="s">
        <v>18</v>
      </c>
      <c r="M410" s="9" t="s">
        <v>65</v>
      </c>
      <c r="N410" s="9" t="s">
        <v>18</v>
      </c>
      <c r="O410" s="9">
        <v>1</v>
      </c>
    </row>
    <row r="411" spans="1:15" x14ac:dyDescent="0.2">
      <c r="A411" s="9" t="s">
        <v>575</v>
      </c>
      <c r="B411" s="10">
        <v>45877</v>
      </c>
      <c r="C411" s="9" t="s">
        <v>500</v>
      </c>
      <c r="D411" s="9" t="s">
        <v>18</v>
      </c>
      <c r="E411" s="9" t="s">
        <v>227</v>
      </c>
      <c r="F411" s="11">
        <v>1514.18</v>
      </c>
      <c r="G411" s="11">
        <v>0</v>
      </c>
      <c r="H411" s="11">
        <v>1514.18</v>
      </c>
      <c r="I411" s="11">
        <v>1265</v>
      </c>
      <c r="J411" s="11">
        <v>249.18</v>
      </c>
      <c r="K411" s="12">
        <v>0.16456431999999999</v>
      </c>
      <c r="L411" s="9" t="s">
        <v>18</v>
      </c>
      <c r="M411" s="9" t="s">
        <v>65</v>
      </c>
      <c r="N411" s="9" t="s">
        <v>18</v>
      </c>
      <c r="O411" s="9">
        <v>1</v>
      </c>
    </row>
    <row r="412" spans="1:15" x14ac:dyDescent="0.2">
      <c r="A412" s="9" t="s">
        <v>576</v>
      </c>
      <c r="B412" s="10">
        <v>45877</v>
      </c>
      <c r="C412" s="9" t="s">
        <v>500</v>
      </c>
      <c r="D412" s="9" t="s">
        <v>18</v>
      </c>
      <c r="E412" s="9" t="s">
        <v>227</v>
      </c>
      <c r="F412" s="11">
        <v>1514.18</v>
      </c>
      <c r="G412" s="11">
        <v>0</v>
      </c>
      <c r="H412" s="11">
        <v>1514.18</v>
      </c>
      <c r="I412" s="11">
        <v>1265</v>
      </c>
      <c r="J412" s="11">
        <v>249.18</v>
      </c>
      <c r="K412" s="12">
        <v>0.16456431999999999</v>
      </c>
      <c r="L412" s="9" t="s">
        <v>18</v>
      </c>
      <c r="M412" s="9" t="s">
        <v>65</v>
      </c>
      <c r="N412" s="9" t="s">
        <v>18</v>
      </c>
      <c r="O412" s="9">
        <v>1</v>
      </c>
    </row>
    <row r="413" spans="1:15" x14ac:dyDescent="0.2">
      <c r="A413" s="9" t="s">
        <v>577</v>
      </c>
      <c r="B413" s="10">
        <v>45878</v>
      </c>
      <c r="C413" s="9" t="s">
        <v>500</v>
      </c>
      <c r="D413" s="9" t="s">
        <v>18</v>
      </c>
      <c r="E413" s="9" t="s">
        <v>227</v>
      </c>
      <c r="F413" s="11">
        <v>1651</v>
      </c>
      <c r="G413" s="11">
        <v>0</v>
      </c>
      <c r="H413" s="11">
        <v>1651</v>
      </c>
      <c r="I413" s="11">
        <v>1183.4000000000001</v>
      </c>
      <c r="J413" s="11">
        <v>467.6</v>
      </c>
      <c r="K413" s="12">
        <v>0.28322228999999999</v>
      </c>
      <c r="L413" s="9" t="s">
        <v>18</v>
      </c>
      <c r="M413" s="9" t="s">
        <v>65</v>
      </c>
      <c r="N413" s="9" t="s">
        <v>18</v>
      </c>
      <c r="O413" s="9">
        <v>1</v>
      </c>
    </row>
    <row r="414" spans="1:15" x14ac:dyDescent="0.2">
      <c r="A414" s="9" t="s">
        <v>578</v>
      </c>
      <c r="B414" s="10">
        <v>45878</v>
      </c>
      <c r="C414" s="9" t="s">
        <v>500</v>
      </c>
      <c r="D414" s="9" t="s">
        <v>18</v>
      </c>
      <c r="E414" s="9" t="s">
        <v>227</v>
      </c>
      <c r="F414" s="11">
        <v>1651</v>
      </c>
      <c r="G414" s="11">
        <v>0</v>
      </c>
      <c r="H414" s="11">
        <v>1651</v>
      </c>
      <c r="I414" s="11">
        <v>1266.4000000000001</v>
      </c>
      <c r="J414" s="11">
        <v>384.6</v>
      </c>
      <c r="K414" s="12">
        <v>0.23294972999999999</v>
      </c>
      <c r="L414" s="9" t="s">
        <v>18</v>
      </c>
      <c r="M414" s="9" t="s">
        <v>65</v>
      </c>
      <c r="N414" s="9" t="s">
        <v>18</v>
      </c>
      <c r="O414" s="9">
        <v>1</v>
      </c>
    </row>
    <row r="415" spans="1:15" x14ac:dyDescent="0.2">
      <c r="A415" s="9" t="s">
        <v>579</v>
      </c>
      <c r="B415" s="10">
        <v>45880</v>
      </c>
      <c r="C415" s="9" t="s">
        <v>500</v>
      </c>
      <c r="D415" s="9" t="s">
        <v>18</v>
      </c>
      <c r="E415" s="9" t="s">
        <v>227</v>
      </c>
      <c r="F415" s="11">
        <v>1514.18</v>
      </c>
      <c r="G415" s="11">
        <v>0</v>
      </c>
      <c r="H415" s="11">
        <v>1514.18</v>
      </c>
      <c r="I415" s="11">
        <v>1069</v>
      </c>
      <c r="J415" s="11">
        <v>445.18</v>
      </c>
      <c r="K415" s="12">
        <v>0.29400732000000002</v>
      </c>
      <c r="L415" s="9" t="s">
        <v>18</v>
      </c>
      <c r="M415" s="9" t="s">
        <v>65</v>
      </c>
      <c r="N415" s="9" t="s">
        <v>18</v>
      </c>
      <c r="O415" s="9">
        <v>1</v>
      </c>
    </row>
    <row r="416" spans="1:15" x14ac:dyDescent="0.2">
      <c r="A416" s="9" t="s">
        <v>580</v>
      </c>
      <c r="B416" s="10">
        <v>45880</v>
      </c>
      <c r="C416" s="9" t="s">
        <v>500</v>
      </c>
      <c r="D416" s="9" t="s">
        <v>18</v>
      </c>
      <c r="E416" s="9" t="s">
        <v>227</v>
      </c>
      <c r="F416" s="11">
        <v>1651</v>
      </c>
      <c r="G416" s="11">
        <v>0</v>
      </c>
      <c r="H416" s="11">
        <v>1651</v>
      </c>
      <c r="I416" s="11">
        <v>1266.4000000000001</v>
      </c>
      <c r="J416" s="11">
        <v>384.6</v>
      </c>
      <c r="K416" s="12">
        <v>0.23294972999999999</v>
      </c>
      <c r="L416" s="9" t="s">
        <v>18</v>
      </c>
      <c r="M416" s="9" t="s">
        <v>65</v>
      </c>
      <c r="N416" s="9" t="s">
        <v>18</v>
      </c>
      <c r="O416" s="9">
        <v>1</v>
      </c>
    </row>
    <row r="417" spans="1:15" x14ac:dyDescent="0.2">
      <c r="A417" s="9" t="s">
        <v>581</v>
      </c>
      <c r="B417" s="10">
        <v>45880</v>
      </c>
      <c r="C417" s="9" t="s">
        <v>500</v>
      </c>
      <c r="D417" s="9" t="s">
        <v>18</v>
      </c>
      <c r="E417" s="9" t="s">
        <v>227</v>
      </c>
      <c r="F417" s="11">
        <v>1215.5999999999999</v>
      </c>
      <c r="G417" s="11">
        <v>0</v>
      </c>
      <c r="H417" s="11">
        <v>1215.5999999999999</v>
      </c>
      <c r="I417" s="11">
        <v>705.98</v>
      </c>
      <c r="J417" s="11">
        <v>509.62</v>
      </c>
      <c r="K417" s="12">
        <v>0.41923329999999998</v>
      </c>
      <c r="L417" s="9" t="s">
        <v>18</v>
      </c>
      <c r="M417" s="9" t="s">
        <v>65</v>
      </c>
      <c r="N417" s="9" t="s">
        <v>18</v>
      </c>
      <c r="O417" s="9">
        <v>1</v>
      </c>
    </row>
    <row r="418" spans="1:15" x14ac:dyDescent="0.2">
      <c r="A418" s="9" t="s">
        <v>582</v>
      </c>
      <c r="B418" s="10">
        <v>45881</v>
      </c>
      <c r="C418" s="9" t="s">
        <v>500</v>
      </c>
      <c r="D418" s="9" t="s">
        <v>18</v>
      </c>
      <c r="E418" s="9" t="s">
        <v>227</v>
      </c>
      <c r="F418" s="11">
        <v>2309.02</v>
      </c>
      <c r="G418" s="11">
        <v>0</v>
      </c>
      <c r="H418" s="11">
        <v>2309.02</v>
      </c>
      <c r="I418" s="11">
        <v>1952.66</v>
      </c>
      <c r="J418" s="11">
        <v>356.36</v>
      </c>
      <c r="K418" s="12">
        <v>0.15433387000000001</v>
      </c>
      <c r="L418" s="9" t="s">
        <v>18</v>
      </c>
      <c r="M418" s="9" t="s">
        <v>65</v>
      </c>
      <c r="N418" s="9" t="s">
        <v>18</v>
      </c>
      <c r="O418" s="9">
        <v>1</v>
      </c>
    </row>
    <row r="419" spans="1:15" x14ac:dyDescent="0.2">
      <c r="A419" s="9" t="s">
        <v>583</v>
      </c>
      <c r="B419" s="10">
        <v>45881</v>
      </c>
      <c r="C419" s="9" t="s">
        <v>500</v>
      </c>
      <c r="D419" s="9" t="s">
        <v>18</v>
      </c>
      <c r="E419" s="9" t="s">
        <v>227</v>
      </c>
      <c r="F419" s="11">
        <v>1514.18</v>
      </c>
      <c r="G419" s="11">
        <v>0</v>
      </c>
      <c r="H419" s="11">
        <v>1514.18</v>
      </c>
      <c r="I419" s="11">
        <v>1094</v>
      </c>
      <c r="J419" s="11">
        <v>420.18</v>
      </c>
      <c r="K419" s="12">
        <v>0.27749673000000002</v>
      </c>
      <c r="L419" s="9" t="s">
        <v>18</v>
      </c>
      <c r="M419" s="9" t="s">
        <v>65</v>
      </c>
      <c r="N419" s="9" t="s">
        <v>18</v>
      </c>
      <c r="O419" s="9">
        <v>1</v>
      </c>
    </row>
    <row r="420" spans="1:15" x14ac:dyDescent="0.2">
      <c r="A420" s="9" t="s">
        <v>584</v>
      </c>
      <c r="B420" s="10">
        <v>45881</v>
      </c>
      <c r="C420" s="9" t="s">
        <v>500</v>
      </c>
      <c r="D420" s="9" t="s">
        <v>18</v>
      </c>
      <c r="E420" s="9" t="s">
        <v>227</v>
      </c>
      <c r="F420" s="11">
        <v>1651</v>
      </c>
      <c r="G420" s="11">
        <v>0</v>
      </c>
      <c r="H420" s="11">
        <v>1651</v>
      </c>
      <c r="I420" s="11">
        <v>1362.4</v>
      </c>
      <c r="J420" s="11">
        <v>288.60000000000002</v>
      </c>
      <c r="K420" s="12">
        <v>0.17480314999999999</v>
      </c>
      <c r="L420" s="9" t="s">
        <v>18</v>
      </c>
      <c r="M420" s="9" t="s">
        <v>65</v>
      </c>
      <c r="N420" s="9" t="s">
        <v>18</v>
      </c>
      <c r="O420" s="9">
        <v>1</v>
      </c>
    </row>
    <row r="421" spans="1:15" x14ac:dyDescent="0.2">
      <c r="A421" s="9" t="s">
        <v>585</v>
      </c>
      <c r="B421" s="10">
        <v>45881</v>
      </c>
      <c r="C421" s="9" t="s">
        <v>500</v>
      </c>
      <c r="D421" s="9" t="s">
        <v>18</v>
      </c>
      <c r="E421" s="9" t="s">
        <v>227</v>
      </c>
      <c r="F421" s="11">
        <v>1651</v>
      </c>
      <c r="G421" s="11">
        <v>0</v>
      </c>
      <c r="H421" s="11">
        <v>1651</v>
      </c>
      <c r="I421" s="11">
        <v>1362.4</v>
      </c>
      <c r="J421" s="11">
        <v>288.60000000000002</v>
      </c>
      <c r="K421" s="12">
        <v>0.17480314999999999</v>
      </c>
      <c r="L421" s="9" t="s">
        <v>18</v>
      </c>
      <c r="M421" s="9" t="s">
        <v>65</v>
      </c>
      <c r="N421" s="9" t="s">
        <v>18</v>
      </c>
      <c r="O421" s="9">
        <v>1</v>
      </c>
    </row>
    <row r="422" spans="1:15" x14ac:dyDescent="0.2">
      <c r="A422" s="9" t="s">
        <v>586</v>
      </c>
      <c r="B422" s="10">
        <v>45881</v>
      </c>
      <c r="C422" s="9" t="s">
        <v>500</v>
      </c>
      <c r="D422" s="9" t="s">
        <v>18</v>
      </c>
      <c r="E422" s="9" t="s">
        <v>227</v>
      </c>
      <c r="F422" s="11">
        <v>1514.18</v>
      </c>
      <c r="G422" s="11">
        <v>0</v>
      </c>
      <c r="H422" s="11">
        <v>1514.18</v>
      </c>
      <c r="I422" s="11">
        <v>1265</v>
      </c>
      <c r="J422" s="11">
        <v>249.18</v>
      </c>
      <c r="K422" s="12">
        <v>0.16456431999999999</v>
      </c>
      <c r="L422" s="9" t="s">
        <v>18</v>
      </c>
      <c r="M422" s="9" t="s">
        <v>65</v>
      </c>
      <c r="N422" s="9" t="s">
        <v>18</v>
      </c>
      <c r="O422" s="9">
        <v>1</v>
      </c>
    </row>
    <row r="423" spans="1:15" x14ac:dyDescent="0.2">
      <c r="A423" s="9" t="s">
        <v>587</v>
      </c>
      <c r="B423" s="10">
        <v>45881</v>
      </c>
      <c r="C423" s="9" t="s">
        <v>500</v>
      </c>
      <c r="D423" s="9" t="s">
        <v>18</v>
      </c>
      <c r="E423" s="9" t="s">
        <v>227</v>
      </c>
      <c r="F423" s="11">
        <v>1651</v>
      </c>
      <c r="G423" s="11">
        <v>0</v>
      </c>
      <c r="H423" s="11">
        <v>1651</v>
      </c>
      <c r="I423" s="11">
        <v>1183.4000000000001</v>
      </c>
      <c r="J423" s="11">
        <v>467.6</v>
      </c>
      <c r="K423" s="12">
        <v>0.28322228999999999</v>
      </c>
      <c r="L423" s="9" t="s">
        <v>18</v>
      </c>
      <c r="M423" s="9" t="s">
        <v>65</v>
      </c>
      <c r="N423" s="9" t="s">
        <v>18</v>
      </c>
      <c r="O423" s="9">
        <v>1</v>
      </c>
    </row>
    <row r="424" spans="1:15" x14ac:dyDescent="0.2">
      <c r="A424" s="9" t="s">
        <v>588</v>
      </c>
      <c r="B424" s="10">
        <v>45881</v>
      </c>
      <c r="C424" s="9" t="s">
        <v>500</v>
      </c>
      <c r="D424" s="9" t="s">
        <v>18</v>
      </c>
      <c r="E424" s="9" t="s">
        <v>227</v>
      </c>
      <c r="F424" s="11">
        <v>1267.0999999999999</v>
      </c>
      <c r="G424" s="11">
        <v>0</v>
      </c>
      <c r="H424" s="11">
        <v>1267.0999999999999</v>
      </c>
      <c r="I424" s="11">
        <v>977.98</v>
      </c>
      <c r="J424" s="11">
        <v>289.12</v>
      </c>
      <c r="K424" s="12">
        <v>0.22817456999999999</v>
      </c>
      <c r="L424" s="9" t="s">
        <v>18</v>
      </c>
      <c r="M424" s="9" t="s">
        <v>65</v>
      </c>
      <c r="N424" s="9" t="s">
        <v>18</v>
      </c>
      <c r="O424" s="9">
        <v>1</v>
      </c>
    </row>
    <row r="425" spans="1:15" x14ac:dyDescent="0.2">
      <c r="A425" s="9" t="s">
        <v>589</v>
      </c>
      <c r="B425" s="10">
        <v>45881</v>
      </c>
      <c r="C425" s="9" t="s">
        <v>500</v>
      </c>
      <c r="D425" s="9" t="s">
        <v>18</v>
      </c>
      <c r="E425" s="9" t="s">
        <v>227</v>
      </c>
      <c r="F425" s="11">
        <v>1651</v>
      </c>
      <c r="G425" s="11">
        <v>0</v>
      </c>
      <c r="H425" s="11">
        <v>1651</v>
      </c>
      <c r="I425" s="11">
        <v>1266.4000000000001</v>
      </c>
      <c r="J425" s="11">
        <v>384.6</v>
      </c>
      <c r="K425" s="12">
        <v>0.23294972999999999</v>
      </c>
      <c r="L425" s="9" t="s">
        <v>18</v>
      </c>
      <c r="M425" s="9" t="s">
        <v>65</v>
      </c>
      <c r="N425" s="9" t="s">
        <v>18</v>
      </c>
      <c r="O425" s="9">
        <v>1</v>
      </c>
    </row>
    <row r="426" spans="1:15" x14ac:dyDescent="0.2">
      <c r="A426" s="9" t="s">
        <v>590</v>
      </c>
      <c r="B426" s="10">
        <v>45881</v>
      </c>
      <c r="C426" s="9" t="s">
        <v>500</v>
      </c>
      <c r="D426" s="9" t="s">
        <v>18</v>
      </c>
      <c r="E426" s="9" t="s">
        <v>227</v>
      </c>
      <c r="F426" s="11">
        <v>1651</v>
      </c>
      <c r="G426" s="11">
        <v>0</v>
      </c>
      <c r="H426" s="11">
        <v>1651</v>
      </c>
      <c r="I426" s="11">
        <v>1266.4000000000001</v>
      </c>
      <c r="J426" s="11">
        <v>384.6</v>
      </c>
      <c r="K426" s="12">
        <v>0.23294972999999999</v>
      </c>
      <c r="L426" s="9" t="s">
        <v>18</v>
      </c>
      <c r="M426" s="9" t="s">
        <v>65</v>
      </c>
      <c r="N426" s="9" t="s">
        <v>18</v>
      </c>
      <c r="O426" s="9">
        <v>1</v>
      </c>
    </row>
    <row r="427" spans="1:15" x14ac:dyDescent="0.2">
      <c r="A427" s="9" t="s">
        <v>591</v>
      </c>
      <c r="B427" s="10">
        <v>45881</v>
      </c>
      <c r="C427" s="9" t="s">
        <v>500</v>
      </c>
      <c r="D427" s="9" t="s">
        <v>18</v>
      </c>
      <c r="E427" s="9" t="s">
        <v>227</v>
      </c>
      <c r="F427" s="11">
        <v>1514.18</v>
      </c>
      <c r="G427" s="11">
        <v>0</v>
      </c>
      <c r="H427" s="11">
        <v>1514.18</v>
      </c>
      <c r="I427" s="11">
        <v>1086</v>
      </c>
      <c r="J427" s="11">
        <v>428.18</v>
      </c>
      <c r="K427" s="12">
        <v>0.28278012000000002</v>
      </c>
      <c r="L427" s="9" t="s">
        <v>18</v>
      </c>
      <c r="M427" s="9" t="s">
        <v>65</v>
      </c>
      <c r="N427" s="9" t="s">
        <v>18</v>
      </c>
      <c r="O427" s="9">
        <v>1</v>
      </c>
    </row>
    <row r="428" spans="1:15" x14ac:dyDescent="0.2">
      <c r="A428" s="9" t="s">
        <v>592</v>
      </c>
      <c r="B428" s="10">
        <v>45882</v>
      </c>
      <c r="C428" s="9" t="s">
        <v>500</v>
      </c>
      <c r="D428" s="9" t="s">
        <v>18</v>
      </c>
      <c r="E428" s="9" t="s">
        <v>227</v>
      </c>
      <c r="F428" s="11">
        <v>1651</v>
      </c>
      <c r="G428" s="11">
        <v>0</v>
      </c>
      <c r="H428" s="11">
        <v>1651</v>
      </c>
      <c r="I428" s="11">
        <v>1266.4000000000001</v>
      </c>
      <c r="J428" s="11">
        <v>384.6</v>
      </c>
      <c r="K428" s="12">
        <v>0.23294972999999999</v>
      </c>
      <c r="L428" s="9" t="s">
        <v>18</v>
      </c>
      <c r="M428" s="9" t="s">
        <v>65</v>
      </c>
      <c r="N428" s="9" t="s">
        <v>18</v>
      </c>
      <c r="O428" s="9">
        <v>1</v>
      </c>
    </row>
    <row r="429" spans="1:15" x14ac:dyDescent="0.2">
      <c r="A429" s="9" t="s">
        <v>556</v>
      </c>
      <c r="B429" s="10">
        <v>45883</v>
      </c>
      <c r="C429" s="9" t="s">
        <v>500</v>
      </c>
      <c r="D429" s="9" t="s">
        <v>18</v>
      </c>
      <c r="E429" s="9" t="s">
        <v>227</v>
      </c>
      <c r="F429" s="11">
        <v>0</v>
      </c>
      <c r="G429" s="11">
        <v>0</v>
      </c>
      <c r="H429" s="11">
        <v>0</v>
      </c>
      <c r="I429" s="11">
        <v>50</v>
      </c>
      <c r="J429" s="11">
        <v>-50</v>
      </c>
      <c r="K429" s="12">
        <v>0</v>
      </c>
      <c r="L429" s="9" t="s">
        <v>18</v>
      </c>
      <c r="M429" s="9" t="s">
        <v>65</v>
      </c>
      <c r="N429" s="9" t="s">
        <v>18</v>
      </c>
      <c r="O429" s="9">
        <v>0</v>
      </c>
    </row>
    <row r="430" spans="1:15" x14ac:dyDescent="0.2">
      <c r="A430" s="9" t="s">
        <v>593</v>
      </c>
      <c r="B430" s="10">
        <v>45884</v>
      </c>
      <c r="C430" s="9" t="s">
        <v>500</v>
      </c>
      <c r="D430" s="9" t="s">
        <v>18</v>
      </c>
      <c r="E430" s="9" t="s">
        <v>227</v>
      </c>
      <c r="F430" s="11">
        <v>1514.18</v>
      </c>
      <c r="G430" s="11">
        <v>0</v>
      </c>
      <c r="H430" s="11">
        <v>1514.18</v>
      </c>
      <c r="I430" s="11">
        <v>1265</v>
      </c>
      <c r="J430" s="11">
        <v>249.18</v>
      </c>
      <c r="K430" s="12">
        <v>0.16456431999999999</v>
      </c>
      <c r="L430" s="9" t="s">
        <v>18</v>
      </c>
      <c r="M430" s="9" t="s">
        <v>65</v>
      </c>
      <c r="N430" s="9" t="s">
        <v>18</v>
      </c>
      <c r="O430" s="9">
        <v>1</v>
      </c>
    </row>
    <row r="431" spans="1:15" x14ac:dyDescent="0.2">
      <c r="A431" s="9" t="s">
        <v>594</v>
      </c>
      <c r="B431" s="10">
        <v>45884</v>
      </c>
      <c r="C431" s="9" t="s">
        <v>500</v>
      </c>
      <c r="D431" s="9" t="s">
        <v>18</v>
      </c>
      <c r="E431" s="9" t="s">
        <v>227</v>
      </c>
      <c r="F431" s="11">
        <v>1514.18</v>
      </c>
      <c r="G431" s="11">
        <v>0</v>
      </c>
      <c r="H431" s="11">
        <v>1514.18</v>
      </c>
      <c r="I431" s="11">
        <v>1376</v>
      </c>
      <c r="J431" s="11">
        <v>138.18</v>
      </c>
      <c r="K431" s="12">
        <v>9.1257309999999994E-2</v>
      </c>
      <c r="L431" s="9" t="s">
        <v>18</v>
      </c>
      <c r="M431" s="9" t="s">
        <v>65</v>
      </c>
      <c r="N431" s="9" t="s">
        <v>18</v>
      </c>
      <c r="O431" s="9">
        <v>1</v>
      </c>
    </row>
    <row r="432" spans="1:15" x14ac:dyDescent="0.2">
      <c r="A432" s="9" t="s">
        <v>595</v>
      </c>
      <c r="B432" s="10">
        <v>45884</v>
      </c>
      <c r="C432" s="9" t="s">
        <v>500</v>
      </c>
      <c r="D432" s="9" t="s">
        <v>18</v>
      </c>
      <c r="E432" s="9" t="s">
        <v>227</v>
      </c>
      <c r="F432" s="11">
        <v>2284.98</v>
      </c>
      <c r="G432" s="11">
        <v>0</v>
      </c>
      <c r="H432" s="11">
        <v>2284.98</v>
      </c>
      <c r="I432" s="11">
        <v>1749.26</v>
      </c>
      <c r="J432" s="11">
        <v>535.72</v>
      </c>
      <c r="K432" s="12">
        <v>0.23445282000000001</v>
      </c>
      <c r="L432" s="9" t="s">
        <v>18</v>
      </c>
      <c r="M432" s="9" t="s">
        <v>65</v>
      </c>
      <c r="N432" s="9" t="s">
        <v>18</v>
      </c>
      <c r="O432" s="9">
        <v>1</v>
      </c>
    </row>
    <row r="433" spans="1:15" x14ac:dyDescent="0.2">
      <c r="A433" s="9" t="s">
        <v>596</v>
      </c>
      <c r="B433" s="10">
        <v>45884</v>
      </c>
      <c r="C433" s="9" t="s">
        <v>500</v>
      </c>
      <c r="D433" s="9" t="s">
        <v>18</v>
      </c>
      <c r="E433" s="9" t="s">
        <v>227</v>
      </c>
      <c r="F433" s="11">
        <v>1514.18</v>
      </c>
      <c r="G433" s="11">
        <v>0</v>
      </c>
      <c r="H433" s="11">
        <v>1514.18</v>
      </c>
      <c r="I433" s="11">
        <v>1086</v>
      </c>
      <c r="J433" s="11">
        <v>428.18</v>
      </c>
      <c r="K433" s="12">
        <v>0.28278012000000002</v>
      </c>
      <c r="L433" s="9" t="s">
        <v>18</v>
      </c>
      <c r="M433" s="9" t="s">
        <v>65</v>
      </c>
      <c r="N433" s="9" t="s">
        <v>18</v>
      </c>
      <c r="O433" s="9">
        <v>1</v>
      </c>
    </row>
    <row r="434" spans="1:15" x14ac:dyDescent="0.2">
      <c r="A434" s="9" t="s">
        <v>597</v>
      </c>
      <c r="B434" s="10">
        <v>45885</v>
      </c>
      <c r="C434" s="9" t="s">
        <v>500</v>
      </c>
      <c r="D434" s="9" t="s">
        <v>18</v>
      </c>
      <c r="E434" s="9" t="s">
        <v>227</v>
      </c>
      <c r="F434" s="11">
        <v>1651</v>
      </c>
      <c r="G434" s="11">
        <v>0</v>
      </c>
      <c r="H434" s="11">
        <v>1651</v>
      </c>
      <c r="I434" s="11">
        <v>1266.4000000000001</v>
      </c>
      <c r="J434" s="11">
        <v>384.6</v>
      </c>
      <c r="K434" s="12">
        <v>0.23294972999999999</v>
      </c>
      <c r="L434" s="9" t="s">
        <v>18</v>
      </c>
      <c r="M434" s="9" t="s">
        <v>65</v>
      </c>
      <c r="N434" s="9" t="s">
        <v>18</v>
      </c>
      <c r="O434" s="9">
        <v>1</v>
      </c>
    </row>
    <row r="435" spans="1:15" x14ac:dyDescent="0.2">
      <c r="A435" s="9" t="s">
        <v>598</v>
      </c>
      <c r="B435" s="10">
        <v>45887</v>
      </c>
      <c r="C435" s="9" t="s">
        <v>500</v>
      </c>
      <c r="D435" s="9" t="s">
        <v>18</v>
      </c>
      <c r="E435" s="9" t="s">
        <v>227</v>
      </c>
      <c r="F435" s="11">
        <v>0</v>
      </c>
      <c r="G435" s="11">
        <v>0</v>
      </c>
      <c r="H435" s="11">
        <v>0</v>
      </c>
      <c r="I435" s="11">
        <v>50</v>
      </c>
      <c r="J435" s="11">
        <v>-50</v>
      </c>
      <c r="K435" s="12">
        <v>0</v>
      </c>
      <c r="L435" s="9" t="s">
        <v>18</v>
      </c>
      <c r="M435" s="9" t="s">
        <v>65</v>
      </c>
      <c r="N435" s="9" t="s">
        <v>18</v>
      </c>
      <c r="O435" s="9">
        <v>0</v>
      </c>
    </row>
    <row r="436" spans="1:15" x14ac:dyDescent="0.2">
      <c r="A436" s="9" t="s">
        <v>599</v>
      </c>
      <c r="B436" s="10">
        <v>45887</v>
      </c>
      <c r="C436" s="9" t="s">
        <v>500</v>
      </c>
      <c r="D436" s="9" t="s">
        <v>18</v>
      </c>
      <c r="E436" s="9" t="s">
        <v>227</v>
      </c>
      <c r="F436" s="11">
        <v>0</v>
      </c>
      <c r="G436" s="11">
        <v>0</v>
      </c>
      <c r="H436" s="11">
        <v>0</v>
      </c>
      <c r="I436" s="11">
        <v>50</v>
      </c>
      <c r="J436" s="11">
        <v>-50</v>
      </c>
      <c r="K436" s="12">
        <v>0</v>
      </c>
      <c r="L436" s="9" t="s">
        <v>18</v>
      </c>
      <c r="M436" s="9" t="s">
        <v>65</v>
      </c>
      <c r="N436" s="9" t="s">
        <v>18</v>
      </c>
      <c r="O436" s="9">
        <v>0</v>
      </c>
    </row>
    <row r="437" spans="1:15" x14ac:dyDescent="0.2">
      <c r="A437" s="9" t="s">
        <v>600</v>
      </c>
      <c r="B437" s="10">
        <v>45887</v>
      </c>
      <c r="C437" s="9" t="s">
        <v>500</v>
      </c>
      <c r="D437" s="9" t="s">
        <v>18</v>
      </c>
      <c r="E437" s="9" t="s">
        <v>227</v>
      </c>
      <c r="F437" s="11">
        <v>0</v>
      </c>
      <c r="G437" s="11">
        <v>0</v>
      </c>
      <c r="H437" s="11">
        <v>0</v>
      </c>
      <c r="I437" s="11">
        <v>50</v>
      </c>
      <c r="J437" s="11">
        <v>-50</v>
      </c>
      <c r="K437" s="12">
        <v>0</v>
      </c>
      <c r="L437" s="9" t="s">
        <v>18</v>
      </c>
      <c r="M437" s="9" t="s">
        <v>65</v>
      </c>
      <c r="N437" s="9" t="s">
        <v>18</v>
      </c>
      <c r="O437" s="9">
        <v>0</v>
      </c>
    </row>
    <row r="438" spans="1:15" x14ac:dyDescent="0.2">
      <c r="A438" s="9" t="s">
        <v>601</v>
      </c>
      <c r="B438" s="10">
        <v>45887</v>
      </c>
      <c r="C438" s="9" t="s">
        <v>500</v>
      </c>
      <c r="D438" s="9" t="s">
        <v>18</v>
      </c>
      <c r="E438" s="9" t="s">
        <v>227</v>
      </c>
      <c r="F438" s="11">
        <v>1514.18</v>
      </c>
      <c r="G438" s="11">
        <v>0</v>
      </c>
      <c r="H438" s="11">
        <v>1514.18</v>
      </c>
      <c r="I438" s="11">
        <v>1147</v>
      </c>
      <c r="J438" s="11">
        <v>367.18</v>
      </c>
      <c r="K438" s="12">
        <v>0.24249429</v>
      </c>
      <c r="L438" s="9" t="s">
        <v>18</v>
      </c>
      <c r="M438" s="9" t="s">
        <v>65</v>
      </c>
      <c r="N438" s="9" t="s">
        <v>18</v>
      </c>
      <c r="O438" s="9">
        <v>1</v>
      </c>
    </row>
    <row r="439" spans="1:15" x14ac:dyDescent="0.2">
      <c r="A439" s="9" t="s">
        <v>602</v>
      </c>
      <c r="B439" s="10">
        <v>45887</v>
      </c>
      <c r="C439" s="9" t="s">
        <v>500</v>
      </c>
      <c r="D439" s="9" t="s">
        <v>18</v>
      </c>
      <c r="E439" s="9" t="s">
        <v>227</v>
      </c>
      <c r="F439" s="11">
        <v>1514.18</v>
      </c>
      <c r="G439" s="11">
        <v>0</v>
      </c>
      <c r="H439" s="11">
        <v>1514.18</v>
      </c>
      <c r="I439" s="11">
        <v>1147</v>
      </c>
      <c r="J439" s="11">
        <v>367.18</v>
      </c>
      <c r="K439" s="12">
        <v>0.24249429</v>
      </c>
      <c r="L439" s="9" t="s">
        <v>18</v>
      </c>
      <c r="M439" s="9" t="s">
        <v>65</v>
      </c>
      <c r="N439" s="9" t="s">
        <v>18</v>
      </c>
      <c r="O439" s="9">
        <v>1</v>
      </c>
    </row>
    <row r="440" spans="1:15" x14ac:dyDescent="0.2">
      <c r="A440" s="9" t="s">
        <v>603</v>
      </c>
      <c r="B440" s="10">
        <v>45887</v>
      </c>
      <c r="C440" s="9" t="s">
        <v>500</v>
      </c>
      <c r="D440" s="9" t="s">
        <v>18</v>
      </c>
      <c r="E440" s="9" t="s">
        <v>227</v>
      </c>
      <c r="F440" s="11">
        <v>2228.4299999999998</v>
      </c>
      <c r="G440" s="11">
        <v>0</v>
      </c>
      <c r="H440" s="11">
        <v>2228.4299999999998</v>
      </c>
      <c r="I440" s="11">
        <v>1699.76</v>
      </c>
      <c r="J440" s="11">
        <v>528.66999999999996</v>
      </c>
      <c r="K440" s="12">
        <v>0.23723876999999999</v>
      </c>
      <c r="L440" s="9" t="s">
        <v>18</v>
      </c>
      <c r="M440" s="9" t="s">
        <v>65</v>
      </c>
      <c r="N440" s="9" t="s">
        <v>18</v>
      </c>
      <c r="O440" s="9">
        <v>1</v>
      </c>
    </row>
    <row r="441" spans="1:15" x14ac:dyDescent="0.2">
      <c r="A441" s="9" t="s">
        <v>604</v>
      </c>
      <c r="B441" s="10">
        <v>45888</v>
      </c>
      <c r="C441" s="9" t="s">
        <v>500</v>
      </c>
      <c r="D441" s="9" t="s">
        <v>18</v>
      </c>
      <c r="E441" s="9" t="s">
        <v>227</v>
      </c>
      <c r="F441" s="11">
        <v>2421.8000000000002</v>
      </c>
      <c r="G441" s="11">
        <v>0</v>
      </c>
      <c r="H441" s="11">
        <v>2421.8000000000002</v>
      </c>
      <c r="I441" s="11">
        <v>2073.66</v>
      </c>
      <c r="J441" s="11">
        <v>348.14</v>
      </c>
      <c r="K441" s="12">
        <v>0.14375257999999999</v>
      </c>
      <c r="L441" s="9" t="s">
        <v>18</v>
      </c>
      <c r="M441" s="9" t="s">
        <v>65</v>
      </c>
      <c r="N441" s="9" t="s">
        <v>18</v>
      </c>
      <c r="O441" s="9">
        <v>1</v>
      </c>
    </row>
    <row r="442" spans="1:15" x14ac:dyDescent="0.2">
      <c r="A442" s="9" t="s">
        <v>605</v>
      </c>
      <c r="B442" s="10">
        <v>45888</v>
      </c>
      <c r="C442" s="9" t="s">
        <v>500</v>
      </c>
      <c r="D442" s="9" t="s">
        <v>18</v>
      </c>
      <c r="E442" s="9" t="s">
        <v>227</v>
      </c>
      <c r="F442" s="11">
        <v>1110.8</v>
      </c>
      <c r="G442" s="11">
        <v>0</v>
      </c>
      <c r="H442" s="11">
        <v>1110.8</v>
      </c>
      <c r="I442" s="11">
        <v>865.26</v>
      </c>
      <c r="J442" s="11">
        <v>245.54</v>
      </c>
      <c r="K442" s="12">
        <v>0.22104789</v>
      </c>
      <c r="L442" s="9" t="s">
        <v>18</v>
      </c>
      <c r="M442" s="9" t="s">
        <v>65</v>
      </c>
      <c r="N442" s="9" t="s">
        <v>18</v>
      </c>
      <c r="O442" s="9">
        <v>1</v>
      </c>
    </row>
    <row r="443" spans="1:15" x14ac:dyDescent="0.2">
      <c r="A443" s="9" t="s">
        <v>606</v>
      </c>
      <c r="B443" s="10">
        <v>45888</v>
      </c>
      <c r="C443" s="9" t="s">
        <v>500</v>
      </c>
      <c r="D443" s="9" t="s">
        <v>18</v>
      </c>
      <c r="E443" s="9" t="s">
        <v>227</v>
      </c>
      <c r="F443" s="11">
        <v>1651</v>
      </c>
      <c r="G443" s="11">
        <v>0</v>
      </c>
      <c r="H443" s="11">
        <v>1651</v>
      </c>
      <c r="I443" s="11">
        <v>1266.4000000000001</v>
      </c>
      <c r="J443" s="11">
        <v>384.6</v>
      </c>
      <c r="K443" s="12">
        <v>0.23294972999999999</v>
      </c>
      <c r="L443" s="9" t="s">
        <v>18</v>
      </c>
      <c r="M443" s="9" t="s">
        <v>65</v>
      </c>
      <c r="N443" s="9" t="s">
        <v>18</v>
      </c>
      <c r="O443" s="9">
        <v>1</v>
      </c>
    </row>
    <row r="444" spans="1:15" x14ac:dyDescent="0.2">
      <c r="A444" s="9" t="s">
        <v>607</v>
      </c>
      <c r="B444" s="10">
        <v>45889</v>
      </c>
      <c r="C444" s="9" t="s">
        <v>500</v>
      </c>
      <c r="D444" s="9" t="s">
        <v>18</v>
      </c>
      <c r="E444" s="9" t="s">
        <v>227</v>
      </c>
      <c r="F444" s="11">
        <v>1651</v>
      </c>
      <c r="G444" s="11">
        <v>0</v>
      </c>
      <c r="H444" s="11">
        <v>1651</v>
      </c>
      <c r="I444" s="11">
        <v>1183.4000000000001</v>
      </c>
      <c r="J444" s="11">
        <v>467.6</v>
      </c>
      <c r="K444" s="12">
        <v>0.28322228999999999</v>
      </c>
      <c r="L444" s="9" t="s">
        <v>18</v>
      </c>
      <c r="M444" s="9" t="s">
        <v>65</v>
      </c>
      <c r="N444" s="9" t="s">
        <v>18</v>
      </c>
      <c r="O444" s="9">
        <v>1</v>
      </c>
    </row>
    <row r="445" spans="1:15" x14ac:dyDescent="0.2">
      <c r="A445" s="9" t="s">
        <v>554</v>
      </c>
      <c r="B445" s="10">
        <v>45889</v>
      </c>
      <c r="C445" s="9" t="s">
        <v>500</v>
      </c>
      <c r="D445" s="9" t="s">
        <v>18</v>
      </c>
      <c r="E445" s="9" t="s">
        <v>227</v>
      </c>
      <c r="F445" s="11">
        <v>0</v>
      </c>
      <c r="G445" s="11">
        <v>-1651</v>
      </c>
      <c r="H445" s="11">
        <v>-1651</v>
      </c>
      <c r="I445" s="11">
        <v>1016.4</v>
      </c>
      <c r="J445" s="11">
        <v>-2667.4</v>
      </c>
      <c r="K445" s="12">
        <v>1.6156268899999999</v>
      </c>
      <c r="L445" s="9" t="s">
        <v>18</v>
      </c>
      <c r="M445" s="9" t="s">
        <v>65</v>
      </c>
      <c r="N445" s="9" t="s">
        <v>18</v>
      </c>
      <c r="O445" s="9">
        <v>0</v>
      </c>
    </row>
    <row r="446" spans="1:15" x14ac:dyDescent="0.2">
      <c r="A446" s="9" t="s">
        <v>608</v>
      </c>
      <c r="B446" s="10">
        <v>45889</v>
      </c>
      <c r="C446" s="9" t="s">
        <v>500</v>
      </c>
      <c r="D446" s="9" t="s">
        <v>18</v>
      </c>
      <c r="E446" s="9" t="s">
        <v>227</v>
      </c>
      <c r="F446" s="11">
        <v>1514.18</v>
      </c>
      <c r="G446" s="11">
        <v>0</v>
      </c>
      <c r="H446" s="11">
        <v>1514.18</v>
      </c>
      <c r="I446" s="11">
        <v>1209</v>
      </c>
      <c r="J446" s="11">
        <v>305.18</v>
      </c>
      <c r="K446" s="12">
        <v>0.20154802999999999</v>
      </c>
      <c r="L446" s="9" t="s">
        <v>18</v>
      </c>
      <c r="M446" s="9" t="s">
        <v>65</v>
      </c>
      <c r="N446" s="9" t="s">
        <v>18</v>
      </c>
      <c r="O446" s="9">
        <v>1</v>
      </c>
    </row>
    <row r="447" spans="1:15" x14ac:dyDescent="0.2">
      <c r="A447" s="9" t="s">
        <v>609</v>
      </c>
      <c r="B447" s="10">
        <v>45889</v>
      </c>
      <c r="C447" s="9" t="s">
        <v>500</v>
      </c>
      <c r="D447" s="9" t="s">
        <v>18</v>
      </c>
      <c r="E447" s="9" t="s">
        <v>227</v>
      </c>
      <c r="F447" s="11">
        <v>1514.18</v>
      </c>
      <c r="G447" s="11">
        <v>0</v>
      </c>
      <c r="H447" s="11">
        <v>1514.18</v>
      </c>
      <c r="I447" s="11">
        <v>999</v>
      </c>
      <c r="J447" s="11">
        <v>515.17999999999995</v>
      </c>
      <c r="K447" s="12">
        <v>0.34023695999999998</v>
      </c>
      <c r="L447" s="9" t="s">
        <v>18</v>
      </c>
      <c r="M447" s="9" t="s">
        <v>65</v>
      </c>
      <c r="N447" s="9" t="s">
        <v>18</v>
      </c>
      <c r="O447" s="9">
        <v>1</v>
      </c>
    </row>
    <row r="448" spans="1:15" x14ac:dyDescent="0.2">
      <c r="A448" s="9" t="s">
        <v>610</v>
      </c>
      <c r="B448" s="10">
        <v>45889</v>
      </c>
      <c r="C448" s="9" t="s">
        <v>500</v>
      </c>
      <c r="D448" s="9" t="s">
        <v>18</v>
      </c>
      <c r="E448" s="9" t="s">
        <v>227</v>
      </c>
      <c r="F448" s="11">
        <v>1514.18</v>
      </c>
      <c r="G448" s="11">
        <v>0</v>
      </c>
      <c r="H448" s="11">
        <v>1514.18</v>
      </c>
      <c r="I448" s="11">
        <v>1178</v>
      </c>
      <c r="J448" s="11">
        <v>336.18</v>
      </c>
      <c r="K448" s="12">
        <v>0.22202116</v>
      </c>
      <c r="L448" s="9" t="s">
        <v>18</v>
      </c>
      <c r="M448" s="9" t="s">
        <v>65</v>
      </c>
      <c r="N448" s="9" t="s">
        <v>18</v>
      </c>
      <c r="O448" s="9">
        <v>1</v>
      </c>
    </row>
    <row r="449" spans="1:15" x14ac:dyDescent="0.2">
      <c r="A449" s="9" t="s">
        <v>611</v>
      </c>
      <c r="B449" s="10">
        <v>45889</v>
      </c>
      <c r="C449" s="9" t="s">
        <v>500</v>
      </c>
      <c r="D449" s="9" t="s">
        <v>18</v>
      </c>
      <c r="E449" s="9" t="s">
        <v>227</v>
      </c>
      <c r="F449" s="11">
        <v>1651</v>
      </c>
      <c r="G449" s="11">
        <v>0</v>
      </c>
      <c r="H449" s="11">
        <v>1651</v>
      </c>
      <c r="I449" s="11">
        <v>1266.4000000000001</v>
      </c>
      <c r="J449" s="11">
        <v>384.6</v>
      </c>
      <c r="K449" s="12">
        <v>0.23294972999999999</v>
      </c>
      <c r="L449" s="9" t="s">
        <v>18</v>
      </c>
      <c r="M449" s="9" t="s">
        <v>65</v>
      </c>
      <c r="N449" s="9" t="s">
        <v>18</v>
      </c>
      <c r="O449" s="9">
        <v>1</v>
      </c>
    </row>
    <row r="450" spans="1:15" x14ac:dyDescent="0.2">
      <c r="A450" s="9" t="s">
        <v>612</v>
      </c>
      <c r="B450" s="10">
        <v>45890</v>
      </c>
      <c r="C450" s="9" t="s">
        <v>500</v>
      </c>
      <c r="D450" s="9" t="s">
        <v>18</v>
      </c>
      <c r="E450" s="9" t="s">
        <v>227</v>
      </c>
      <c r="F450" s="11">
        <v>0</v>
      </c>
      <c r="G450" s="11">
        <v>0</v>
      </c>
      <c r="H450" s="11">
        <v>0</v>
      </c>
      <c r="I450" s="11">
        <v>150</v>
      </c>
      <c r="J450" s="11">
        <v>-150</v>
      </c>
      <c r="K450" s="12">
        <v>0</v>
      </c>
      <c r="L450" s="9" t="s">
        <v>18</v>
      </c>
      <c r="M450" s="9" t="s">
        <v>65</v>
      </c>
      <c r="N450" s="9" t="s">
        <v>18</v>
      </c>
      <c r="O450" s="9">
        <v>0</v>
      </c>
    </row>
    <row r="451" spans="1:15" x14ac:dyDescent="0.2">
      <c r="A451" s="9" t="s">
        <v>502</v>
      </c>
      <c r="B451" s="10">
        <v>45890</v>
      </c>
      <c r="C451" s="9" t="s">
        <v>500</v>
      </c>
      <c r="D451" s="9" t="s">
        <v>18</v>
      </c>
      <c r="E451" s="9" t="s">
        <v>227</v>
      </c>
      <c r="F451" s="11">
        <v>0</v>
      </c>
      <c r="G451" s="11">
        <v>0</v>
      </c>
      <c r="H451" s="11">
        <v>0</v>
      </c>
      <c r="I451" s="11">
        <v>15</v>
      </c>
      <c r="J451" s="11">
        <v>-15</v>
      </c>
      <c r="K451" s="12">
        <v>0</v>
      </c>
      <c r="L451" s="9" t="s">
        <v>18</v>
      </c>
      <c r="M451" s="9" t="s">
        <v>65</v>
      </c>
      <c r="N451" s="9" t="s">
        <v>18</v>
      </c>
      <c r="O451" s="9">
        <v>0</v>
      </c>
    </row>
    <row r="452" spans="1:15" x14ac:dyDescent="0.2">
      <c r="A452" s="9" t="s">
        <v>613</v>
      </c>
      <c r="B452" s="10">
        <v>45890</v>
      </c>
      <c r="C452" s="9" t="s">
        <v>500</v>
      </c>
      <c r="D452" s="9" t="s">
        <v>18</v>
      </c>
      <c r="E452" s="9" t="s">
        <v>227</v>
      </c>
      <c r="F452" s="11">
        <v>1514.18</v>
      </c>
      <c r="G452" s="11">
        <v>0</v>
      </c>
      <c r="H452" s="11">
        <v>1514.18</v>
      </c>
      <c r="I452" s="11">
        <v>1147</v>
      </c>
      <c r="J452" s="11">
        <v>367.18</v>
      </c>
      <c r="K452" s="12">
        <v>0.24249429</v>
      </c>
      <c r="L452" s="9" t="s">
        <v>18</v>
      </c>
      <c r="M452" s="9" t="s">
        <v>65</v>
      </c>
      <c r="N452" s="9" t="s">
        <v>18</v>
      </c>
      <c r="O452" s="9">
        <v>1</v>
      </c>
    </row>
    <row r="453" spans="1:15" x14ac:dyDescent="0.2">
      <c r="A453" s="9" t="s">
        <v>614</v>
      </c>
      <c r="B453" s="10">
        <v>45890</v>
      </c>
      <c r="C453" s="9" t="s">
        <v>500</v>
      </c>
      <c r="D453" s="9" t="s">
        <v>18</v>
      </c>
      <c r="E453" s="9" t="s">
        <v>227</v>
      </c>
      <c r="F453" s="11">
        <v>1514.18</v>
      </c>
      <c r="G453" s="11">
        <v>0</v>
      </c>
      <c r="H453" s="11">
        <v>1514.18</v>
      </c>
      <c r="I453" s="11">
        <v>1086</v>
      </c>
      <c r="J453" s="11">
        <v>428.18</v>
      </c>
      <c r="K453" s="12">
        <v>0.28278012000000002</v>
      </c>
      <c r="L453" s="9" t="s">
        <v>18</v>
      </c>
      <c r="M453" s="9" t="s">
        <v>65</v>
      </c>
      <c r="N453" s="9" t="s">
        <v>18</v>
      </c>
      <c r="O453" s="9">
        <v>1</v>
      </c>
    </row>
    <row r="454" spans="1:15" x14ac:dyDescent="0.2">
      <c r="A454" s="9" t="s">
        <v>615</v>
      </c>
      <c r="B454" s="10">
        <v>45890</v>
      </c>
      <c r="C454" s="9" t="s">
        <v>500</v>
      </c>
      <c r="D454" s="9" t="s">
        <v>18</v>
      </c>
      <c r="E454" s="9" t="s">
        <v>227</v>
      </c>
      <c r="F454" s="11">
        <v>1651</v>
      </c>
      <c r="G454" s="11">
        <v>0</v>
      </c>
      <c r="H454" s="11">
        <v>1651</v>
      </c>
      <c r="I454" s="11">
        <v>1244.4000000000001</v>
      </c>
      <c r="J454" s="11">
        <v>406.6</v>
      </c>
      <c r="K454" s="12">
        <v>0.24627498</v>
      </c>
      <c r="L454" s="9" t="s">
        <v>18</v>
      </c>
      <c r="M454" s="9" t="s">
        <v>65</v>
      </c>
      <c r="N454" s="9" t="s">
        <v>18</v>
      </c>
      <c r="O454" s="9">
        <v>1</v>
      </c>
    </row>
    <row r="455" spans="1:15" x14ac:dyDescent="0.2">
      <c r="A455" s="9" t="s">
        <v>616</v>
      </c>
      <c r="B455" s="10">
        <v>45890</v>
      </c>
      <c r="C455" s="9" t="s">
        <v>500</v>
      </c>
      <c r="D455" s="9" t="s">
        <v>18</v>
      </c>
      <c r="E455" s="9" t="s">
        <v>227</v>
      </c>
      <c r="F455" s="11">
        <v>1651</v>
      </c>
      <c r="G455" s="11">
        <v>0</v>
      </c>
      <c r="H455" s="11">
        <v>1651</v>
      </c>
      <c r="I455" s="11">
        <v>1308.4000000000001</v>
      </c>
      <c r="J455" s="11">
        <v>342.6</v>
      </c>
      <c r="K455" s="12">
        <v>0.20751059999999999</v>
      </c>
      <c r="L455" s="9" t="s">
        <v>18</v>
      </c>
      <c r="M455" s="9" t="s">
        <v>65</v>
      </c>
      <c r="N455" s="9" t="s">
        <v>18</v>
      </c>
      <c r="O455" s="9">
        <v>1</v>
      </c>
    </row>
    <row r="456" spans="1:15" x14ac:dyDescent="0.2">
      <c r="A456" s="9" t="s">
        <v>617</v>
      </c>
      <c r="B456" s="10">
        <v>45890</v>
      </c>
      <c r="C456" s="9" t="s">
        <v>500</v>
      </c>
      <c r="D456" s="9" t="s">
        <v>18</v>
      </c>
      <c r="E456" s="9" t="s">
        <v>227</v>
      </c>
      <c r="F456" s="11">
        <v>1651</v>
      </c>
      <c r="G456" s="11">
        <v>0</v>
      </c>
      <c r="H456" s="11">
        <v>1651</v>
      </c>
      <c r="I456" s="11">
        <v>1266.4000000000001</v>
      </c>
      <c r="J456" s="11">
        <v>384.6</v>
      </c>
      <c r="K456" s="12">
        <v>0.23294972999999999</v>
      </c>
      <c r="L456" s="9" t="s">
        <v>18</v>
      </c>
      <c r="M456" s="9" t="s">
        <v>65</v>
      </c>
      <c r="N456" s="9" t="s">
        <v>18</v>
      </c>
      <c r="O456" s="9">
        <v>1</v>
      </c>
    </row>
    <row r="457" spans="1:15" x14ac:dyDescent="0.2">
      <c r="A457" s="9" t="s">
        <v>618</v>
      </c>
      <c r="B457" s="10">
        <v>45890</v>
      </c>
      <c r="C457" s="9" t="s">
        <v>500</v>
      </c>
      <c r="D457" s="9" t="s">
        <v>18</v>
      </c>
      <c r="E457" s="9" t="s">
        <v>227</v>
      </c>
      <c r="F457" s="11">
        <v>1651</v>
      </c>
      <c r="G457" s="11">
        <v>0</v>
      </c>
      <c r="H457" s="11">
        <v>1651</v>
      </c>
      <c r="I457" s="11">
        <v>1266.4000000000001</v>
      </c>
      <c r="J457" s="11">
        <v>384.6</v>
      </c>
      <c r="K457" s="12">
        <v>0.23294972999999999</v>
      </c>
      <c r="L457" s="9" t="s">
        <v>18</v>
      </c>
      <c r="M457" s="9" t="s">
        <v>65</v>
      </c>
      <c r="N457" s="9" t="s">
        <v>18</v>
      </c>
      <c r="O457" s="9">
        <v>1</v>
      </c>
    </row>
    <row r="458" spans="1:15" x14ac:dyDescent="0.2">
      <c r="A458" s="9" t="s">
        <v>619</v>
      </c>
      <c r="B458" s="10">
        <v>45891</v>
      </c>
      <c r="C458" s="9" t="s">
        <v>500</v>
      </c>
      <c r="D458" s="9" t="s">
        <v>18</v>
      </c>
      <c r="E458" s="9" t="s">
        <v>227</v>
      </c>
      <c r="F458" s="11">
        <v>2365.25</v>
      </c>
      <c r="G458" s="11">
        <v>0</v>
      </c>
      <c r="H458" s="11">
        <v>2365.25</v>
      </c>
      <c r="I458" s="11">
        <v>1797.16</v>
      </c>
      <c r="J458" s="11">
        <v>568.09</v>
      </c>
      <c r="K458" s="12">
        <v>0.2401818</v>
      </c>
      <c r="L458" s="9" t="s">
        <v>18</v>
      </c>
      <c r="M458" s="9" t="s">
        <v>65</v>
      </c>
      <c r="N458" s="9" t="s">
        <v>18</v>
      </c>
      <c r="O458" s="9">
        <v>1</v>
      </c>
    </row>
    <row r="459" spans="1:15" x14ac:dyDescent="0.2">
      <c r="A459" s="9" t="s">
        <v>620</v>
      </c>
      <c r="B459" s="10">
        <v>45891</v>
      </c>
      <c r="C459" s="9" t="s">
        <v>500</v>
      </c>
      <c r="D459" s="9" t="s">
        <v>18</v>
      </c>
      <c r="E459" s="9" t="s">
        <v>227</v>
      </c>
      <c r="F459" s="11">
        <v>1651</v>
      </c>
      <c r="G459" s="11">
        <v>0</v>
      </c>
      <c r="H459" s="11">
        <v>1651</v>
      </c>
      <c r="I459" s="11">
        <v>1266.4000000000001</v>
      </c>
      <c r="J459" s="11">
        <v>384.6</v>
      </c>
      <c r="K459" s="12">
        <v>0.23294972999999999</v>
      </c>
      <c r="L459" s="9" t="s">
        <v>18</v>
      </c>
      <c r="M459" s="9" t="s">
        <v>65</v>
      </c>
      <c r="N459" s="9" t="s">
        <v>18</v>
      </c>
      <c r="O459" s="9">
        <v>1</v>
      </c>
    </row>
    <row r="460" spans="1:15" x14ac:dyDescent="0.2">
      <c r="A460" s="9" t="s">
        <v>571</v>
      </c>
      <c r="B460" s="10">
        <v>45894</v>
      </c>
      <c r="C460" s="9" t="s">
        <v>500</v>
      </c>
      <c r="D460" s="9" t="s">
        <v>18</v>
      </c>
      <c r="E460" s="9" t="s">
        <v>227</v>
      </c>
      <c r="F460" s="11">
        <v>0</v>
      </c>
      <c r="G460" s="11">
        <v>0</v>
      </c>
      <c r="H460" s="11">
        <v>0</v>
      </c>
      <c r="I460" s="11">
        <v>50</v>
      </c>
      <c r="J460" s="11">
        <v>-50</v>
      </c>
      <c r="K460" s="12">
        <v>0</v>
      </c>
      <c r="L460" s="9" t="s">
        <v>18</v>
      </c>
      <c r="M460" s="9" t="s">
        <v>65</v>
      </c>
      <c r="N460" s="9" t="s">
        <v>18</v>
      </c>
      <c r="O460" s="9">
        <v>0</v>
      </c>
    </row>
    <row r="461" spans="1:15" x14ac:dyDescent="0.2">
      <c r="A461" s="9" t="s">
        <v>621</v>
      </c>
      <c r="B461" s="10">
        <v>45894</v>
      </c>
      <c r="C461" s="9" t="s">
        <v>500</v>
      </c>
      <c r="D461" s="9" t="s">
        <v>18</v>
      </c>
      <c r="E461" s="9" t="s">
        <v>227</v>
      </c>
      <c r="F461" s="11">
        <v>0</v>
      </c>
      <c r="G461" s="11">
        <v>-1688.43</v>
      </c>
      <c r="H461" s="11">
        <v>-1688.43</v>
      </c>
      <c r="I461" s="11">
        <v>0</v>
      </c>
      <c r="J461" s="11">
        <v>-1688.43</v>
      </c>
      <c r="K461" s="12">
        <v>1</v>
      </c>
      <c r="L461" s="9" t="s">
        <v>18</v>
      </c>
      <c r="M461" s="9" t="s">
        <v>65</v>
      </c>
      <c r="N461" s="9" t="s">
        <v>18</v>
      </c>
      <c r="O461" s="9">
        <v>0</v>
      </c>
    </row>
    <row r="462" spans="1:15" x14ac:dyDescent="0.2">
      <c r="A462" s="9" t="s">
        <v>622</v>
      </c>
      <c r="B462" s="10">
        <v>45894</v>
      </c>
      <c r="C462" s="9" t="s">
        <v>500</v>
      </c>
      <c r="D462" s="9" t="s">
        <v>18</v>
      </c>
      <c r="E462" s="9" t="s">
        <v>227</v>
      </c>
      <c r="F462" s="11">
        <v>775.6</v>
      </c>
      <c r="G462" s="11">
        <v>0</v>
      </c>
      <c r="H462" s="11">
        <v>775.6</v>
      </c>
      <c r="I462" s="11">
        <v>538.98</v>
      </c>
      <c r="J462" s="11">
        <v>236.62</v>
      </c>
      <c r="K462" s="12">
        <v>0.30507993999999999</v>
      </c>
      <c r="L462" s="9" t="s">
        <v>18</v>
      </c>
      <c r="M462" s="9" t="s">
        <v>65</v>
      </c>
      <c r="N462" s="9" t="s">
        <v>18</v>
      </c>
      <c r="O462" s="9">
        <v>1</v>
      </c>
    </row>
    <row r="463" spans="1:15" x14ac:dyDescent="0.2">
      <c r="A463" s="9" t="s">
        <v>623</v>
      </c>
      <c r="B463" s="10">
        <v>45894</v>
      </c>
      <c r="C463" s="9" t="s">
        <v>500</v>
      </c>
      <c r="D463" s="9" t="s">
        <v>18</v>
      </c>
      <c r="E463" s="9" t="s">
        <v>227</v>
      </c>
      <c r="F463" s="11">
        <v>1651</v>
      </c>
      <c r="G463" s="11">
        <v>0</v>
      </c>
      <c r="H463" s="11">
        <v>1651</v>
      </c>
      <c r="I463" s="11">
        <v>1244.4000000000001</v>
      </c>
      <c r="J463" s="11">
        <v>406.6</v>
      </c>
      <c r="K463" s="12">
        <v>0.24627498</v>
      </c>
      <c r="L463" s="9" t="s">
        <v>18</v>
      </c>
      <c r="M463" s="9" t="s">
        <v>65</v>
      </c>
      <c r="N463" s="9" t="s">
        <v>18</v>
      </c>
      <c r="O463" s="9">
        <v>1</v>
      </c>
    </row>
    <row r="464" spans="1:15" x14ac:dyDescent="0.2">
      <c r="A464" s="9" t="s">
        <v>624</v>
      </c>
      <c r="B464" s="10">
        <v>45894</v>
      </c>
      <c r="C464" s="9" t="s">
        <v>500</v>
      </c>
      <c r="D464" s="9" t="s">
        <v>18</v>
      </c>
      <c r="E464" s="9" t="s">
        <v>227</v>
      </c>
      <c r="F464" s="11">
        <v>1651</v>
      </c>
      <c r="G464" s="11">
        <v>0</v>
      </c>
      <c r="H464" s="11">
        <v>1651</v>
      </c>
      <c r="I464" s="11">
        <v>1266.4000000000001</v>
      </c>
      <c r="J464" s="11">
        <v>384.6</v>
      </c>
      <c r="K464" s="12">
        <v>0.23294972999999999</v>
      </c>
      <c r="L464" s="9" t="s">
        <v>18</v>
      </c>
      <c r="M464" s="9" t="s">
        <v>65</v>
      </c>
      <c r="N464" s="9" t="s">
        <v>18</v>
      </c>
      <c r="O464" s="9">
        <v>1</v>
      </c>
    </row>
    <row r="465" spans="1:15" x14ac:dyDescent="0.2">
      <c r="A465" s="9" t="s">
        <v>625</v>
      </c>
      <c r="B465" s="10">
        <v>45894</v>
      </c>
      <c r="C465" s="9" t="s">
        <v>500</v>
      </c>
      <c r="D465" s="9" t="s">
        <v>18</v>
      </c>
      <c r="E465" s="9" t="s">
        <v>227</v>
      </c>
      <c r="F465" s="11">
        <v>1651</v>
      </c>
      <c r="G465" s="11">
        <v>0</v>
      </c>
      <c r="H465" s="11">
        <v>1651</v>
      </c>
      <c r="I465" s="11">
        <v>1266.4000000000001</v>
      </c>
      <c r="J465" s="11">
        <v>384.6</v>
      </c>
      <c r="K465" s="12">
        <v>0.23294972999999999</v>
      </c>
      <c r="L465" s="9" t="s">
        <v>18</v>
      </c>
      <c r="M465" s="9" t="s">
        <v>65</v>
      </c>
      <c r="N465" s="9" t="s">
        <v>18</v>
      </c>
      <c r="O465" s="9">
        <v>1</v>
      </c>
    </row>
    <row r="466" spans="1:15" x14ac:dyDescent="0.2">
      <c r="A466" s="9" t="s">
        <v>626</v>
      </c>
      <c r="B466" s="10">
        <v>45894</v>
      </c>
      <c r="C466" s="9" t="s">
        <v>500</v>
      </c>
      <c r="D466" s="9" t="s">
        <v>18</v>
      </c>
      <c r="E466" s="9" t="s">
        <v>227</v>
      </c>
      <c r="F466" s="11">
        <v>1651</v>
      </c>
      <c r="G466" s="11">
        <v>0</v>
      </c>
      <c r="H466" s="11">
        <v>1651</v>
      </c>
      <c r="I466" s="11">
        <v>1266.4000000000001</v>
      </c>
      <c r="J466" s="11">
        <v>384.6</v>
      </c>
      <c r="K466" s="12">
        <v>0.23294972999999999</v>
      </c>
      <c r="L466" s="9" t="s">
        <v>18</v>
      </c>
      <c r="M466" s="9" t="s">
        <v>65</v>
      </c>
      <c r="N466" s="9" t="s">
        <v>18</v>
      </c>
      <c r="O466" s="9">
        <v>1</v>
      </c>
    </row>
    <row r="467" spans="1:15" x14ac:dyDescent="0.2">
      <c r="A467" s="9" t="s">
        <v>627</v>
      </c>
      <c r="B467" s="10">
        <v>45894</v>
      </c>
      <c r="C467" s="9" t="s">
        <v>500</v>
      </c>
      <c r="D467" s="9" t="s">
        <v>18</v>
      </c>
      <c r="E467" s="9" t="s">
        <v>227</v>
      </c>
      <c r="F467" s="11">
        <v>1651</v>
      </c>
      <c r="G467" s="11">
        <v>0</v>
      </c>
      <c r="H467" s="11">
        <v>1651</v>
      </c>
      <c r="I467" s="11">
        <v>1266.4000000000001</v>
      </c>
      <c r="J467" s="11">
        <v>384.6</v>
      </c>
      <c r="K467" s="12">
        <v>0.23294972999999999</v>
      </c>
      <c r="L467" s="9" t="s">
        <v>18</v>
      </c>
      <c r="M467" s="9" t="s">
        <v>65</v>
      </c>
      <c r="N467" s="9" t="s">
        <v>18</v>
      </c>
      <c r="O467" s="9">
        <v>1</v>
      </c>
    </row>
    <row r="468" spans="1:15" x14ac:dyDescent="0.2">
      <c r="A468" s="9" t="s">
        <v>628</v>
      </c>
      <c r="B468" s="10">
        <v>45894</v>
      </c>
      <c r="C468" s="9" t="s">
        <v>500</v>
      </c>
      <c r="D468" s="9" t="s">
        <v>18</v>
      </c>
      <c r="E468" s="9" t="s">
        <v>227</v>
      </c>
      <c r="F468" s="11">
        <v>1651</v>
      </c>
      <c r="G468" s="11">
        <v>0</v>
      </c>
      <c r="H468" s="11">
        <v>1651</v>
      </c>
      <c r="I468" s="11">
        <v>1266.4000000000001</v>
      </c>
      <c r="J468" s="11">
        <v>384.6</v>
      </c>
      <c r="K468" s="12">
        <v>0.23294972999999999</v>
      </c>
      <c r="L468" s="9" t="s">
        <v>18</v>
      </c>
      <c r="M468" s="9" t="s">
        <v>65</v>
      </c>
      <c r="N468" s="9" t="s">
        <v>18</v>
      </c>
      <c r="O468" s="9">
        <v>1</v>
      </c>
    </row>
    <row r="469" spans="1:15" x14ac:dyDescent="0.2">
      <c r="A469" s="9" t="s">
        <v>629</v>
      </c>
      <c r="B469" s="10">
        <v>45894</v>
      </c>
      <c r="C469" s="9" t="s">
        <v>500</v>
      </c>
      <c r="D469" s="9" t="s">
        <v>18</v>
      </c>
      <c r="E469" s="9" t="s">
        <v>227</v>
      </c>
      <c r="F469" s="11">
        <v>1514.18</v>
      </c>
      <c r="G469" s="11">
        <v>0</v>
      </c>
      <c r="H469" s="11">
        <v>1514.18</v>
      </c>
      <c r="I469" s="11">
        <v>1169</v>
      </c>
      <c r="J469" s="11">
        <v>345.18</v>
      </c>
      <c r="K469" s="12">
        <v>0.22796496999999999</v>
      </c>
      <c r="L469" s="9" t="s">
        <v>18</v>
      </c>
      <c r="M469" s="9" t="s">
        <v>65</v>
      </c>
      <c r="N469" s="9" t="s">
        <v>18</v>
      </c>
      <c r="O469" s="9">
        <v>1</v>
      </c>
    </row>
    <row r="470" spans="1:15" x14ac:dyDescent="0.2">
      <c r="A470" s="9" t="s">
        <v>630</v>
      </c>
      <c r="B470" s="10">
        <v>45895</v>
      </c>
      <c r="C470" s="9" t="s">
        <v>500</v>
      </c>
      <c r="D470" s="9" t="s">
        <v>18</v>
      </c>
      <c r="E470" s="9" t="s">
        <v>227</v>
      </c>
      <c r="F470" s="11">
        <v>2309.02</v>
      </c>
      <c r="G470" s="11">
        <v>0</v>
      </c>
      <c r="H470" s="11">
        <v>2309.02</v>
      </c>
      <c r="I470" s="11">
        <v>2197.66</v>
      </c>
      <c r="J470" s="11">
        <v>111.36</v>
      </c>
      <c r="K470" s="12">
        <v>4.822825E-2</v>
      </c>
      <c r="L470" s="9" t="s">
        <v>18</v>
      </c>
      <c r="M470" s="9" t="s">
        <v>65</v>
      </c>
      <c r="N470" s="9" t="s">
        <v>18</v>
      </c>
      <c r="O470" s="9">
        <v>1</v>
      </c>
    </row>
    <row r="471" spans="1:15" x14ac:dyDescent="0.2">
      <c r="A471" s="9" t="s">
        <v>631</v>
      </c>
      <c r="B471" s="10">
        <v>45895</v>
      </c>
      <c r="C471" s="9" t="s">
        <v>500</v>
      </c>
      <c r="D471" s="9" t="s">
        <v>18</v>
      </c>
      <c r="E471" s="9" t="s">
        <v>227</v>
      </c>
      <c r="F471" s="11">
        <v>1651</v>
      </c>
      <c r="G471" s="11">
        <v>0</v>
      </c>
      <c r="H471" s="11">
        <v>1651</v>
      </c>
      <c r="I471" s="11">
        <v>1211.4000000000001</v>
      </c>
      <c r="J471" s="11">
        <v>439.6</v>
      </c>
      <c r="K471" s="12">
        <v>0.26626286999999998</v>
      </c>
      <c r="L471" s="9" t="s">
        <v>18</v>
      </c>
      <c r="M471" s="9" t="s">
        <v>65</v>
      </c>
      <c r="N471" s="9" t="s">
        <v>18</v>
      </c>
      <c r="O471" s="9">
        <v>1</v>
      </c>
    </row>
    <row r="472" spans="1:15" x14ac:dyDescent="0.2">
      <c r="A472" s="9" t="s">
        <v>632</v>
      </c>
      <c r="B472" s="10">
        <v>45895</v>
      </c>
      <c r="C472" s="9" t="s">
        <v>500</v>
      </c>
      <c r="D472" s="9" t="s">
        <v>18</v>
      </c>
      <c r="E472" s="9" t="s">
        <v>227</v>
      </c>
      <c r="F472" s="11">
        <v>2309.02</v>
      </c>
      <c r="G472" s="11">
        <v>0</v>
      </c>
      <c r="H472" s="11">
        <v>2309.02</v>
      </c>
      <c r="I472" s="11">
        <v>1747.66</v>
      </c>
      <c r="J472" s="11">
        <v>561.36</v>
      </c>
      <c r="K472" s="12">
        <v>0.24311613000000001</v>
      </c>
      <c r="L472" s="9" t="s">
        <v>18</v>
      </c>
      <c r="M472" s="9" t="s">
        <v>65</v>
      </c>
      <c r="N472" s="9" t="s">
        <v>18</v>
      </c>
      <c r="O472" s="9">
        <v>1</v>
      </c>
    </row>
    <row r="473" spans="1:15" x14ac:dyDescent="0.2">
      <c r="A473" s="9" t="s">
        <v>633</v>
      </c>
      <c r="B473" s="10">
        <v>45895</v>
      </c>
      <c r="C473" s="9" t="s">
        <v>500</v>
      </c>
      <c r="D473" s="9" t="s">
        <v>18</v>
      </c>
      <c r="E473" s="9" t="s">
        <v>227</v>
      </c>
      <c r="F473" s="11">
        <v>1929.85</v>
      </c>
      <c r="G473" s="11">
        <v>0</v>
      </c>
      <c r="H473" s="11">
        <v>1929.85</v>
      </c>
      <c r="I473" s="11">
        <v>1319.74</v>
      </c>
      <c r="J473" s="11">
        <v>610.11</v>
      </c>
      <c r="K473" s="12">
        <v>0.31614374000000001</v>
      </c>
      <c r="L473" s="9" t="s">
        <v>18</v>
      </c>
      <c r="M473" s="9" t="s">
        <v>65</v>
      </c>
      <c r="N473" s="9" t="s">
        <v>18</v>
      </c>
      <c r="O473" s="9">
        <v>1</v>
      </c>
    </row>
    <row r="474" spans="1:15" x14ac:dyDescent="0.2">
      <c r="A474" s="9" t="s">
        <v>634</v>
      </c>
      <c r="B474" s="10">
        <v>45895</v>
      </c>
      <c r="C474" s="9" t="s">
        <v>500</v>
      </c>
      <c r="D474" s="9" t="s">
        <v>18</v>
      </c>
      <c r="E474" s="9" t="s">
        <v>227</v>
      </c>
      <c r="F474" s="11">
        <v>1215.5999999999999</v>
      </c>
      <c r="G474" s="11">
        <v>0</v>
      </c>
      <c r="H474" s="11">
        <v>1215.5999999999999</v>
      </c>
      <c r="I474" s="11">
        <v>755.98</v>
      </c>
      <c r="J474" s="11">
        <v>459.62</v>
      </c>
      <c r="K474" s="12">
        <v>0.37810135</v>
      </c>
      <c r="L474" s="9" t="s">
        <v>18</v>
      </c>
      <c r="M474" s="9" t="s">
        <v>65</v>
      </c>
      <c r="N474" s="9" t="s">
        <v>18</v>
      </c>
      <c r="O474" s="9">
        <v>1</v>
      </c>
    </row>
    <row r="475" spans="1:15" x14ac:dyDescent="0.2">
      <c r="A475" s="9" t="s">
        <v>635</v>
      </c>
      <c r="B475" s="10">
        <v>45895</v>
      </c>
      <c r="C475" s="9" t="s">
        <v>500</v>
      </c>
      <c r="D475" s="9" t="s">
        <v>18</v>
      </c>
      <c r="E475" s="9" t="s">
        <v>227</v>
      </c>
      <c r="F475" s="11">
        <v>1215.5999999999999</v>
      </c>
      <c r="G475" s="11">
        <v>0</v>
      </c>
      <c r="H475" s="11">
        <v>1215.5999999999999</v>
      </c>
      <c r="I475" s="11">
        <v>705.98</v>
      </c>
      <c r="J475" s="11">
        <v>509.62</v>
      </c>
      <c r="K475" s="12">
        <v>0.41923329999999998</v>
      </c>
      <c r="L475" s="9" t="s">
        <v>18</v>
      </c>
      <c r="M475" s="9" t="s">
        <v>65</v>
      </c>
      <c r="N475" s="9" t="s">
        <v>18</v>
      </c>
      <c r="O475" s="9">
        <v>1</v>
      </c>
    </row>
    <row r="476" spans="1:15" x14ac:dyDescent="0.2">
      <c r="A476" s="9" t="s">
        <v>636</v>
      </c>
      <c r="B476" s="10">
        <v>45897</v>
      </c>
      <c r="C476" s="9" t="s">
        <v>500</v>
      </c>
      <c r="D476" s="9" t="s">
        <v>18</v>
      </c>
      <c r="E476" s="9" t="s">
        <v>227</v>
      </c>
      <c r="F476" s="11">
        <v>2421.8000000000002</v>
      </c>
      <c r="G476" s="11">
        <v>0</v>
      </c>
      <c r="H476" s="11">
        <v>2421.8000000000002</v>
      </c>
      <c r="I476" s="11">
        <v>2196.66</v>
      </c>
      <c r="J476" s="11">
        <v>225.14</v>
      </c>
      <c r="K476" s="12">
        <v>9.2963909999999997E-2</v>
      </c>
      <c r="L476" s="9" t="s">
        <v>18</v>
      </c>
      <c r="M476" s="9" t="s">
        <v>65</v>
      </c>
      <c r="N476" s="9" t="s">
        <v>18</v>
      </c>
      <c r="O476" s="9">
        <v>1</v>
      </c>
    </row>
    <row r="477" spans="1:15" x14ac:dyDescent="0.2">
      <c r="A477" s="9" t="s">
        <v>637</v>
      </c>
      <c r="B477" s="10">
        <v>45897</v>
      </c>
      <c r="C477" s="9" t="s">
        <v>500</v>
      </c>
      <c r="D477" s="9" t="s">
        <v>18</v>
      </c>
      <c r="E477" s="9" t="s">
        <v>227</v>
      </c>
      <c r="F477" s="11">
        <v>1651</v>
      </c>
      <c r="G477" s="11">
        <v>0</v>
      </c>
      <c r="H477" s="11">
        <v>1651</v>
      </c>
      <c r="I477" s="11">
        <v>1475.4</v>
      </c>
      <c r="J477" s="11">
        <v>175.6</v>
      </c>
      <c r="K477" s="12">
        <v>0.10635978</v>
      </c>
      <c r="L477" s="9" t="s">
        <v>18</v>
      </c>
      <c r="M477" s="9" t="s">
        <v>65</v>
      </c>
      <c r="N477" s="9" t="s">
        <v>18</v>
      </c>
      <c r="O477" s="9">
        <v>1</v>
      </c>
    </row>
    <row r="478" spans="1:15" x14ac:dyDescent="0.2">
      <c r="A478" s="9" t="s">
        <v>638</v>
      </c>
      <c r="B478" s="10">
        <v>45897</v>
      </c>
      <c r="C478" s="9" t="s">
        <v>500</v>
      </c>
      <c r="D478" s="9" t="s">
        <v>18</v>
      </c>
      <c r="E478" s="9" t="s">
        <v>227</v>
      </c>
      <c r="F478" s="11">
        <v>1651</v>
      </c>
      <c r="G478" s="11">
        <v>0</v>
      </c>
      <c r="H478" s="11">
        <v>1651</v>
      </c>
      <c r="I478" s="11">
        <v>1266.4000000000001</v>
      </c>
      <c r="J478" s="11">
        <v>384.6</v>
      </c>
      <c r="K478" s="12">
        <v>0.23294972999999999</v>
      </c>
      <c r="L478" s="9" t="s">
        <v>18</v>
      </c>
      <c r="M478" s="9" t="s">
        <v>65</v>
      </c>
      <c r="N478" s="9" t="s">
        <v>18</v>
      </c>
      <c r="O478" s="9">
        <v>1</v>
      </c>
    </row>
    <row r="479" spans="1:15" x14ac:dyDescent="0.2">
      <c r="A479" s="9" t="s">
        <v>639</v>
      </c>
      <c r="B479" s="10">
        <v>45898</v>
      </c>
      <c r="C479" s="9" t="s">
        <v>500</v>
      </c>
      <c r="D479" s="9" t="s">
        <v>18</v>
      </c>
      <c r="E479" s="9" t="s">
        <v>227</v>
      </c>
      <c r="F479" s="11">
        <v>1514.18</v>
      </c>
      <c r="G479" s="11">
        <v>0</v>
      </c>
      <c r="H479" s="11">
        <v>1514.18</v>
      </c>
      <c r="I479" s="11">
        <v>1169</v>
      </c>
      <c r="J479" s="11">
        <v>345.18</v>
      </c>
      <c r="K479" s="12">
        <v>0.22796496999999999</v>
      </c>
      <c r="L479" s="9" t="s">
        <v>18</v>
      </c>
      <c r="M479" s="9" t="s">
        <v>65</v>
      </c>
      <c r="N479" s="9" t="s">
        <v>18</v>
      </c>
      <c r="O479" s="9">
        <v>1</v>
      </c>
    </row>
    <row r="480" spans="1:15" x14ac:dyDescent="0.2">
      <c r="A480" s="9" t="s">
        <v>595</v>
      </c>
      <c r="B480" s="10">
        <v>45898</v>
      </c>
      <c r="C480" s="9" t="s">
        <v>500</v>
      </c>
      <c r="D480" s="9" t="s">
        <v>18</v>
      </c>
      <c r="E480" s="9" t="s">
        <v>227</v>
      </c>
      <c r="F480" s="11">
        <v>0</v>
      </c>
      <c r="G480" s="11">
        <v>-298.58</v>
      </c>
      <c r="H480" s="11">
        <v>-298.58</v>
      </c>
      <c r="I480" s="11">
        <v>538.98</v>
      </c>
      <c r="J480" s="11">
        <v>-837.56</v>
      </c>
      <c r="K480" s="12">
        <v>2.80514435</v>
      </c>
      <c r="L480" s="9" t="s">
        <v>18</v>
      </c>
      <c r="M480" s="9" t="s">
        <v>65</v>
      </c>
      <c r="N480" s="9" t="s">
        <v>18</v>
      </c>
      <c r="O480" s="9">
        <v>0</v>
      </c>
    </row>
    <row r="481" spans="1:15" x14ac:dyDescent="0.2">
      <c r="A481" s="9" t="s">
        <v>640</v>
      </c>
      <c r="B481" s="10">
        <v>45898</v>
      </c>
      <c r="C481" s="9" t="s">
        <v>500</v>
      </c>
      <c r="D481" s="9" t="s">
        <v>18</v>
      </c>
      <c r="E481" s="9" t="s">
        <v>227</v>
      </c>
      <c r="F481" s="11">
        <v>1651</v>
      </c>
      <c r="G481" s="11">
        <v>0</v>
      </c>
      <c r="H481" s="11">
        <v>1651</v>
      </c>
      <c r="I481" s="11">
        <v>1316.4</v>
      </c>
      <c r="J481" s="11">
        <v>334.6</v>
      </c>
      <c r="K481" s="12">
        <v>0.20266505000000001</v>
      </c>
      <c r="L481" s="9" t="s">
        <v>18</v>
      </c>
      <c r="M481" s="9" t="s">
        <v>65</v>
      </c>
      <c r="N481" s="9" t="s">
        <v>18</v>
      </c>
      <c r="O481" s="9">
        <v>1</v>
      </c>
    </row>
    <row r="482" spans="1:15" x14ac:dyDescent="0.2">
      <c r="A482" s="9" t="s">
        <v>641</v>
      </c>
      <c r="B482" s="10">
        <v>45898</v>
      </c>
      <c r="C482" s="9" t="s">
        <v>500</v>
      </c>
      <c r="D482" s="9" t="s">
        <v>18</v>
      </c>
      <c r="E482" s="9" t="s">
        <v>227</v>
      </c>
      <c r="F482" s="11">
        <v>1651</v>
      </c>
      <c r="G482" s="11">
        <v>0</v>
      </c>
      <c r="H482" s="11">
        <v>1651</v>
      </c>
      <c r="I482" s="11">
        <v>1260.4000000000001</v>
      </c>
      <c r="J482" s="11">
        <v>390.6</v>
      </c>
      <c r="K482" s="12">
        <v>0.23658388999999999</v>
      </c>
      <c r="L482" s="9" t="s">
        <v>18</v>
      </c>
      <c r="M482" s="9" t="s">
        <v>65</v>
      </c>
      <c r="N482" s="9" t="s">
        <v>18</v>
      </c>
      <c r="O482" s="9">
        <v>1</v>
      </c>
    </row>
    <row r="483" spans="1:15" x14ac:dyDescent="0.2">
      <c r="A483" s="9" t="s">
        <v>642</v>
      </c>
      <c r="B483" s="10">
        <v>45898</v>
      </c>
      <c r="C483" s="9" t="s">
        <v>500</v>
      </c>
      <c r="D483" s="9" t="s">
        <v>18</v>
      </c>
      <c r="E483" s="9" t="s">
        <v>227</v>
      </c>
      <c r="F483" s="11">
        <v>2228.4299999999998</v>
      </c>
      <c r="G483" s="11">
        <v>0</v>
      </c>
      <c r="H483" s="11">
        <v>2228.4299999999998</v>
      </c>
      <c r="I483" s="11">
        <v>1674.76</v>
      </c>
      <c r="J483" s="11">
        <v>553.66999999999996</v>
      </c>
      <c r="K483" s="12">
        <v>0.24845743000000001</v>
      </c>
      <c r="L483" s="9" t="s">
        <v>18</v>
      </c>
      <c r="M483" s="9" t="s">
        <v>65</v>
      </c>
      <c r="N483" s="9" t="s">
        <v>18</v>
      </c>
      <c r="O483" s="9">
        <v>1</v>
      </c>
    </row>
    <row r="484" spans="1:15" x14ac:dyDescent="0.2">
      <c r="A484" s="9" t="s">
        <v>643</v>
      </c>
      <c r="B484" s="10">
        <v>45898</v>
      </c>
      <c r="C484" s="9" t="s">
        <v>500</v>
      </c>
      <c r="D484" s="9" t="s">
        <v>18</v>
      </c>
      <c r="E484" s="9" t="s">
        <v>227</v>
      </c>
      <c r="F484" s="11">
        <v>1651</v>
      </c>
      <c r="G484" s="11">
        <v>0</v>
      </c>
      <c r="H484" s="11">
        <v>1651</v>
      </c>
      <c r="I484" s="11">
        <v>1191.4000000000001</v>
      </c>
      <c r="J484" s="11">
        <v>459.6</v>
      </c>
      <c r="K484" s="12">
        <v>0.27837674000000001</v>
      </c>
      <c r="L484" s="9" t="s">
        <v>18</v>
      </c>
      <c r="M484" s="9" t="s">
        <v>65</v>
      </c>
      <c r="N484" s="9" t="s">
        <v>18</v>
      </c>
      <c r="O484" s="9">
        <v>1</v>
      </c>
    </row>
    <row r="485" spans="1:15" x14ac:dyDescent="0.2">
      <c r="A485" s="9" t="s">
        <v>644</v>
      </c>
      <c r="B485" s="10">
        <v>45899</v>
      </c>
      <c r="C485" s="9" t="s">
        <v>500</v>
      </c>
      <c r="D485" s="9" t="s">
        <v>18</v>
      </c>
      <c r="E485" s="9" t="s">
        <v>227</v>
      </c>
      <c r="F485" s="11">
        <v>1215.5999999999999</v>
      </c>
      <c r="G485" s="11">
        <v>0</v>
      </c>
      <c r="H485" s="11">
        <v>1215.5999999999999</v>
      </c>
      <c r="I485" s="11">
        <v>788.98</v>
      </c>
      <c r="J485" s="11">
        <v>426.62</v>
      </c>
      <c r="K485" s="12">
        <v>0.35095426000000002</v>
      </c>
      <c r="L485" s="9" t="s">
        <v>18</v>
      </c>
      <c r="M485" s="9" t="s">
        <v>65</v>
      </c>
      <c r="N485" s="9" t="s">
        <v>18</v>
      </c>
      <c r="O485" s="9">
        <v>1</v>
      </c>
    </row>
    <row r="486" spans="1:15" x14ac:dyDescent="0.2">
      <c r="A486" s="9" t="s">
        <v>645</v>
      </c>
      <c r="B486" s="10">
        <v>45876</v>
      </c>
      <c r="C486" s="9" t="s">
        <v>646</v>
      </c>
      <c r="D486" s="9" t="s">
        <v>18</v>
      </c>
      <c r="E486" s="9" t="s">
        <v>227</v>
      </c>
      <c r="F486" s="11">
        <v>0</v>
      </c>
      <c r="G486" s="11">
        <v>0</v>
      </c>
      <c r="H486" s="11">
        <v>0</v>
      </c>
      <c r="I486" s="11">
        <v>-1515.8</v>
      </c>
      <c r="J486" s="11">
        <v>1515.8</v>
      </c>
      <c r="K486" s="12">
        <v>0</v>
      </c>
      <c r="L486" s="9" t="s">
        <v>419</v>
      </c>
      <c r="M486" s="9" t="s">
        <v>65</v>
      </c>
      <c r="N486" s="9" t="s">
        <v>222</v>
      </c>
      <c r="O486" s="9">
        <v>0</v>
      </c>
    </row>
    <row r="487" spans="1:15" x14ac:dyDescent="0.2">
      <c r="A487" s="9" t="s">
        <v>645</v>
      </c>
      <c r="B487" s="10">
        <v>45877</v>
      </c>
      <c r="C487" s="9" t="s">
        <v>646</v>
      </c>
      <c r="D487" s="9" t="s">
        <v>18</v>
      </c>
      <c r="E487" s="9" t="s">
        <v>227</v>
      </c>
      <c r="F487" s="11">
        <v>0</v>
      </c>
      <c r="G487" s="11">
        <v>563.79</v>
      </c>
      <c r="H487" s="11">
        <v>563.79</v>
      </c>
      <c r="I487" s="11">
        <v>165.09</v>
      </c>
      <c r="J487" s="11">
        <v>398.7</v>
      </c>
      <c r="K487" s="12">
        <v>0.70717819999999998</v>
      </c>
      <c r="L487" s="9" t="s">
        <v>419</v>
      </c>
      <c r="M487" s="9" t="s">
        <v>65</v>
      </c>
      <c r="N487" s="9" t="s">
        <v>222</v>
      </c>
      <c r="O487" s="9">
        <v>0</v>
      </c>
    </row>
    <row r="488" spans="1:15" x14ac:dyDescent="0.2">
      <c r="A488" s="9" t="s">
        <v>647</v>
      </c>
      <c r="B488" s="10">
        <v>45877</v>
      </c>
      <c r="C488" s="9" t="s">
        <v>646</v>
      </c>
      <c r="D488" s="9" t="s">
        <v>18</v>
      </c>
      <c r="E488" s="9" t="s">
        <v>227</v>
      </c>
      <c r="F488" s="11">
        <v>0</v>
      </c>
      <c r="G488" s="11">
        <v>0</v>
      </c>
      <c r="H488" s="11">
        <v>0</v>
      </c>
      <c r="I488" s="11">
        <v>-4027.16</v>
      </c>
      <c r="J488" s="11">
        <v>4027.16</v>
      </c>
      <c r="K488" s="12">
        <v>0</v>
      </c>
      <c r="L488" s="9" t="s">
        <v>648</v>
      </c>
      <c r="M488" s="9" t="s">
        <v>65</v>
      </c>
      <c r="N488" s="9" t="s">
        <v>18</v>
      </c>
      <c r="O488" s="9">
        <v>0</v>
      </c>
    </row>
    <row r="489" spans="1:15" x14ac:dyDescent="0.2">
      <c r="A489" s="9" t="s">
        <v>649</v>
      </c>
      <c r="B489" s="10">
        <v>45887</v>
      </c>
      <c r="C489" s="9" t="s">
        <v>646</v>
      </c>
      <c r="D489" s="9" t="s">
        <v>18</v>
      </c>
      <c r="E489" s="9" t="s">
        <v>227</v>
      </c>
      <c r="F489" s="11">
        <v>1151.55</v>
      </c>
      <c r="G489" s="11">
        <v>0</v>
      </c>
      <c r="H489" s="11">
        <v>1151.55</v>
      </c>
      <c r="I489" s="11">
        <v>765.72</v>
      </c>
      <c r="J489" s="11">
        <v>385.83</v>
      </c>
      <c r="K489" s="12">
        <v>0.33505275000000001</v>
      </c>
      <c r="L489" s="9" t="s">
        <v>158</v>
      </c>
      <c r="M489" s="9" t="s">
        <v>65</v>
      </c>
      <c r="N489" s="9" t="s">
        <v>158</v>
      </c>
      <c r="O489" s="9">
        <v>1</v>
      </c>
    </row>
    <row r="490" spans="1:15" x14ac:dyDescent="0.2">
      <c r="A490" s="9" t="s">
        <v>650</v>
      </c>
      <c r="B490" s="10">
        <v>45870</v>
      </c>
      <c r="C490" s="9" t="s">
        <v>646</v>
      </c>
      <c r="D490" s="9" t="s">
        <v>18</v>
      </c>
      <c r="E490" s="9" t="s">
        <v>227</v>
      </c>
      <c r="F490" s="11">
        <v>0</v>
      </c>
      <c r="G490" s="11">
        <v>0</v>
      </c>
      <c r="H490" s="11">
        <v>0</v>
      </c>
      <c r="I490" s="11">
        <v>0.46</v>
      </c>
      <c r="J490" s="11">
        <v>-0.46</v>
      </c>
      <c r="K490" s="12">
        <v>0</v>
      </c>
      <c r="L490" s="9" t="s">
        <v>651</v>
      </c>
      <c r="M490" s="9" t="s">
        <v>65</v>
      </c>
      <c r="N490" s="9" t="s">
        <v>651</v>
      </c>
      <c r="O490" s="9">
        <v>0</v>
      </c>
    </row>
    <row r="491" spans="1:15" x14ac:dyDescent="0.2">
      <c r="A491" s="9" t="s">
        <v>652</v>
      </c>
      <c r="B491" s="10">
        <v>45870</v>
      </c>
      <c r="C491" s="9" t="s">
        <v>646</v>
      </c>
      <c r="D491" s="9" t="s">
        <v>18</v>
      </c>
      <c r="E491" s="9" t="s">
        <v>227</v>
      </c>
      <c r="F491" s="11">
        <v>0</v>
      </c>
      <c r="G491" s="11">
        <v>0</v>
      </c>
      <c r="H491" s="11">
        <v>0</v>
      </c>
      <c r="I491" s="11">
        <v>-6022.5</v>
      </c>
      <c r="J491" s="11">
        <v>6022.5</v>
      </c>
      <c r="K491" s="12">
        <v>0</v>
      </c>
      <c r="L491" s="9" t="s">
        <v>651</v>
      </c>
      <c r="M491" s="9" t="s">
        <v>65</v>
      </c>
      <c r="N491" s="9" t="s">
        <v>651</v>
      </c>
      <c r="O491" s="9">
        <v>0</v>
      </c>
    </row>
    <row r="492" spans="1:15" x14ac:dyDescent="0.2">
      <c r="A492" s="9" t="s">
        <v>653</v>
      </c>
      <c r="B492" s="10">
        <v>45870</v>
      </c>
      <c r="C492" s="9" t="s">
        <v>646</v>
      </c>
      <c r="D492" s="9" t="s">
        <v>18</v>
      </c>
      <c r="E492" s="9" t="s">
        <v>227</v>
      </c>
      <c r="F492" s="11">
        <v>0</v>
      </c>
      <c r="G492" s="11">
        <v>0</v>
      </c>
      <c r="H492" s="11">
        <v>0</v>
      </c>
      <c r="I492" s="11">
        <v>131.29</v>
      </c>
      <c r="J492" s="11">
        <v>-131.29</v>
      </c>
      <c r="K492" s="12">
        <v>0</v>
      </c>
      <c r="L492" s="9" t="s">
        <v>651</v>
      </c>
      <c r="M492" s="9" t="s">
        <v>65</v>
      </c>
      <c r="N492" s="9" t="s">
        <v>651</v>
      </c>
      <c r="O492" s="9">
        <v>0</v>
      </c>
    </row>
    <row r="493" spans="1:15" x14ac:dyDescent="0.2">
      <c r="A493" s="9" t="s">
        <v>654</v>
      </c>
      <c r="B493" s="10">
        <v>45870</v>
      </c>
      <c r="C493" s="9" t="s">
        <v>646</v>
      </c>
      <c r="D493" s="9" t="s">
        <v>18</v>
      </c>
      <c r="E493" s="9" t="s">
        <v>227</v>
      </c>
      <c r="F493" s="11">
        <v>0</v>
      </c>
      <c r="G493" s="11">
        <v>0</v>
      </c>
      <c r="H493" s="11">
        <v>0</v>
      </c>
      <c r="I493" s="11">
        <v>-4184.8100000000004</v>
      </c>
      <c r="J493" s="11">
        <v>4184.8100000000004</v>
      </c>
      <c r="K493" s="12">
        <v>0</v>
      </c>
      <c r="L493" s="9" t="s">
        <v>651</v>
      </c>
      <c r="M493" s="9" t="s">
        <v>65</v>
      </c>
      <c r="N493" s="9" t="s">
        <v>651</v>
      </c>
      <c r="O493" s="9">
        <v>0</v>
      </c>
    </row>
    <row r="494" spans="1:15" x14ac:dyDescent="0.2">
      <c r="A494" s="9" t="s">
        <v>655</v>
      </c>
      <c r="B494" s="10">
        <v>45875</v>
      </c>
      <c r="C494" s="9" t="s">
        <v>646</v>
      </c>
      <c r="D494" s="9" t="s">
        <v>18</v>
      </c>
      <c r="E494" s="9" t="s">
        <v>227</v>
      </c>
      <c r="F494" s="11">
        <v>0</v>
      </c>
      <c r="G494" s="11">
        <v>0</v>
      </c>
      <c r="H494" s="11">
        <v>0</v>
      </c>
      <c r="I494" s="11">
        <v>13.28</v>
      </c>
      <c r="J494" s="11">
        <v>-13.28</v>
      </c>
      <c r="K494" s="12">
        <v>0</v>
      </c>
      <c r="L494" s="9" t="s">
        <v>651</v>
      </c>
      <c r="M494" s="9" t="s">
        <v>65</v>
      </c>
      <c r="N494" s="9" t="s">
        <v>651</v>
      </c>
      <c r="O494" s="9">
        <v>0</v>
      </c>
    </row>
    <row r="495" spans="1:15" x14ac:dyDescent="0.2">
      <c r="A495" s="9" t="s">
        <v>656</v>
      </c>
      <c r="B495" s="10">
        <v>45875</v>
      </c>
      <c r="C495" s="9" t="s">
        <v>646</v>
      </c>
      <c r="D495" s="9" t="s">
        <v>18</v>
      </c>
      <c r="E495" s="9" t="s">
        <v>227</v>
      </c>
      <c r="F495" s="11">
        <v>0</v>
      </c>
      <c r="G495" s="11">
        <v>0</v>
      </c>
      <c r="H495" s="11">
        <v>0</v>
      </c>
      <c r="I495" s="11">
        <v>-811.78</v>
      </c>
      <c r="J495" s="11">
        <v>811.78</v>
      </c>
      <c r="K495" s="12">
        <v>0</v>
      </c>
      <c r="L495" s="9" t="s">
        <v>651</v>
      </c>
      <c r="M495" s="9" t="s">
        <v>65</v>
      </c>
      <c r="N495" s="9" t="s">
        <v>651</v>
      </c>
      <c r="O495" s="9">
        <v>0</v>
      </c>
    </row>
    <row r="496" spans="1:15" x14ac:dyDescent="0.2">
      <c r="A496" s="9" t="s">
        <v>657</v>
      </c>
      <c r="B496" s="10">
        <v>45877</v>
      </c>
      <c r="C496" s="9" t="s">
        <v>646</v>
      </c>
      <c r="D496" s="9" t="s">
        <v>18</v>
      </c>
      <c r="E496" s="9" t="s">
        <v>227</v>
      </c>
      <c r="F496" s="11">
        <v>6562.5</v>
      </c>
      <c r="G496" s="11">
        <v>0</v>
      </c>
      <c r="H496" s="11">
        <v>6562.5</v>
      </c>
      <c r="I496" s="11">
        <v>5250</v>
      </c>
      <c r="J496" s="11">
        <v>1312.5</v>
      </c>
      <c r="K496" s="12">
        <v>0.2</v>
      </c>
      <c r="L496" s="9" t="s">
        <v>651</v>
      </c>
      <c r="M496" s="9" t="s">
        <v>65</v>
      </c>
      <c r="N496" s="9" t="s">
        <v>651</v>
      </c>
      <c r="O496" s="9">
        <v>1</v>
      </c>
    </row>
    <row r="497" spans="1:15" x14ac:dyDescent="0.2">
      <c r="A497" s="9" t="s">
        <v>658</v>
      </c>
      <c r="B497" s="10">
        <v>45883</v>
      </c>
      <c r="C497" s="9" t="s">
        <v>646</v>
      </c>
      <c r="D497" s="9" t="s">
        <v>18</v>
      </c>
      <c r="E497" s="9" t="s">
        <v>227</v>
      </c>
      <c r="F497" s="11">
        <v>9657.98</v>
      </c>
      <c r="G497" s="11">
        <v>0</v>
      </c>
      <c r="H497" s="11">
        <v>9657.98</v>
      </c>
      <c r="I497" s="11">
        <v>7333.63</v>
      </c>
      <c r="J497" s="11">
        <v>2324.35</v>
      </c>
      <c r="K497" s="12">
        <v>0.24066626999999999</v>
      </c>
      <c r="L497" s="9" t="s">
        <v>651</v>
      </c>
      <c r="M497" s="9" t="s">
        <v>65</v>
      </c>
      <c r="N497" s="9" t="s">
        <v>651</v>
      </c>
      <c r="O497" s="9">
        <v>1</v>
      </c>
    </row>
    <row r="498" spans="1:15" x14ac:dyDescent="0.2">
      <c r="A498" s="9" t="s">
        <v>659</v>
      </c>
      <c r="B498" s="10">
        <v>45883</v>
      </c>
      <c r="C498" s="9" t="s">
        <v>646</v>
      </c>
      <c r="D498" s="9" t="s">
        <v>18</v>
      </c>
      <c r="E498" s="9" t="s">
        <v>227</v>
      </c>
      <c r="F498" s="11">
        <v>300</v>
      </c>
      <c r="G498" s="11">
        <v>0</v>
      </c>
      <c r="H498" s="11">
        <v>300</v>
      </c>
      <c r="I498" s="11">
        <v>225</v>
      </c>
      <c r="J498" s="11">
        <v>75</v>
      </c>
      <c r="K498" s="12">
        <v>0.25</v>
      </c>
      <c r="L498" s="9" t="s">
        <v>651</v>
      </c>
      <c r="M498" s="9" t="s">
        <v>65</v>
      </c>
      <c r="N498" s="9" t="s">
        <v>651</v>
      </c>
      <c r="O498" s="9">
        <v>1</v>
      </c>
    </row>
    <row r="499" spans="1:15" x14ac:dyDescent="0.2">
      <c r="A499" s="9" t="s">
        <v>660</v>
      </c>
      <c r="B499" s="10">
        <v>45884</v>
      </c>
      <c r="C499" s="9" t="s">
        <v>646</v>
      </c>
      <c r="D499" s="9" t="s">
        <v>18</v>
      </c>
      <c r="E499" s="9" t="s">
        <v>227</v>
      </c>
      <c r="F499" s="11">
        <v>2624.57</v>
      </c>
      <c r="G499" s="11">
        <v>0</v>
      </c>
      <c r="H499" s="11">
        <v>2624.57</v>
      </c>
      <c r="I499" s="11">
        <v>2074.41</v>
      </c>
      <c r="J499" s="11">
        <v>550.16</v>
      </c>
      <c r="K499" s="12">
        <v>0.2096191</v>
      </c>
      <c r="L499" s="9" t="s">
        <v>651</v>
      </c>
      <c r="M499" s="9" t="s">
        <v>65</v>
      </c>
      <c r="N499" s="9" t="s">
        <v>651</v>
      </c>
      <c r="O499" s="9">
        <v>1</v>
      </c>
    </row>
    <row r="500" spans="1:15" x14ac:dyDescent="0.2">
      <c r="A500" s="9" t="s">
        <v>661</v>
      </c>
      <c r="B500" s="10">
        <v>45888</v>
      </c>
      <c r="C500" s="9" t="s">
        <v>646</v>
      </c>
      <c r="D500" s="9" t="s">
        <v>18</v>
      </c>
      <c r="E500" s="9" t="s">
        <v>227</v>
      </c>
      <c r="F500" s="11">
        <v>0</v>
      </c>
      <c r="G500" s="11">
        <v>0</v>
      </c>
      <c r="H500" s="11">
        <v>0</v>
      </c>
      <c r="I500" s="11">
        <v>-435.31</v>
      </c>
      <c r="J500" s="11">
        <v>435.31</v>
      </c>
      <c r="K500" s="12">
        <v>0</v>
      </c>
      <c r="L500" s="9" t="s">
        <v>651</v>
      </c>
      <c r="M500" s="9" t="s">
        <v>65</v>
      </c>
      <c r="N500" s="9" t="s">
        <v>651</v>
      </c>
      <c r="O500" s="9">
        <v>0</v>
      </c>
    </row>
    <row r="501" spans="1:15" x14ac:dyDescent="0.2">
      <c r="A501" s="9" t="s">
        <v>662</v>
      </c>
      <c r="B501" s="10">
        <v>45888</v>
      </c>
      <c r="C501" s="9" t="s">
        <v>646</v>
      </c>
      <c r="D501" s="9" t="s">
        <v>18</v>
      </c>
      <c r="E501" s="9" t="s">
        <v>227</v>
      </c>
      <c r="F501" s="11">
        <v>109359.84</v>
      </c>
      <c r="G501" s="11">
        <v>0</v>
      </c>
      <c r="H501" s="11">
        <v>109359.84</v>
      </c>
      <c r="I501" s="11">
        <v>92270.36</v>
      </c>
      <c r="J501" s="11">
        <v>17089.48</v>
      </c>
      <c r="K501" s="12">
        <v>0.15626833000000001</v>
      </c>
      <c r="L501" s="9" t="s">
        <v>651</v>
      </c>
      <c r="M501" s="9" t="s">
        <v>65</v>
      </c>
      <c r="N501" s="9" t="s">
        <v>651</v>
      </c>
      <c r="O501" s="9">
        <v>1</v>
      </c>
    </row>
    <row r="502" spans="1:15" x14ac:dyDescent="0.2">
      <c r="A502" s="9" t="s">
        <v>663</v>
      </c>
      <c r="B502" s="10">
        <v>45888</v>
      </c>
      <c r="C502" s="9" t="s">
        <v>646</v>
      </c>
      <c r="D502" s="9" t="s">
        <v>18</v>
      </c>
      <c r="E502" s="9" t="s">
        <v>227</v>
      </c>
      <c r="F502" s="11">
        <v>0</v>
      </c>
      <c r="G502" s="11">
        <v>0</v>
      </c>
      <c r="H502" s="11">
        <v>0</v>
      </c>
      <c r="I502" s="11">
        <v>-576.49</v>
      </c>
      <c r="J502" s="11">
        <v>576.49</v>
      </c>
      <c r="K502" s="12">
        <v>0</v>
      </c>
      <c r="L502" s="9" t="s">
        <v>651</v>
      </c>
      <c r="M502" s="9" t="s">
        <v>65</v>
      </c>
      <c r="N502" s="9" t="s">
        <v>651</v>
      </c>
      <c r="O502" s="9">
        <v>0</v>
      </c>
    </row>
    <row r="503" spans="1:15" x14ac:dyDescent="0.2">
      <c r="A503" s="9" t="s">
        <v>660</v>
      </c>
      <c r="B503" s="10">
        <v>45888</v>
      </c>
      <c r="C503" s="9" t="s">
        <v>646</v>
      </c>
      <c r="D503" s="9" t="s">
        <v>18</v>
      </c>
      <c r="E503" s="9" t="s">
        <v>227</v>
      </c>
      <c r="F503" s="11">
        <v>0</v>
      </c>
      <c r="G503" s="11">
        <v>0</v>
      </c>
      <c r="H503" s="11">
        <v>0</v>
      </c>
      <c r="I503" s="11">
        <v>0.53</v>
      </c>
      <c r="J503" s="11">
        <v>-0.53</v>
      </c>
      <c r="K503" s="12">
        <v>0</v>
      </c>
      <c r="L503" s="9" t="s">
        <v>651</v>
      </c>
      <c r="M503" s="9" t="s">
        <v>65</v>
      </c>
      <c r="N503" s="9" t="s">
        <v>651</v>
      </c>
      <c r="O503" s="9">
        <v>0</v>
      </c>
    </row>
    <row r="504" spans="1:15" x14ac:dyDescent="0.2">
      <c r="A504" s="9" t="s">
        <v>664</v>
      </c>
      <c r="B504" s="10">
        <v>45888</v>
      </c>
      <c r="C504" s="9" t="s">
        <v>646</v>
      </c>
      <c r="D504" s="9" t="s">
        <v>18</v>
      </c>
      <c r="E504" s="9" t="s">
        <v>227</v>
      </c>
      <c r="F504" s="11">
        <v>2034.1</v>
      </c>
      <c r="G504" s="11">
        <v>0</v>
      </c>
      <c r="H504" s="11">
        <v>2034.1</v>
      </c>
      <c r="I504" s="11">
        <v>1536.2</v>
      </c>
      <c r="J504" s="11">
        <v>497.9</v>
      </c>
      <c r="K504" s="12">
        <v>0.24477656</v>
      </c>
      <c r="L504" s="9" t="s">
        <v>651</v>
      </c>
      <c r="M504" s="9" t="s">
        <v>65</v>
      </c>
      <c r="N504" s="9" t="s">
        <v>651</v>
      </c>
      <c r="O504" s="9">
        <v>1</v>
      </c>
    </row>
    <row r="505" spans="1:15" x14ac:dyDescent="0.2">
      <c r="A505" s="9" t="s">
        <v>665</v>
      </c>
      <c r="B505" s="10">
        <v>45888</v>
      </c>
      <c r="C505" s="9" t="s">
        <v>646</v>
      </c>
      <c r="D505" s="9" t="s">
        <v>18</v>
      </c>
      <c r="E505" s="9" t="s">
        <v>227</v>
      </c>
      <c r="F505" s="11">
        <v>300</v>
      </c>
      <c r="G505" s="11">
        <v>0</v>
      </c>
      <c r="H505" s="11">
        <v>300</v>
      </c>
      <c r="I505" s="11">
        <v>225</v>
      </c>
      <c r="J505" s="11">
        <v>75</v>
      </c>
      <c r="K505" s="12">
        <v>0.25</v>
      </c>
      <c r="L505" s="9" t="s">
        <v>651</v>
      </c>
      <c r="M505" s="9" t="s">
        <v>65</v>
      </c>
      <c r="N505" s="9" t="s">
        <v>651</v>
      </c>
      <c r="O505" s="9">
        <v>1</v>
      </c>
    </row>
    <row r="506" spans="1:15" x14ac:dyDescent="0.2">
      <c r="A506" s="9" t="s">
        <v>666</v>
      </c>
      <c r="B506" s="10">
        <v>45894</v>
      </c>
      <c r="C506" s="9" t="s">
        <v>646</v>
      </c>
      <c r="D506" s="9" t="s">
        <v>18</v>
      </c>
      <c r="E506" s="9" t="s">
        <v>227</v>
      </c>
      <c r="F506" s="11">
        <v>200</v>
      </c>
      <c r="G506" s="11">
        <v>0</v>
      </c>
      <c r="H506" s="11">
        <v>200</v>
      </c>
      <c r="I506" s="11">
        <v>150</v>
      </c>
      <c r="J506" s="11">
        <v>50</v>
      </c>
      <c r="K506" s="12">
        <v>0.25</v>
      </c>
      <c r="L506" s="9" t="s">
        <v>651</v>
      </c>
      <c r="M506" s="9" t="s">
        <v>65</v>
      </c>
      <c r="N506" s="9" t="s">
        <v>651</v>
      </c>
      <c r="O506" s="9">
        <v>1</v>
      </c>
    </row>
    <row r="507" spans="1:15" x14ac:dyDescent="0.2">
      <c r="A507" s="9" t="s">
        <v>656</v>
      </c>
      <c r="B507" s="10">
        <v>45894</v>
      </c>
      <c r="C507" s="9" t="s">
        <v>646</v>
      </c>
      <c r="D507" s="9" t="s">
        <v>18</v>
      </c>
      <c r="E507" s="9" t="s">
        <v>227</v>
      </c>
      <c r="F507" s="11">
        <v>0</v>
      </c>
      <c r="G507" s="11">
        <v>0</v>
      </c>
      <c r="H507" s="11">
        <v>0</v>
      </c>
      <c r="I507" s="11">
        <v>249.88</v>
      </c>
      <c r="J507" s="11">
        <v>-249.88</v>
      </c>
      <c r="K507" s="12">
        <v>0</v>
      </c>
      <c r="L507" s="9" t="s">
        <v>651</v>
      </c>
      <c r="M507" s="9" t="s">
        <v>65</v>
      </c>
      <c r="N507" s="9" t="s">
        <v>651</v>
      </c>
      <c r="O507" s="9">
        <v>0</v>
      </c>
    </row>
    <row r="508" spans="1:15" x14ac:dyDescent="0.2">
      <c r="A508" s="9" t="s">
        <v>667</v>
      </c>
      <c r="B508" s="10">
        <v>45898</v>
      </c>
      <c r="C508" s="9" t="s">
        <v>646</v>
      </c>
      <c r="D508" s="9" t="s">
        <v>18</v>
      </c>
      <c r="E508" s="9" t="s">
        <v>227</v>
      </c>
      <c r="F508" s="11">
        <v>688</v>
      </c>
      <c r="G508" s="11">
        <v>0</v>
      </c>
      <c r="H508" s="11">
        <v>688</v>
      </c>
      <c r="I508" s="11">
        <v>512</v>
      </c>
      <c r="J508" s="11">
        <v>176</v>
      </c>
      <c r="K508" s="12">
        <v>0.25581395000000001</v>
      </c>
      <c r="L508" s="9" t="s">
        <v>651</v>
      </c>
      <c r="M508" s="9" t="s">
        <v>65</v>
      </c>
      <c r="N508" s="9" t="s">
        <v>651</v>
      </c>
      <c r="O508" s="9">
        <v>1</v>
      </c>
    </row>
    <row r="509" spans="1:15" x14ac:dyDescent="0.2">
      <c r="A509" s="9" t="s">
        <v>668</v>
      </c>
      <c r="B509" s="10">
        <v>45899</v>
      </c>
      <c r="C509" s="9" t="s">
        <v>646</v>
      </c>
      <c r="D509" s="9" t="s">
        <v>18</v>
      </c>
      <c r="E509" s="9" t="s">
        <v>227</v>
      </c>
      <c r="F509" s="11">
        <v>0</v>
      </c>
      <c r="G509" s="11">
        <v>0</v>
      </c>
      <c r="H509" s="11">
        <v>0</v>
      </c>
      <c r="I509" s="11">
        <v>138.75</v>
      </c>
      <c r="J509" s="11">
        <v>-138.75</v>
      </c>
      <c r="K509" s="12">
        <v>0</v>
      </c>
      <c r="L509" s="9" t="s">
        <v>651</v>
      </c>
      <c r="M509" s="9" t="s">
        <v>65</v>
      </c>
      <c r="N509" s="9" t="s">
        <v>651</v>
      </c>
      <c r="O509" s="9">
        <v>0</v>
      </c>
    </row>
    <row r="510" spans="1:15" x14ac:dyDescent="0.2">
      <c r="A510" s="9" t="s">
        <v>662</v>
      </c>
      <c r="B510" s="10">
        <v>45899</v>
      </c>
      <c r="C510" s="9" t="s">
        <v>646</v>
      </c>
      <c r="D510" s="9" t="s">
        <v>18</v>
      </c>
      <c r="E510" s="9" t="s">
        <v>227</v>
      </c>
      <c r="F510" s="11">
        <v>0</v>
      </c>
      <c r="G510" s="11">
        <v>0</v>
      </c>
      <c r="H510" s="11">
        <v>0</v>
      </c>
      <c r="I510" s="11">
        <v>121.25</v>
      </c>
      <c r="J510" s="11">
        <v>-121.25</v>
      </c>
      <c r="K510" s="12">
        <v>0</v>
      </c>
      <c r="L510" s="9" t="s">
        <v>651</v>
      </c>
      <c r="M510" s="9" t="s">
        <v>65</v>
      </c>
      <c r="N510" s="9" t="s">
        <v>651</v>
      </c>
      <c r="O510" s="9">
        <v>0</v>
      </c>
    </row>
    <row r="511" spans="1:15" x14ac:dyDescent="0.2">
      <c r="A511" s="9" t="s">
        <v>669</v>
      </c>
      <c r="B511" s="10">
        <v>45870</v>
      </c>
      <c r="C511" s="9" t="s">
        <v>646</v>
      </c>
      <c r="D511" s="9" t="s">
        <v>18</v>
      </c>
      <c r="E511" s="9" t="s">
        <v>227</v>
      </c>
      <c r="F511" s="11">
        <v>0</v>
      </c>
      <c r="G511" s="11">
        <v>0</v>
      </c>
      <c r="H511" s="11">
        <v>0</v>
      </c>
      <c r="I511" s="11">
        <v>-82</v>
      </c>
      <c r="J511" s="11">
        <v>82</v>
      </c>
      <c r="K511" s="12">
        <v>0</v>
      </c>
      <c r="L511" s="9" t="s">
        <v>18</v>
      </c>
      <c r="M511" s="9" t="s">
        <v>65</v>
      </c>
      <c r="N511" s="9" t="s">
        <v>18</v>
      </c>
      <c r="O511" s="9">
        <v>0</v>
      </c>
    </row>
    <row r="512" spans="1:15" x14ac:dyDescent="0.2">
      <c r="A512" s="9" t="s">
        <v>670</v>
      </c>
      <c r="B512" s="10">
        <v>45870</v>
      </c>
      <c r="C512" s="9" t="s">
        <v>646</v>
      </c>
      <c r="D512" s="9" t="s">
        <v>18</v>
      </c>
      <c r="E512" s="9" t="s">
        <v>227</v>
      </c>
      <c r="F512" s="11">
        <v>0</v>
      </c>
      <c r="G512" s="11">
        <v>0</v>
      </c>
      <c r="H512" s="11">
        <v>0</v>
      </c>
      <c r="I512" s="11">
        <v>-1970.1</v>
      </c>
      <c r="J512" s="11">
        <v>1970.1</v>
      </c>
      <c r="K512" s="12">
        <v>0</v>
      </c>
      <c r="L512" s="9" t="s">
        <v>18</v>
      </c>
      <c r="M512" s="9" t="s">
        <v>65</v>
      </c>
      <c r="N512" s="9" t="s">
        <v>18</v>
      </c>
      <c r="O512" s="9">
        <v>0</v>
      </c>
    </row>
    <row r="513" spans="1:15" x14ac:dyDescent="0.2">
      <c r="A513" s="9" t="s">
        <v>671</v>
      </c>
      <c r="B513" s="10">
        <v>45870</v>
      </c>
      <c r="C513" s="9" t="s">
        <v>646</v>
      </c>
      <c r="D513" s="9" t="s">
        <v>18</v>
      </c>
      <c r="E513" s="9" t="s">
        <v>227</v>
      </c>
      <c r="F513" s="11">
        <v>0</v>
      </c>
      <c r="G513" s="11">
        <v>0</v>
      </c>
      <c r="H513" s="11">
        <v>0</v>
      </c>
      <c r="I513" s="11">
        <v>87.31</v>
      </c>
      <c r="J513" s="11">
        <v>-87.31</v>
      </c>
      <c r="K513" s="12">
        <v>0</v>
      </c>
      <c r="L513" s="9" t="s">
        <v>18</v>
      </c>
      <c r="M513" s="9" t="s">
        <v>65</v>
      </c>
      <c r="N513" s="9" t="s">
        <v>18</v>
      </c>
      <c r="O513" s="9">
        <v>0</v>
      </c>
    </row>
    <row r="514" spans="1:15" x14ac:dyDescent="0.2">
      <c r="A514" s="9" t="s">
        <v>672</v>
      </c>
      <c r="B514" s="10">
        <v>45870</v>
      </c>
      <c r="C514" s="9" t="s">
        <v>646</v>
      </c>
      <c r="D514" s="9" t="s">
        <v>18</v>
      </c>
      <c r="E514" s="9" t="s">
        <v>227</v>
      </c>
      <c r="F514" s="11">
        <v>0</v>
      </c>
      <c r="G514" s="11">
        <v>0</v>
      </c>
      <c r="H514" s="11">
        <v>0</v>
      </c>
      <c r="I514" s="11">
        <v>2647.6</v>
      </c>
      <c r="J514" s="11">
        <v>-2647.6</v>
      </c>
      <c r="K514" s="12">
        <v>0</v>
      </c>
      <c r="L514" s="9" t="s">
        <v>18</v>
      </c>
      <c r="M514" s="9" t="s">
        <v>65</v>
      </c>
      <c r="N514" s="9" t="s">
        <v>18</v>
      </c>
      <c r="O514" s="9">
        <v>0</v>
      </c>
    </row>
    <row r="515" spans="1:15" x14ac:dyDescent="0.2">
      <c r="A515" s="9" t="s">
        <v>673</v>
      </c>
      <c r="B515" s="10">
        <v>45870</v>
      </c>
      <c r="C515" s="9" t="s">
        <v>646</v>
      </c>
      <c r="D515" s="9" t="s">
        <v>18</v>
      </c>
      <c r="E515" s="9" t="s">
        <v>227</v>
      </c>
      <c r="F515" s="11">
        <v>0</v>
      </c>
      <c r="G515" s="11">
        <v>0</v>
      </c>
      <c r="H515" s="11">
        <v>0</v>
      </c>
      <c r="I515" s="11">
        <v>176</v>
      </c>
      <c r="J515" s="11">
        <v>-176</v>
      </c>
      <c r="K515" s="12">
        <v>0</v>
      </c>
      <c r="L515" s="9" t="s">
        <v>18</v>
      </c>
      <c r="M515" s="9" t="s">
        <v>65</v>
      </c>
      <c r="N515" s="9" t="s">
        <v>18</v>
      </c>
      <c r="O515" s="9">
        <v>0</v>
      </c>
    </row>
    <row r="516" spans="1:15" x14ac:dyDescent="0.2">
      <c r="A516" s="9" t="s">
        <v>674</v>
      </c>
      <c r="B516" s="10">
        <v>45873</v>
      </c>
      <c r="C516" s="9" t="s">
        <v>646</v>
      </c>
      <c r="D516" s="9" t="s">
        <v>18</v>
      </c>
      <c r="E516" s="9" t="s">
        <v>227</v>
      </c>
      <c r="F516" s="11">
        <v>1320.48</v>
      </c>
      <c r="G516" s="11">
        <v>0</v>
      </c>
      <c r="H516" s="11">
        <v>1320.48</v>
      </c>
      <c r="I516" s="11">
        <v>1083.33</v>
      </c>
      <c r="J516" s="11">
        <v>237.15</v>
      </c>
      <c r="K516" s="12">
        <v>0.17959378000000001</v>
      </c>
      <c r="L516" s="9" t="s">
        <v>18</v>
      </c>
      <c r="M516" s="9" t="s">
        <v>65</v>
      </c>
      <c r="N516" s="9" t="s">
        <v>18</v>
      </c>
      <c r="O516" s="9">
        <v>1</v>
      </c>
    </row>
    <row r="517" spans="1:15" x14ac:dyDescent="0.2">
      <c r="A517" s="9" t="s">
        <v>672</v>
      </c>
      <c r="B517" s="10">
        <v>45874</v>
      </c>
      <c r="C517" s="9" t="s">
        <v>646</v>
      </c>
      <c r="D517" s="9" t="s">
        <v>18</v>
      </c>
      <c r="E517" s="9" t="s">
        <v>227</v>
      </c>
      <c r="F517" s="11">
        <v>0</v>
      </c>
      <c r="G517" s="11">
        <v>0</v>
      </c>
      <c r="H517" s="11">
        <v>0</v>
      </c>
      <c r="I517" s="11">
        <v>150</v>
      </c>
      <c r="J517" s="11">
        <v>-150</v>
      </c>
      <c r="K517" s="12">
        <v>0</v>
      </c>
      <c r="L517" s="9" t="s">
        <v>18</v>
      </c>
      <c r="M517" s="9" t="s">
        <v>65</v>
      </c>
      <c r="N517" s="9" t="s">
        <v>18</v>
      </c>
      <c r="O517" s="9">
        <v>0</v>
      </c>
    </row>
    <row r="518" spans="1:15" x14ac:dyDescent="0.2">
      <c r="A518" s="9" t="s">
        <v>672</v>
      </c>
      <c r="B518" s="10">
        <v>45875</v>
      </c>
      <c r="C518" s="9" t="s">
        <v>646</v>
      </c>
      <c r="D518" s="9" t="s">
        <v>18</v>
      </c>
      <c r="E518" s="9" t="s">
        <v>227</v>
      </c>
      <c r="F518" s="11">
        <v>0</v>
      </c>
      <c r="G518" s="11">
        <v>0</v>
      </c>
      <c r="H518" s="11">
        <v>0</v>
      </c>
      <c r="I518" s="11">
        <v>-3462.33</v>
      </c>
      <c r="J518" s="11">
        <v>3462.33</v>
      </c>
      <c r="K518" s="12">
        <v>0</v>
      </c>
      <c r="L518" s="9" t="s">
        <v>18</v>
      </c>
      <c r="M518" s="9" t="s">
        <v>65</v>
      </c>
      <c r="N518" s="9" t="s">
        <v>18</v>
      </c>
      <c r="O518" s="9">
        <v>0</v>
      </c>
    </row>
    <row r="519" spans="1:15" x14ac:dyDescent="0.2">
      <c r="A519" s="9" t="s">
        <v>675</v>
      </c>
      <c r="B519" s="10">
        <v>45876</v>
      </c>
      <c r="C519" s="9" t="s">
        <v>646</v>
      </c>
      <c r="D519" s="9" t="s">
        <v>18</v>
      </c>
      <c r="E519" s="9" t="s">
        <v>227</v>
      </c>
      <c r="F519" s="11">
        <v>0</v>
      </c>
      <c r="G519" s="11">
        <v>0</v>
      </c>
      <c r="H519" s="11">
        <v>0</v>
      </c>
      <c r="I519" s="11">
        <v>-50</v>
      </c>
      <c r="J519" s="11">
        <v>50</v>
      </c>
      <c r="K519" s="12">
        <v>0</v>
      </c>
      <c r="L519" s="9" t="s">
        <v>18</v>
      </c>
      <c r="M519" s="9" t="s">
        <v>65</v>
      </c>
      <c r="N519" s="9" t="s">
        <v>18</v>
      </c>
      <c r="O519" s="9">
        <v>0</v>
      </c>
    </row>
    <row r="520" spans="1:15" x14ac:dyDescent="0.2">
      <c r="A520" s="9" t="s">
        <v>672</v>
      </c>
      <c r="B520" s="10">
        <v>45876</v>
      </c>
      <c r="C520" s="9" t="s">
        <v>646</v>
      </c>
      <c r="D520" s="9" t="s">
        <v>18</v>
      </c>
      <c r="E520" s="9" t="s">
        <v>227</v>
      </c>
      <c r="F520" s="11">
        <v>0</v>
      </c>
      <c r="G520" s="11">
        <v>0</v>
      </c>
      <c r="H520" s="11">
        <v>0</v>
      </c>
      <c r="I520" s="11">
        <v>-1208.73</v>
      </c>
      <c r="J520" s="11">
        <v>1208.73</v>
      </c>
      <c r="K520" s="12">
        <v>0</v>
      </c>
      <c r="L520" s="9" t="s">
        <v>18</v>
      </c>
      <c r="M520" s="9" t="s">
        <v>65</v>
      </c>
      <c r="N520" s="9" t="s">
        <v>18</v>
      </c>
      <c r="O520" s="9">
        <v>0</v>
      </c>
    </row>
    <row r="521" spans="1:15" x14ac:dyDescent="0.2">
      <c r="A521" s="9" t="s">
        <v>672</v>
      </c>
      <c r="B521" s="10">
        <v>45877</v>
      </c>
      <c r="C521" s="9" t="s">
        <v>646</v>
      </c>
      <c r="D521" s="9" t="s">
        <v>18</v>
      </c>
      <c r="E521" s="9" t="s">
        <v>227</v>
      </c>
      <c r="F521" s="11">
        <v>0</v>
      </c>
      <c r="G521" s="11">
        <v>0</v>
      </c>
      <c r="H521" s="11">
        <v>0</v>
      </c>
      <c r="I521" s="11">
        <v>70.06</v>
      </c>
      <c r="J521" s="11">
        <v>-70.06</v>
      </c>
      <c r="K521" s="12">
        <v>0</v>
      </c>
      <c r="L521" s="9" t="s">
        <v>18</v>
      </c>
      <c r="M521" s="9" t="s">
        <v>65</v>
      </c>
      <c r="N521" s="9" t="s">
        <v>18</v>
      </c>
      <c r="O521" s="9">
        <v>0</v>
      </c>
    </row>
    <row r="522" spans="1:15" x14ac:dyDescent="0.2">
      <c r="A522" s="9" t="s">
        <v>676</v>
      </c>
      <c r="B522" s="10">
        <v>45880</v>
      </c>
      <c r="C522" s="9" t="s">
        <v>646</v>
      </c>
      <c r="D522" s="9" t="s">
        <v>18</v>
      </c>
      <c r="E522" s="9" t="s">
        <v>227</v>
      </c>
      <c r="F522" s="11">
        <v>0</v>
      </c>
      <c r="G522" s="11">
        <v>0</v>
      </c>
      <c r="H522" s="11">
        <v>0</v>
      </c>
      <c r="I522" s="11">
        <v>83.06</v>
      </c>
      <c r="J522" s="11">
        <v>-83.06</v>
      </c>
      <c r="K522" s="12">
        <v>0</v>
      </c>
      <c r="L522" s="9" t="s">
        <v>18</v>
      </c>
      <c r="M522" s="9" t="s">
        <v>65</v>
      </c>
      <c r="N522" s="9" t="s">
        <v>18</v>
      </c>
      <c r="O522" s="9">
        <v>0</v>
      </c>
    </row>
    <row r="523" spans="1:15" x14ac:dyDescent="0.2">
      <c r="A523" s="9" t="s">
        <v>676</v>
      </c>
      <c r="B523" s="10">
        <v>45881</v>
      </c>
      <c r="C523" s="9" t="s">
        <v>646</v>
      </c>
      <c r="D523" s="9" t="s">
        <v>18</v>
      </c>
      <c r="E523" s="9" t="s">
        <v>227</v>
      </c>
      <c r="F523" s="11">
        <v>0</v>
      </c>
      <c r="G523" s="11">
        <v>0</v>
      </c>
      <c r="H523" s="11">
        <v>0</v>
      </c>
      <c r="I523" s="11">
        <v>-19.079999999999998</v>
      </c>
      <c r="J523" s="11">
        <v>19.079999999999998</v>
      </c>
      <c r="K523" s="12">
        <v>0</v>
      </c>
      <c r="L523" s="9" t="s">
        <v>18</v>
      </c>
      <c r="M523" s="9" t="s">
        <v>65</v>
      </c>
      <c r="N523" s="9" t="s">
        <v>18</v>
      </c>
      <c r="O523" s="9">
        <v>0</v>
      </c>
    </row>
    <row r="524" spans="1:15" x14ac:dyDescent="0.2">
      <c r="A524" s="9" t="s">
        <v>676</v>
      </c>
      <c r="B524" s="10">
        <v>45882</v>
      </c>
      <c r="C524" s="9" t="s">
        <v>646</v>
      </c>
      <c r="D524" s="9" t="s">
        <v>18</v>
      </c>
      <c r="E524" s="9" t="s">
        <v>227</v>
      </c>
      <c r="F524" s="11">
        <v>0</v>
      </c>
      <c r="G524" s="11">
        <v>0</v>
      </c>
      <c r="H524" s="11">
        <v>0</v>
      </c>
      <c r="I524" s="11">
        <v>-283.38</v>
      </c>
      <c r="J524" s="11">
        <v>283.38</v>
      </c>
      <c r="K524" s="12">
        <v>0</v>
      </c>
      <c r="L524" s="9" t="s">
        <v>18</v>
      </c>
      <c r="M524" s="9" t="s">
        <v>65</v>
      </c>
      <c r="N524" s="9" t="s">
        <v>18</v>
      </c>
      <c r="O524" s="9">
        <v>0</v>
      </c>
    </row>
    <row r="525" spans="1:15" x14ac:dyDescent="0.2">
      <c r="A525" s="9" t="s">
        <v>672</v>
      </c>
      <c r="B525" s="10">
        <v>45882</v>
      </c>
      <c r="C525" s="9" t="s">
        <v>646</v>
      </c>
      <c r="D525" s="9" t="s">
        <v>18</v>
      </c>
      <c r="E525" s="9" t="s">
        <v>227</v>
      </c>
      <c r="F525" s="11">
        <v>0</v>
      </c>
      <c r="G525" s="11">
        <v>0</v>
      </c>
      <c r="H525" s="11">
        <v>0</v>
      </c>
      <c r="I525" s="11">
        <v>60</v>
      </c>
      <c r="J525" s="11">
        <v>-60</v>
      </c>
      <c r="K525" s="12">
        <v>0</v>
      </c>
      <c r="L525" s="9" t="s">
        <v>18</v>
      </c>
      <c r="M525" s="9" t="s">
        <v>65</v>
      </c>
      <c r="N525" s="9" t="s">
        <v>18</v>
      </c>
      <c r="O525" s="9">
        <v>0</v>
      </c>
    </row>
    <row r="526" spans="1:15" x14ac:dyDescent="0.2">
      <c r="A526" s="9" t="s">
        <v>676</v>
      </c>
      <c r="B526" s="10">
        <v>45883</v>
      </c>
      <c r="C526" s="9" t="s">
        <v>646</v>
      </c>
      <c r="D526" s="9" t="s">
        <v>18</v>
      </c>
      <c r="E526" s="9" t="s">
        <v>227</v>
      </c>
      <c r="F526" s="11">
        <v>0</v>
      </c>
      <c r="G526" s="11">
        <v>0</v>
      </c>
      <c r="H526" s="11">
        <v>0</v>
      </c>
      <c r="I526" s="11">
        <v>0.62</v>
      </c>
      <c r="J526" s="11">
        <v>-0.62</v>
      </c>
      <c r="K526" s="12">
        <v>0</v>
      </c>
      <c r="L526" s="9" t="s">
        <v>18</v>
      </c>
      <c r="M526" s="9" t="s">
        <v>65</v>
      </c>
      <c r="N526" s="9" t="s">
        <v>18</v>
      </c>
      <c r="O526" s="9">
        <v>0</v>
      </c>
    </row>
    <row r="527" spans="1:15" x14ac:dyDescent="0.2">
      <c r="A527" s="9" t="s">
        <v>677</v>
      </c>
      <c r="B527" s="10">
        <v>45883</v>
      </c>
      <c r="C527" s="9" t="s">
        <v>646</v>
      </c>
      <c r="D527" s="9" t="s">
        <v>18</v>
      </c>
      <c r="E527" s="9" t="s">
        <v>227</v>
      </c>
      <c r="F527" s="11">
        <v>0</v>
      </c>
      <c r="G527" s="11">
        <v>0</v>
      </c>
      <c r="H527" s="11">
        <v>0</v>
      </c>
      <c r="I527" s="11">
        <v>54.25</v>
      </c>
      <c r="J527" s="11">
        <v>-54.25</v>
      </c>
      <c r="K527" s="12">
        <v>0</v>
      </c>
      <c r="L527" s="9" t="s">
        <v>18</v>
      </c>
      <c r="M527" s="9" t="s">
        <v>65</v>
      </c>
      <c r="N527" s="9" t="s">
        <v>18</v>
      </c>
      <c r="O527" s="9">
        <v>0</v>
      </c>
    </row>
    <row r="528" spans="1:15" x14ac:dyDescent="0.2">
      <c r="A528" s="9" t="s">
        <v>678</v>
      </c>
      <c r="B528" s="10">
        <v>45883</v>
      </c>
      <c r="C528" s="9" t="s">
        <v>646</v>
      </c>
      <c r="D528" s="9" t="s">
        <v>18</v>
      </c>
      <c r="E528" s="9" t="s">
        <v>227</v>
      </c>
      <c r="F528" s="11">
        <v>0</v>
      </c>
      <c r="G528" s="11">
        <v>0</v>
      </c>
      <c r="H528" s="11">
        <v>0</v>
      </c>
      <c r="I528" s="11">
        <v>46.5</v>
      </c>
      <c r="J528" s="11">
        <v>-46.5</v>
      </c>
      <c r="K528" s="12">
        <v>0</v>
      </c>
      <c r="L528" s="9" t="s">
        <v>18</v>
      </c>
      <c r="M528" s="9" t="s">
        <v>65</v>
      </c>
      <c r="N528" s="9" t="s">
        <v>18</v>
      </c>
      <c r="O528" s="9">
        <v>0</v>
      </c>
    </row>
    <row r="529" spans="1:15" x14ac:dyDescent="0.2">
      <c r="A529" s="9" t="s">
        <v>679</v>
      </c>
      <c r="B529" s="10">
        <v>45884</v>
      </c>
      <c r="C529" s="9" t="s">
        <v>646</v>
      </c>
      <c r="D529" s="9" t="s">
        <v>18</v>
      </c>
      <c r="E529" s="9" t="s">
        <v>227</v>
      </c>
      <c r="F529" s="11">
        <v>36155.980000000003</v>
      </c>
      <c r="G529" s="11">
        <v>0</v>
      </c>
      <c r="H529" s="11">
        <v>36155.980000000003</v>
      </c>
      <c r="I529" s="11">
        <v>28348.78</v>
      </c>
      <c r="J529" s="11">
        <v>7807.2</v>
      </c>
      <c r="K529" s="12">
        <v>0.21593108999999999</v>
      </c>
      <c r="L529" s="9" t="s">
        <v>18</v>
      </c>
      <c r="M529" s="13" t="s">
        <v>65</v>
      </c>
      <c r="N529" s="13" t="s">
        <v>18</v>
      </c>
      <c r="O529" s="9">
        <v>1</v>
      </c>
    </row>
    <row r="530" spans="1:15" x14ac:dyDescent="0.2">
      <c r="A530" s="9" t="s">
        <v>680</v>
      </c>
      <c r="B530" s="10">
        <v>45887</v>
      </c>
      <c r="C530" s="9" t="s">
        <v>646</v>
      </c>
      <c r="D530" s="9" t="s">
        <v>18</v>
      </c>
      <c r="E530" s="9" t="s">
        <v>227</v>
      </c>
      <c r="F530" s="11">
        <v>0</v>
      </c>
      <c r="G530" s="11">
        <v>0</v>
      </c>
      <c r="H530" s="11">
        <v>0</v>
      </c>
      <c r="I530" s="11">
        <v>-5398.56</v>
      </c>
      <c r="J530" s="11">
        <v>5398.56</v>
      </c>
      <c r="K530" s="12">
        <v>0</v>
      </c>
      <c r="L530" s="9" t="s">
        <v>18</v>
      </c>
      <c r="M530" s="9" t="s">
        <v>65</v>
      </c>
      <c r="N530" s="9" t="s">
        <v>18</v>
      </c>
      <c r="O530" s="9">
        <v>0</v>
      </c>
    </row>
    <row r="531" spans="1:15" x14ac:dyDescent="0.2">
      <c r="A531" s="9" t="s">
        <v>681</v>
      </c>
      <c r="B531" s="10">
        <v>45888</v>
      </c>
      <c r="C531" s="9" t="s">
        <v>646</v>
      </c>
      <c r="D531" s="9" t="s">
        <v>18</v>
      </c>
      <c r="E531" s="9" t="s">
        <v>227</v>
      </c>
      <c r="F531" s="11">
        <v>0</v>
      </c>
      <c r="G531" s="11">
        <v>0</v>
      </c>
      <c r="H531" s="11">
        <v>0</v>
      </c>
      <c r="I531" s="11">
        <v>-105.89</v>
      </c>
      <c r="J531" s="11">
        <v>105.89</v>
      </c>
      <c r="K531" s="12">
        <v>0</v>
      </c>
      <c r="L531" s="9" t="s">
        <v>18</v>
      </c>
      <c r="M531" s="9" t="s">
        <v>65</v>
      </c>
      <c r="N531" s="9" t="s">
        <v>18</v>
      </c>
      <c r="O531" s="9">
        <v>0</v>
      </c>
    </row>
    <row r="532" spans="1:15" x14ac:dyDescent="0.2">
      <c r="A532" s="9" t="s">
        <v>682</v>
      </c>
      <c r="B532" s="10">
        <v>45888</v>
      </c>
      <c r="C532" s="9" t="s">
        <v>646</v>
      </c>
      <c r="D532" s="9" t="s">
        <v>18</v>
      </c>
      <c r="E532" s="9" t="s">
        <v>227</v>
      </c>
      <c r="F532" s="11">
        <v>2117.69</v>
      </c>
      <c r="G532" s="11">
        <v>0</v>
      </c>
      <c r="H532" s="11">
        <v>2117.69</v>
      </c>
      <c r="I532" s="11">
        <v>1227.96</v>
      </c>
      <c r="J532" s="11">
        <v>889.73</v>
      </c>
      <c r="K532" s="12">
        <v>0.42014175999999998</v>
      </c>
      <c r="L532" s="9" t="s">
        <v>18</v>
      </c>
      <c r="M532" s="9" t="s">
        <v>65</v>
      </c>
      <c r="N532" s="9" t="s">
        <v>18</v>
      </c>
      <c r="O532" s="9">
        <v>1</v>
      </c>
    </row>
    <row r="533" spans="1:15" x14ac:dyDescent="0.2">
      <c r="A533" s="9" t="s">
        <v>683</v>
      </c>
      <c r="B533" s="10">
        <v>45889</v>
      </c>
      <c r="C533" s="9" t="s">
        <v>646</v>
      </c>
      <c r="D533" s="9" t="s">
        <v>18</v>
      </c>
      <c r="E533" s="9" t="s">
        <v>227</v>
      </c>
      <c r="F533" s="11">
        <v>1558.86</v>
      </c>
      <c r="G533" s="11">
        <v>0</v>
      </c>
      <c r="H533" s="11">
        <v>1558.86</v>
      </c>
      <c r="I533" s="11">
        <v>1247.0899999999999</v>
      </c>
      <c r="J533" s="11">
        <v>311.77</v>
      </c>
      <c r="K533" s="12">
        <v>0.19999871999999999</v>
      </c>
      <c r="L533" s="9" t="s">
        <v>18</v>
      </c>
      <c r="M533" s="9" t="s">
        <v>65</v>
      </c>
      <c r="N533" s="9" t="s">
        <v>18</v>
      </c>
      <c r="O533" s="9">
        <v>1</v>
      </c>
    </row>
    <row r="534" spans="1:15" x14ac:dyDescent="0.2">
      <c r="A534" s="9" t="s">
        <v>684</v>
      </c>
      <c r="B534" s="10">
        <v>45890</v>
      </c>
      <c r="C534" s="9" t="s">
        <v>646</v>
      </c>
      <c r="D534" s="9" t="s">
        <v>18</v>
      </c>
      <c r="E534" s="9" t="s">
        <v>227</v>
      </c>
      <c r="F534" s="11">
        <v>0</v>
      </c>
      <c r="G534" s="11">
        <v>0</v>
      </c>
      <c r="H534" s="11">
        <v>0</v>
      </c>
      <c r="I534" s="11">
        <v>2500</v>
      </c>
      <c r="J534" s="11">
        <v>-2500</v>
      </c>
      <c r="K534" s="12">
        <v>0</v>
      </c>
      <c r="L534" s="9" t="s">
        <v>18</v>
      </c>
      <c r="M534" s="9" t="s">
        <v>65</v>
      </c>
      <c r="N534" s="9" t="s">
        <v>18</v>
      </c>
      <c r="O534" s="9">
        <v>0</v>
      </c>
    </row>
    <row r="535" spans="1:15" x14ac:dyDescent="0.2">
      <c r="A535" s="9" t="s">
        <v>685</v>
      </c>
      <c r="B535" s="10">
        <v>45890</v>
      </c>
      <c r="C535" s="9" t="s">
        <v>646</v>
      </c>
      <c r="D535" s="9" t="s">
        <v>18</v>
      </c>
      <c r="E535" s="9" t="s">
        <v>227</v>
      </c>
      <c r="F535" s="11">
        <v>39464.879999999997</v>
      </c>
      <c r="G535" s="11">
        <v>0</v>
      </c>
      <c r="H535" s="11">
        <v>39464.879999999997</v>
      </c>
      <c r="I535" s="11">
        <v>30995.91</v>
      </c>
      <c r="J535" s="11">
        <v>8468.9699999999993</v>
      </c>
      <c r="K535" s="12">
        <v>0.21459510000000001</v>
      </c>
      <c r="L535" s="9" t="s">
        <v>18</v>
      </c>
      <c r="M535" s="9" t="s">
        <v>65</v>
      </c>
      <c r="N535" s="9" t="s">
        <v>18</v>
      </c>
      <c r="O535" s="9">
        <v>1</v>
      </c>
    </row>
    <row r="536" spans="1:15" x14ac:dyDescent="0.2">
      <c r="A536" s="9" t="s">
        <v>686</v>
      </c>
      <c r="B536" s="10">
        <v>45891</v>
      </c>
      <c r="C536" s="9" t="s">
        <v>646</v>
      </c>
      <c r="D536" s="9" t="s">
        <v>18</v>
      </c>
      <c r="E536" s="9" t="s">
        <v>227</v>
      </c>
      <c r="F536" s="11">
        <v>0</v>
      </c>
      <c r="G536" s="11">
        <v>0</v>
      </c>
      <c r="H536" s="11">
        <v>0</v>
      </c>
      <c r="I536" s="11">
        <v>1076.31</v>
      </c>
      <c r="J536" s="11">
        <v>-1076.31</v>
      </c>
      <c r="K536" s="12">
        <v>0</v>
      </c>
      <c r="L536" s="9" t="s">
        <v>18</v>
      </c>
      <c r="M536" s="9" t="s">
        <v>65</v>
      </c>
      <c r="N536" s="9" t="s">
        <v>18</v>
      </c>
      <c r="O536" s="9">
        <v>0</v>
      </c>
    </row>
    <row r="537" spans="1:15" x14ac:dyDescent="0.2">
      <c r="A537" s="9" t="s">
        <v>669</v>
      </c>
      <c r="B537" s="10">
        <v>45894</v>
      </c>
      <c r="C537" s="9" t="s">
        <v>646</v>
      </c>
      <c r="D537" s="9" t="s">
        <v>18</v>
      </c>
      <c r="E537" s="9" t="s">
        <v>227</v>
      </c>
      <c r="F537" s="11">
        <v>0</v>
      </c>
      <c r="G537" s="11">
        <v>0</v>
      </c>
      <c r="H537" s="11">
        <v>0</v>
      </c>
      <c r="I537" s="11">
        <v>44</v>
      </c>
      <c r="J537" s="11">
        <v>-44</v>
      </c>
      <c r="K537" s="12">
        <v>0</v>
      </c>
      <c r="L537" s="9" t="s">
        <v>18</v>
      </c>
      <c r="M537" s="9" t="s">
        <v>65</v>
      </c>
      <c r="N537" s="9" t="s">
        <v>18</v>
      </c>
      <c r="O537" s="9">
        <v>0</v>
      </c>
    </row>
    <row r="538" spans="1:15" x14ac:dyDescent="0.2">
      <c r="A538" s="9" t="s">
        <v>676</v>
      </c>
      <c r="B538" s="10">
        <v>45894</v>
      </c>
      <c r="C538" s="9" t="s">
        <v>646</v>
      </c>
      <c r="D538" s="9" t="s">
        <v>18</v>
      </c>
      <c r="E538" s="9" t="s">
        <v>227</v>
      </c>
      <c r="F538" s="11">
        <v>0</v>
      </c>
      <c r="G538" s="11">
        <v>0</v>
      </c>
      <c r="H538" s="11">
        <v>0</v>
      </c>
      <c r="I538" s="11">
        <v>-1278.8800000000001</v>
      </c>
      <c r="J538" s="11">
        <v>1278.8800000000001</v>
      </c>
      <c r="K538" s="12">
        <v>0</v>
      </c>
      <c r="L538" s="9" t="s">
        <v>18</v>
      </c>
      <c r="M538" s="9" t="s">
        <v>65</v>
      </c>
      <c r="N538" s="9" t="s">
        <v>18</v>
      </c>
      <c r="O538" s="9">
        <v>0</v>
      </c>
    </row>
    <row r="539" spans="1:15" x14ac:dyDescent="0.2">
      <c r="A539" s="9" t="s">
        <v>672</v>
      </c>
      <c r="B539" s="10">
        <v>45894</v>
      </c>
      <c r="C539" s="9" t="s">
        <v>646</v>
      </c>
      <c r="D539" s="9" t="s">
        <v>18</v>
      </c>
      <c r="E539" s="9" t="s">
        <v>227</v>
      </c>
      <c r="F539" s="11">
        <v>0</v>
      </c>
      <c r="G539" s="11">
        <v>0</v>
      </c>
      <c r="H539" s="11">
        <v>0</v>
      </c>
      <c r="I539" s="11">
        <v>1812.1</v>
      </c>
      <c r="J539" s="11">
        <v>-1812.1</v>
      </c>
      <c r="K539" s="12">
        <v>0</v>
      </c>
      <c r="L539" s="9" t="s">
        <v>18</v>
      </c>
      <c r="M539" s="9" t="s">
        <v>65</v>
      </c>
      <c r="N539" s="9" t="s">
        <v>18</v>
      </c>
      <c r="O539" s="9">
        <v>0</v>
      </c>
    </row>
    <row r="540" spans="1:15" x14ac:dyDescent="0.2">
      <c r="A540" s="9" t="s">
        <v>687</v>
      </c>
      <c r="B540" s="10">
        <v>45894</v>
      </c>
      <c r="C540" s="9" t="s">
        <v>646</v>
      </c>
      <c r="D540" s="9" t="s">
        <v>18</v>
      </c>
      <c r="E540" s="9" t="s">
        <v>227</v>
      </c>
      <c r="F540" s="11">
        <v>91250.64</v>
      </c>
      <c r="G540" s="11">
        <v>0</v>
      </c>
      <c r="H540" s="11">
        <v>91250.64</v>
      </c>
      <c r="I540" s="11">
        <v>74661</v>
      </c>
      <c r="J540" s="11">
        <v>16589.64</v>
      </c>
      <c r="K540" s="12">
        <v>0.18180299999999999</v>
      </c>
      <c r="L540" s="9" t="s">
        <v>18</v>
      </c>
      <c r="M540" s="9" t="s">
        <v>65</v>
      </c>
      <c r="N540" s="9" t="s">
        <v>18</v>
      </c>
      <c r="O540" s="9">
        <v>1</v>
      </c>
    </row>
    <row r="541" spans="1:15" x14ac:dyDescent="0.2">
      <c r="A541" s="9" t="s">
        <v>688</v>
      </c>
      <c r="B541" s="10">
        <v>45894</v>
      </c>
      <c r="C541" s="9" t="s">
        <v>646</v>
      </c>
      <c r="D541" s="9" t="s">
        <v>18</v>
      </c>
      <c r="E541" s="9" t="s">
        <v>227</v>
      </c>
      <c r="F541" s="11">
        <v>191294.09</v>
      </c>
      <c r="G541" s="11">
        <v>0</v>
      </c>
      <c r="H541" s="11">
        <v>191294.09</v>
      </c>
      <c r="I541" s="11">
        <v>156566.25</v>
      </c>
      <c r="J541" s="11">
        <v>34727.839999999997</v>
      </c>
      <c r="K541" s="12">
        <v>0.18154163000000001</v>
      </c>
      <c r="L541" s="9" t="s">
        <v>18</v>
      </c>
      <c r="M541" s="9" t="s">
        <v>65</v>
      </c>
      <c r="N541" s="9" t="s">
        <v>18</v>
      </c>
      <c r="O541" s="9">
        <v>1</v>
      </c>
    </row>
    <row r="542" spans="1:15" x14ac:dyDescent="0.2">
      <c r="A542" s="9" t="s">
        <v>689</v>
      </c>
      <c r="B542" s="10">
        <v>45896</v>
      </c>
      <c r="C542" s="9" t="s">
        <v>646</v>
      </c>
      <c r="D542" s="9" t="s">
        <v>18</v>
      </c>
      <c r="E542" s="9" t="s">
        <v>227</v>
      </c>
      <c r="F542" s="11">
        <v>13602.06</v>
      </c>
      <c r="G542" s="11">
        <v>0</v>
      </c>
      <c r="H542" s="11">
        <v>13602.06</v>
      </c>
      <c r="I542" s="11">
        <v>5374.51</v>
      </c>
      <c r="J542" s="11">
        <v>8227.5499999999993</v>
      </c>
      <c r="K542" s="12">
        <v>0.60487528999999995</v>
      </c>
      <c r="L542" s="9" t="s">
        <v>18</v>
      </c>
      <c r="M542" s="9" t="s">
        <v>65</v>
      </c>
      <c r="N542" s="9" t="s">
        <v>18</v>
      </c>
      <c r="O542" s="9">
        <v>1</v>
      </c>
    </row>
    <row r="543" spans="1:15" x14ac:dyDescent="0.2">
      <c r="A543" s="9" t="s">
        <v>690</v>
      </c>
      <c r="B543" s="10">
        <v>45896</v>
      </c>
      <c r="C543" s="9" t="s">
        <v>646</v>
      </c>
      <c r="D543" s="9" t="s">
        <v>18</v>
      </c>
      <c r="E543" s="9" t="s">
        <v>227</v>
      </c>
      <c r="F543" s="11">
        <v>3701.38</v>
      </c>
      <c r="G543" s="11">
        <v>0</v>
      </c>
      <c r="H543" s="11">
        <v>3701.38</v>
      </c>
      <c r="I543" s="11">
        <v>2682.11</v>
      </c>
      <c r="J543" s="11">
        <v>1019.27</v>
      </c>
      <c r="K543" s="12">
        <v>0.27537567000000002</v>
      </c>
      <c r="L543" s="9" t="s">
        <v>18</v>
      </c>
      <c r="M543" s="9" t="s">
        <v>65</v>
      </c>
      <c r="N543" s="9" t="s">
        <v>18</v>
      </c>
      <c r="O543" s="9">
        <v>1</v>
      </c>
    </row>
    <row r="544" spans="1:15" x14ac:dyDescent="0.2">
      <c r="A544" s="9" t="s">
        <v>672</v>
      </c>
      <c r="B544" s="10">
        <v>45897</v>
      </c>
      <c r="C544" s="9" t="s">
        <v>646</v>
      </c>
      <c r="D544" s="9" t="s">
        <v>18</v>
      </c>
      <c r="E544" s="9" t="s">
        <v>227</v>
      </c>
      <c r="F544" s="11">
        <v>0</v>
      </c>
      <c r="G544" s="11">
        <v>0</v>
      </c>
      <c r="H544" s="11">
        <v>0</v>
      </c>
      <c r="I544" s="11">
        <v>-264.35000000000002</v>
      </c>
      <c r="J544" s="11">
        <v>264.35000000000002</v>
      </c>
      <c r="K544" s="12">
        <v>0</v>
      </c>
      <c r="L544" s="9" t="s">
        <v>18</v>
      </c>
      <c r="M544" s="9" t="s">
        <v>65</v>
      </c>
      <c r="N544" s="9" t="s">
        <v>18</v>
      </c>
      <c r="O544" s="9">
        <v>0</v>
      </c>
    </row>
    <row r="545" spans="1:15" x14ac:dyDescent="0.2">
      <c r="A545" s="9" t="s">
        <v>691</v>
      </c>
      <c r="B545" s="10">
        <v>45897</v>
      </c>
      <c r="C545" s="9" t="s">
        <v>646</v>
      </c>
      <c r="D545" s="9" t="s">
        <v>18</v>
      </c>
      <c r="E545" s="9" t="s">
        <v>227</v>
      </c>
      <c r="F545" s="11">
        <v>0</v>
      </c>
      <c r="G545" s="11">
        <v>21.75</v>
      </c>
      <c r="H545" s="11">
        <v>21.75</v>
      </c>
      <c r="I545" s="11">
        <v>574.9</v>
      </c>
      <c r="J545" s="11">
        <v>-553.15</v>
      </c>
      <c r="K545" s="12">
        <v>-25.432183909999999</v>
      </c>
      <c r="L545" s="9" t="s">
        <v>18</v>
      </c>
      <c r="M545" s="9" t="s">
        <v>65</v>
      </c>
      <c r="N545" s="9" t="s">
        <v>18</v>
      </c>
      <c r="O545" s="9">
        <v>0</v>
      </c>
    </row>
    <row r="546" spans="1:15" x14ac:dyDescent="0.2">
      <c r="A546" s="9" t="s">
        <v>692</v>
      </c>
      <c r="B546" s="10">
        <v>45897</v>
      </c>
      <c r="C546" s="9" t="s">
        <v>646</v>
      </c>
      <c r="D546" s="9" t="s">
        <v>18</v>
      </c>
      <c r="E546" s="9" t="s">
        <v>227</v>
      </c>
      <c r="F546" s="11">
        <v>68155.759999999995</v>
      </c>
      <c r="G546" s="11">
        <v>0</v>
      </c>
      <c r="H546" s="11">
        <v>68155.759999999995</v>
      </c>
      <c r="I546" s="11">
        <v>55809.86</v>
      </c>
      <c r="J546" s="11">
        <v>12345.9</v>
      </c>
      <c r="K546" s="12">
        <v>0.18114242999999999</v>
      </c>
      <c r="L546" s="9" t="s">
        <v>18</v>
      </c>
      <c r="M546" s="9" t="s">
        <v>65</v>
      </c>
      <c r="N546" s="9" t="s">
        <v>18</v>
      </c>
      <c r="O546" s="9">
        <v>1</v>
      </c>
    </row>
    <row r="547" spans="1:15" x14ac:dyDescent="0.2">
      <c r="A547" s="9" t="s">
        <v>672</v>
      </c>
      <c r="B547" s="10">
        <v>45898</v>
      </c>
      <c r="C547" s="9" t="s">
        <v>646</v>
      </c>
      <c r="D547" s="9" t="s">
        <v>18</v>
      </c>
      <c r="E547" s="9" t="s">
        <v>227</v>
      </c>
      <c r="F547" s="11">
        <v>0</v>
      </c>
      <c r="G547" s="11">
        <v>0</v>
      </c>
      <c r="H547" s="11">
        <v>0</v>
      </c>
      <c r="I547" s="11">
        <v>1733.13</v>
      </c>
      <c r="J547" s="11">
        <v>-1733.13</v>
      </c>
      <c r="K547" s="12">
        <v>0</v>
      </c>
      <c r="L547" s="9" t="s">
        <v>18</v>
      </c>
      <c r="M547" s="9" t="s">
        <v>65</v>
      </c>
      <c r="N547" s="9" t="s">
        <v>18</v>
      </c>
      <c r="O547" s="9">
        <v>0</v>
      </c>
    </row>
    <row r="548" spans="1:15" x14ac:dyDescent="0.2">
      <c r="A548" s="9" t="s">
        <v>677</v>
      </c>
      <c r="B548" s="10">
        <v>45898</v>
      </c>
      <c r="C548" s="9" t="s">
        <v>646</v>
      </c>
      <c r="D548" s="9" t="s">
        <v>18</v>
      </c>
      <c r="E548" s="9" t="s">
        <v>227</v>
      </c>
      <c r="F548" s="11">
        <v>0</v>
      </c>
      <c r="G548" s="11">
        <v>0</v>
      </c>
      <c r="H548" s="11">
        <v>0</v>
      </c>
      <c r="I548" s="11">
        <v>75790</v>
      </c>
      <c r="J548" s="11">
        <v>-75790</v>
      </c>
      <c r="K548" s="12">
        <v>0</v>
      </c>
      <c r="L548" s="9" t="s">
        <v>18</v>
      </c>
      <c r="M548" s="9" t="s">
        <v>65</v>
      </c>
      <c r="N548" s="9" t="s">
        <v>18</v>
      </c>
      <c r="O548" s="9">
        <v>0</v>
      </c>
    </row>
    <row r="549" spans="1:15" x14ac:dyDescent="0.2">
      <c r="A549" s="9" t="s">
        <v>693</v>
      </c>
      <c r="B549" s="10">
        <v>45898</v>
      </c>
      <c r="C549" s="9" t="s">
        <v>646</v>
      </c>
      <c r="D549" s="9" t="s">
        <v>18</v>
      </c>
      <c r="E549" s="9" t="s">
        <v>227</v>
      </c>
      <c r="F549" s="11">
        <v>0</v>
      </c>
      <c r="G549" s="11">
        <v>0</v>
      </c>
      <c r="H549" s="11">
        <v>0</v>
      </c>
      <c r="I549" s="11">
        <v>5616.25</v>
      </c>
      <c r="J549" s="11">
        <v>-5616.25</v>
      </c>
      <c r="K549" s="12">
        <v>0</v>
      </c>
      <c r="L549" s="9" t="s">
        <v>18</v>
      </c>
      <c r="M549" s="9" t="s">
        <v>65</v>
      </c>
      <c r="N549" s="9" t="s">
        <v>18</v>
      </c>
      <c r="O549" s="9">
        <v>0</v>
      </c>
    </row>
    <row r="550" spans="1:15" x14ac:dyDescent="0.2">
      <c r="A550" s="9" t="s">
        <v>694</v>
      </c>
      <c r="B550" s="10">
        <v>45898</v>
      </c>
      <c r="C550" s="9" t="s">
        <v>646</v>
      </c>
      <c r="D550" s="9" t="s">
        <v>18</v>
      </c>
      <c r="E550" s="9" t="s">
        <v>227</v>
      </c>
      <c r="F550" s="11">
        <v>88048.4</v>
      </c>
      <c r="G550" s="11">
        <v>0</v>
      </c>
      <c r="H550" s="11">
        <v>88048.4</v>
      </c>
      <c r="I550" s="11">
        <v>72408.600000000006</v>
      </c>
      <c r="J550" s="11">
        <v>15639.8</v>
      </c>
      <c r="K550" s="12">
        <v>0.17762729999999999</v>
      </c>
      <c r="L550" s="9" t="s">
        <v>18</v>
      </c>
      <c r="M550" s="9" t="s">
        <v>65</v>
      </c>
      <c r="N550" s="9" t="s">
        <v>18</v>
      </c>
      <c r="O550" s="9">
        <v>1</v>
      </c>
    </row>
    <row r="551" spans="1:15" x14ac:dyDescent="0.2">
      <c r="A551" s="9" t="s">
        <v>695</v>
      </c>
      <c r="B551" s="10">
        <v>45898</v>
      </c>
      <c r="C551" s="9" t="s">
        <v>646</v>
      </c>
      <c r="D551" s="9" t="s">
        <v>18</v>
      </c>
      <c r="E551" s="9" t="s">
        <v>227</v>
      </c>
      <c r="F551" s="11">
        <v>158564.81</v>
      </c>
      <c r="G551" s="11">
        <v>0</v>
      </c>
      <c r="H551" s="11">
        <v>158564.81</v>
      </c>
      <c r="I551" s="11">
        <v>130384.78</v>
      </c>
      <c r="J551" s="11">
        <v>28180.03</v>
      </c>
      <c r="K551" s="12">
        <v>0.17771931999999999</v>
      </c>
      <c r="L551" s="9" t="s">
        <v>18</v>
      </c>
      <c r="M551" s="9" t="s">
        <v>65</v>
      </c>
      <c r="N551" s="9" t="s">
        <v>18</v>
      </c>
      <c r="O551" s="9">
        <v>1</v>
      </c>
    </row>
    <row r="552" spans="1:15" x14ac:dyDescent="0.2">
      <c r="A552" s="9" t="s">
        <v>696</v>
      </c>
      <c r="B552" s="10">
        <v>45899</v>
      </c>
      <c r="C552" s="9" t="s">
        <v>646</v>
      </c>
      <c r="D552" s="9" t="s">
        <v>18</v>
      </c>
      <c r="E552" s="9" t="s">
        <v>227</v>
      </c>
      <c r="F552" s="11">
        <v>0</v>
      </c>
      <c r="G552" s="11">
        <v>0</v>
      </c>
      <c r="H552" s="11">
        <v>0</v>
      </c>
      <c r="I552" s="11">
        <v>1432.5</v>
      </c>
      <c r="J552" s="11">
        <v>-1432.5</v>
      </c>
      <c r="K552" s="12">
        <v>0</v>
      </c>
      <c r="L552" s="9" t="s">
        <v>18</v>
      </c>
      <c r="M552" s="9" t="s">
        <v>65</v>
      </c>
      <c r="N552" s="9" t="s">
        <v>18</v>
      </c>
      <c r="O552" s="9">
        <v>0</v>
      </c>
    </row>
    <row r="553" spans="1:15" x14ac:dyDescent="0.2">
      <c r="A553" s="9" t="s">
        <v>697</v>
      </c>
      <c r="B553" s="10">
        <v>45870</v>
      </c>
      <c r="C553" s="9" t="s">
        <v>698</v>
      </c>
      <c r="D553" s="9" t="s">
        <v>47</v>
      </c>
      <c r="E553" s="9" t="s">
        <v>227</v>
      </c>
      <c r="F553" s="11">
        <v>6190.17</v>
      </c>
      <c r="G553" s="11">
        <v>0</v>
      </c>
      <c r="H553" s="11">
        <v>6190.17</v>
      </c>
      <c r="I553" s="11">
        <v>4499.6099999999997</v>
      </c>
      <c r="J553" s="11">
        <v>1690.56</v>
      </c>
      <c r="K553" s="12">
        <v>0.27310396999999997</v>
      </c>
      <c r="L553" s="9" t="s">
        <v>52</v>
      </c>
      <c r="M553" s="9" t="s">
        <v>65</v>
      </c>
      <c r="N553" s="9" t="s">
        <v>52</v>
      </c>
      <c r="O553" s="9">
        <v>1</v>
      </c>
    </row>
    <row r="554" spans="1:15" x14ac:dyDescent="0.2">
      <c r="A554" s="9" t="s">
        <v>697</v>
      </c>
      <c r="B554" s="10">
        <v>45876</v>
      </c>
      <c r="C554" s="9" t="s">
        <v>698</v>
      </c>
      <c r="D554" s="9" t="s">
        <v>47</v>
      </c>
      <c r="E554" s="9" t="s">
        <v>227</v>
      </c>
      <c r="F554" s="11">
        <v>0</v>
      </c>
      <c r="G554" s="11">
        <v>0</v>
      </c>
      <c r="H554" s="11">
        <v>0</v>
      </c>
      <c r="I554" s="11">
        <v>-36.81</v>
      </c>
      <c r="J554" s="11">
        <v>36.81</v>
      </c>
      <c r="K554" s="12">
        <v>0</v>
      </c>
      <c r="L554" s="9" t="s">
        <v>52</v>
      </c>
      <c r="M554" s="9" t="s">
        <v>65</v>
      </c>
      <c r="N554" s="9" t="s">
        <v>52</v>
      </c>
      <c r="O554" s="9">
        <v>0</v>
      </c>
    </row>
    <row r="555" spans="1:15" x14ac:dyDescent="0.2">
      <c r="A555" s="9" t="s">
        <v>699</v>
      </c>
      <c r="B555" s="10">
        <v>45894</v>
      </c>
      <c r="C555" s="9" t="s">
        <v>698</v>
      </c>
      <c r="D555" s="9" t="s">
        <v>47</v>
      </c>
      <c r="E555" s="9" t="s">
        <v>227</v>
      </c>
      <c r="F555" s="11">
        <v>0</v>
      </c>
      <c r="G555" s="11">
        <v>0</v>
      </c>
      <c r="H555" s="11">
        <v>0</v>
      </c>
      <c r="I555" s="11">
        <v>37.130000000000003</v>
      </c>
      <c r="J555" s="11">
        <v>-37.130000000000003</v>
      </c>
      <c r="K555" s="12">
        <v>0</v>
      </c>
      <c r="L555" s="9" t="s">
        <v>52</v>
      </c>
      <c r="M555" s="9" t="s">
        <v>65</v>
      </c>
      <c r="N555" s="9" t="s">
        <v>52</v>
      </c>
      <c r="O555" s="9">
        <v>0</v>
      </c>
    </row>
    <row r="556" spans="1:15" x14ac:dyDescent="0.2">
      <c r="A556" s="9" t="s">
        <v>700</v>
      </c>
      <c r="B556" s="10">
        <v>45880</v>
      </c>
      <c r="C556" s="9" t="s">
        <v>701</v>
      </c>
      <c r="D556" s="9" t="s">
        <v>46</v>
      </c>
      <c r="E556" s="9" t="s">
        <v>192</v>
      </c>
      <c r="F556" s="11">
        <v>46207.43</v>
      </c>
      <c r="G556" s="11">
        <v>0</v>
      </c>
      <c r="H556" s="11">
        <v>46207.43</v>
      </c>
      <c r="I556" s="11">
        <v>39218.53</v>
      </c>
      <c r="J556" s="11">
        <v>6988.9</v>
      </c>
      <c r="K556" s="12">
        <v>0.15125057</v>
      </c>
      <c r="L556" s="9" t="s">
        <v>120</v>
      </c>
      <c r="M556" s="9" t="s">
        <v>46</v>
      </c>
      <c r="N556" s="9" t="s">
        <v>120</v>
      </c>
      <c r="O556" s="9">
        <v>1</v>
      </c>
    </row>
    <row r="557" spans="1:15" x14ac:dyDescent="0.2">
      <c r="A557" s="9" t="s">
        <v>700</v>
      </c>
      <c r="B557" s="10">
        <v>45882</v>
      </c>
      <c r="C557" s="9" t="s">
        <v>701</v>
      </c>
      <c r="D557" s="9" t="s">
        <v>46</v>
      </c>
      <c r="E557" s="9" t="s">
        <v>192</v>
      </c>
      <c r="F557" s="11">
        <v>0</v>
      </c>
      <c r="G557" s="11">
        <v>0</v>
      </c>
      <c r="H557" s="11">
        <v>0</v>
      </c>
      <c r="I557" s="11">
        <v>762.74</v>
      </c>
      <c r="J557" s="11">
        <v>-762.74</v>
      </c>
      <c r="K557" s="12">
        <v>0</v>
      </c>
      <c r="L557" s="9" t="s">
        <v>120</v>
      </c>
      <c r="M557" s="9" t="s">
        <v>46</v>
      </c>
      <c r="N557" s="9" t="s">
        <v>120</v>
      </c>
      <c r="O557" s="9">
        <v>0</v>
      </c>
    </row>
    <row r="558" spans="1:15" x14ac:dyDescent="0.2">
      <c r="A558" s="9" t="s">
        <v>700</v>
      </c>
      <c r="B558" s="10">
        <v>45883</v>
      </c>
      <c r="C558" s="9" t="s">
        <v>701</v>
      </c>
      <c r="D558" s="9" t="s">
        <v>46</v>
      </c>
      <c r="E558" s="9" t="s">
        <v>192</v>
      </c>
      <c r="F558" s="11">
        <v>0</v>
      </c>
      <c r="G558" s="11">
        <v>0</v>
      </c>
      <c r="H558" s="11">
        <v>0</v>
      </c>
      <c r="I558" s="11">
        <v>-21.06</v>
      </c>
      <c r="J558" s="11">
        <v>21.06</v>
      </c>
      <c r="K558" s="12">
        <v>0</v>
      </c>
      <c r="L558" s="9" t="s">
        <v>120</v>
      </c>
      <c r="M558" s="9" t="s">
        <v>46</v>
      </c>
      <c r="N558" s="9" t="s">
        <v>120</v>
      </c>
      <c r="O558" s="9">
        <v>0</v>
      </c>
    </row>
    <row r="559" spans="1:15" x14ac:dyDescent="0.2">
      <c r="A559" s="9" t="s">
        <v>700</v>
      </c>
      <c r="B559" s="10">
        <v>45884</v>
      </c>
      <c r="C559" s="9" t="s">
        <v>701</v>
      </c>
      <c r="D559" s="9" t="s">
        <v>46</v>
      </c>
      <c r="E559" s="9" t="s">
        <v>192</v>
      </c>
      <c r="F559" s="11">
        <v>0</v>
      </c>
      <c r="G559" s="11">
        <v>0</v>
      </c>
      <c r="H559" s="11">
        <v>0</v>
      </c>
      <c r="I559" s="11">
        <v>53.85</v>
      </c>
      <c r="J559" s="11">
        <v>-53.85</v>
      </c>
      <c r="K559" s="12">
        <v>0</v>
      </c>
      <c r="L559" s="9" t="s">
        <v>120</v>
      </c>
      <c r="M559" s="9" t="s">
        <v>46</v>
      </c>
      <c r="N559" s="9" t="s">
        <v>120</v>
      </c>
      <c r="O559" s="9">
        <v>0</v>
      </c>
    </row>
    <row r="560" spans="1:15" x14ac:dyDescent="0.2">
      <c r="A560" s="9" t="s">
        <v>700</v>
      </c>
      <c r="B560" s="10">
        <v>45890</v>
      </c>
      <c r="C560" s="9" t="s">
        <v>701</v>
      </c>
      <c r="D560" s="9" t="s">
        <v>46</v>
      </c>
      <c r="E560" s="9" t="s">
        <v>192</v>
      </c>
      <c r="F560" s="11">
        <v>0</v>
      </c>
      <c r="G560" s="11">
        <v>0</v>
      </c>
      <c r="H560" s="11">
        <v>0</v>
      </c>
      <c r="I560" s="11">
        <v>159.05000000000001</v>
      </c>
      <c r="J560" s="11">
        <v>-159.05000000000001</v>
      </c>
      <c r="K560" s="12">
        <v>0</v>
      </c>
      <c r="L560" s="9" t="s">
        <v>120</v>
      </c>
      <c r="M560" s="9" t="s">
        <v>46</v>
      </c>
      <c r="N560" s="9" t="s">
        <v>120</v>
      </c>
      <c r="O560" s="9">
        <v>0</v>
      </c>
    </row>
    <row r="561" spans="1:15" x14ac:dyDescent="0.2">
      <c r="A561" s="9" t="s">
        <v>702</v>
      </c>
      <c r="B561" s="10">
        <v>45898</v>
      </c>
      <c r="C561" s="9" t="s">
        <v>703</v>
      </c>
      <c r="D561" s="9" t="s">
        <v>65</v>
      </c>
      <c r="E561" s="9" t="s">
        <v>227</v>
      </c>
      <c r="F561" s="11">
        <v>882.38</v>
      </c>
      <c r="G561" s="11">
        <v>0</v>
      </c>
      <c r="H561" s="11">
        <v>882.38</v>
      </c>
      <c r="I561" s="11">
        <v>0</v>
      </c>
      <c r="J561" s="11">
        <v>882.38</v>
      </c>
      <c r="K561" s="12">
        <v>1</v>
      </c>
      <c r="L561" s="9" t="s">
        <v>222</v>
      </c>
      <c r="M561" s="9" t="s">
        <v>65</v>
      </c>
      <c r="N561" s="9" t="s">
        <v>222</v>
      </c>
      <c r="O561" s="9">
        <v>1</v>
      </c>
    </row>
    <row r="562" spans="1:15" x14ac:dyDescent="0.2">
      <c r="A562" s="9" t="s">
        <v>704</v>
      </c>
      <c r="B562" s="10">
        <v>45882</v>
      </c>
      <c r="C562" s="9" t="s">
        <v>705</v>
      </c>
      <c r="D562" s="9" t="s">
        <v>384</v>
      </c>
      <c r="E562" s="9" t="s">
        <v>192</v>
      </c>
      <c r="F562" s="11">
        <v>240791</v>
      </c>
      <c r="G562" s="11">
        <v>0</v>
      </c>
      <c r="H562" s="11">
        <v>240791</v>
      </c>
      <c r="I562" s="11">
        <v>182850.8</v>
      </c>
      <c r="J562" s="11">
        <v>57940.2</v>
      </c>
      <c r="K562" s="12">
        <v>0.24062443999999999</v>
      </c>
      <c r="L562" s="9" t="s">
        <v>85</v>
      </c>
      <c r="M562" s="9" t="s">
        <v>48</v>
      </c>
      <c r="N562" s="9" t="s">
        <v>85</v>
      </c>
      <c r="O562" s="9">
        <v>1</v>
      </c>
    </row>
    <row r="563" spans="1:15" x14ac:dyDescent="0.2">
      <c r="A563" s="9" t="s">
        <v>704</v>
      </c>
      <c r="B563" s="10">
        <v>45884</v>
      </c>
      <c r="C563" s="9" t="s">
        <v>705</v>
      </c>
      <c r="D563" s="9" t="s">
        <v>384</v>
      </c>
      <c r="E563" s="9" t="s">
        <v>192</v>
      </c>
      <c r="F563" s="11">
        <v>0</v>
      </c>
      <c r="G563" s="11">
        <v>0</v>
      </c>
      <c r="H563" s="11">
        <v>0</v>
      </c>
      <c r="I563" s="11">
        <v>757.83</v>
      </c>
      <c r="J563" s="11">
        <v>-757.83</v>
      </c>
      <c r="K563" s="12">
        <v>0</v>
      </c>
      <c r="L563" s="9" t="s">
        <v>85</v>
      </c>
      <c r="M563" s="9" t="s">
        <v>48</v>
      </c>
      <c r="N563" s="9" t="s">
        <v>85</v>
      </c>
      <c r="O563" s="9">
        <v>0</v>
      </c>
    </row>
    <row r="564" spans="1:15" x14ac:dyDescent="0.2">
      <c r="A564" s="9" t="s">
        <v>704</v>
      </c>
      <c r="B564" s="10">
        <v>45890</v>
      </c>
      <c r="C564" s="9" t="s">
        <v>705</v>
      </c>
      <c r="D564" s="9" t="s">
        <v>384</v>
      </c>
      <c r="E564" s="9" t="s">
        <v>192</v>
      </c>
      <c r="F564" s="11">
        <v>0</v>
      </c>
      <c r="G564" s="11">
        <v>0</v>
      </c>
      <c r="H564" s="11">
        <v>0</v>
      </c>
      <c r="I564" s="11">
        <v>0.41</v>
      </c>
      <c r="J564" s="11">
        <v>-0.41</v>
      </c>
      <c r="K564" s="12">
        <v>0</v>
      </c>
      <c r="L564" s="9" t="s">
        <v>85</v>
      </c>
      <c r="M564" s="9" t="s">
        <v>48</v>
      </c>
      <c r="N564" s="9" t="s">
        <v>85</v>
      </c>
      <c r="O564" s="9">
        <v>0</v>
      </c>
    </row>
    <row r="565" spans="1:15" x14ac:dyDescent="0.2">
      <c r="A565" s="9" t="s">
        <v>706</v>
      </c>
      <c r="B565" s="10">
        <v>45884</v>
      </c>
      <c r="C565" s="9" t="s">
        <v>707</v>
      </c>
      <c r="D565" s="9" t="s">
        <v>48</v>
      </c>
      <c r="E565" s="9" t="s">
        <v>192</v>
      </c>
      <c r="F565" s="11">
        <v>68211.72</v>
      </c>
      <c r="G565" s="11">
        <v>0</v>
      </c>
      <c r="H565" s="11">
        <v>68211.72</v>
      </c>
      <c r="I565" s="11">
        <v>50664.52</v>
      </c>
      <c r="J565" s="11">
        <v>17547.2</v>
      </c>
      <c r="K565" s="12">
        <v>0.25724612000000002</v>
      </c>
      <c r="L565" s="9" t="s">
        <v>237</v>
      </c>
      <c r="M565" s="9" t="s">
        <v>48</v>
      </c>
      <c r="N565" s="9" t="s">
        <v>131</v>
      </c>
      <c r="O565" s="9">
        <v>1</v>
      </c>
    </row>
    <row r="566" spans="1:15" x14ac:dyDescent="0.2">
      <c r="A566" s="9" t="s">
        <v>706</v>
      </c>
      <c r="B566" s="10">
        <v>45889</v>
      </c>
      <c r="C566" s="9" t="s">
        <v>707</v>
      </c>
      <c r="D566" s="9" t="s">
        <v>48</v>
      </c>
      <c r="E566" s="9" t="s">
        <v>192</v>
      </c>
      <c r="F566" s="11">
        <v>0</v>
      </c>
      <c r="G566" s="11">
        <v>0</v>
      </c>
      <c r="H566" s="11">
        <v>0</v>
      </c>
      <c r="I566" s="11">
        <v>1.01</v>
      </c>
      <c r="J566" s="11">
        <v>-1.01</v>
      </c>
      <c r="K566" s="12">
        <v>0</v>
      </c>
      <c r="L566" s="9" t="s">
        <v>237</v>
      </c>
      <c r="M566" s="9" t="s">
        <v>48</v>
      </c>
      <c r="N566" s="9" t="s">
        <v>131</v>
      </c>
      <c r="O566" s="9">
        <v>0</v>
      </c>
    </row>
    <row r="567" spans="1:15" x14ac:dyDescent="0.2">
      <c r="A567" s="9" t="s">
        <v>708</v>
      </c>
      <c r="B567" s="10">
        <v>45890</v>
      </c>
      <c r="C567" s="9" t="s">
        <v>707</v>
      </c>
      <c r="D567" s="9" t="s">
        <v>48</v>
      </c>
      <c r="E567" s="9" t="s">
        <v>192</v>
      </c>
      <c r="F567" s="11">
        <v>27644.54</v>
      </c>
      <c r="G567" s="11">
        <v>0</v>
      </c>
      <c r="H567" s="11">
        <v>27644.54</v>
      </c>
      <c r="I567" s="11">
        <v>19859.259999999998</v>
      </c>
      <c r="J567" s="11">
        <v>7785.28</v>
      </c>
      <c r="K567" s="12">
        <v>0.28162089000000001</v>
      </c>
      <c r="L567" s="9" t="s">
        <v>237</v>
      </c>
      <c r="M567" s="9" t="s">
        <v>48</v>
      </c>
      <c r="N567" s="9" t="s">
        <v>131</v>
      </c>
      <c r="O567" s="9">
        <v>1</v>
      </c>
    </row>
    <row r="568" spans="1:15" x14ac:dyDescent="0.2">
      <c r="A568" s="9" t="s">
        <v>709</v>
      </c>
      <c r="B568" s="10">
        <v>45898</v>
      </c>
      <c r="C568" s="9" t="s">
        <v>707</v>
      </c>
      <c r="D568" s="9" t="s">
        <v>48</v>
      </c>
      <c r="E568" s="9" t="s">
        <v>192</v>
      </c>
      <c r="F568" s="11">
        <v>37001.550000000003</v>
      </c>
      <c r="G568" s="11">
        <v>0</v>
      </c>
      <c r="H568" s="11">
        <v>37001.550000000003</v>
      </c>
      <c r="I568" s="11">
        <v>27749.24</v>
      </c>
      <c r="J568" s="11">
        <v>9252.31</v>
      </c>
      <c r="K568" s="12">
        <v>0.25005196000000002</v>
      </c>
      <c r="L568" s="9" t="s">
        <v>237</v>
      </c>
      <c r="M568" s="9" t="s">
        <v>48</v>
      </c>
      <c r="N568" s="9" t="s">
        <v>131</v>
      </c>
      <c r="O568" s="9">
        <v>1</v>
      </c>
    </row>
    <row r="569" spans="1:15" x14ac:dyDescent="0.2">
      <c r="A569" s="9" t="s">
        <v>710</v>
      </c>
      <c r="B569" s="10">
        <v>45882</v>
      </c>
      <c r="C569" s="9" t="s">
        <v>60</v>
      </c>
      <c r="D569" s="9" t="s">
        <v>106</v>
      </c>
      <c r="E569" s="9" t="s">
        <v>199</v>
      </c>
      <c r="F569" s="11">
        <v>0</v>
      </c>
      <c r="G569" s="11">
        <v>0</v>
      </c>
      <c r="H569" s="11">
        <v>0</v>
      </c>
      <c r="I569" s="11">
        <v>2490.6</v>
      </c>
      <c r="J569" s="11">
        <v>-2490.6</v>
      </c>
      <c r="K569" s="12">
        <v>0</v>
      </c>
      <c r="L569" s="9" t="s">
        <v>76</v>
      </c>
      <c r="M569" s="9" t="s">
        <v>106</v>
      </c>
      <c r="N569" s="9" t="s">
        <v>76</v>
      </c>
      <c r="O569" s="9">
        <v>0</v>
      </c>
    </row>
    <row r="570" spans="1:15" x14ac:dyDescent="0.2">
      <c r="A570" s="9" t="s">
        <v>711</v>
      </c>
      <c r="B570" s="10">
        <v>45882</v>
      </c>
      <c r="C570" s="9" t="s">
        <v>60</v>
      </c>
      <c r="D570" s="9" t="s">
        <v>106</v>
      </c>
      <c r="E570" s="9" t="s">
        <v>199</v>
      </c>
      <c r="F570" s="11">
        <v>2202</v>
      </c>
      <c r="G570" s="11">
        <v>0</v>
      </c>
      <c r="H570" s="11">
        <v>2202</v>
      </c>
      <c r="I570" s="11">
        <v>0</v>
      </c>
      <c r="J570" s="11">
        <v>2202</v>
      </c>
      <c r="K570" s="12">
        <v>1</v>
      </c>
      <c r="L570" s="9" t="s">
        <v>76</v>
      </c>
      <c r="M570" s="9" t="s">
        <v>106</v>
      </c>
      <c r="N570" s="9" t="s">
        <v>76</v>
      </c>
      <c r="O570" s="9">
        <v>1</v>
      </c>
    </row>
    <row r="571" spans="1:15" x14ac:dyDescent="0.2">
      <c r="A571" s="9" t="s">
        <v>712</v>
      </c>
      <c r="B571" s="10">
        <v>45887</v>
      </c>
      <c r="C571" s="9" t="s">
        <v>60</v>
      </c>
      <c r="D571" s="9" t="s">
        <v>106</v>
      </c>
      <c r="E571" s="9" t="s">
        <v>199</v>
      </c>
      <c r="F571" s="11">
        <v>0</v>
      </c>
      <c r="G571" s="11">
        <v>0</v>
      </c>
      <c r="H571" s="11">
        <v>0</v>
      </c>
      <c r="I571" s="11">
        <v>-151.09</v>
      </c>
      <c r="J571" s="11">
        <v>151.09</v>
      </c>
      <c r="K571" s="12">
        <v>0</v>
      </c>
      <c r="L571" s="9" t="s">
        <v>76</v>
      </c>
      <c r="M571" s="9" t="s">
        <v>106</v>
      </c>
      <c r="N571" s="9" t="s">
        <v>76</v>
      </c>
      <c r="O571" s="9">
        <v>0</v>
      </c>
    </row>
    <row r="572" spans="1:15" x14ac:dyDescent="0.2">
      <c r="A572" s="9" t="s">
        <v>711</v>
      </c>
      <c r="B572" s="10">
        <v>45887</v>
      </c>
      <c r="C572" s="9" t="s">
        <v>60</v>
      </c>
      <c r="D572" s="9" t="s">
        <v>106</v>
      </c>
      <c r="E572" s="9" t="s">
        <v>199</v>
      </c>
      <c r="F572" s="11">
        <v>0</v>
      </c>
      <c r="G572" s="11">
        <v>308</v>
      </c>
      <c r="H572" s="11">
        <v>308</v>
      </c>
      <c r="I572" s="11">
        <v>0</v>
      </c>
      <c r="J572" s="11">
        <v>308</v>
      </c>
      <c r="K572" s="12">
        <v>1</v>
      </c>
      <c r="L572" s="9" t="s">
        <v>76</v>
      </c>
      <c r="M572" s="9" t="s">
        <v>106</v>
      </c>
      <c r="N572" s="9" t="s">
        <v>76</v>
      </c>
      <c r="O572" s="9">
        <v>0</v>
      </c>
    </row>
    <row r="573" spans="1:15" x14ac:dyDescent="0.2">
      <c r="A573" s="9" t="s">
        <v>713</v>
      </c>
      <c r="B573" s="10">
        <v>45888</v>
      </c>
      <c r="C573" s="9" t="s">
        <v>714</v>
      </c>
      <c r="D573" s="9" t="s">
        <v>19</v>
      </c>
      <c r="E573" s="9" t="s">
        <v>192</v>
      </c>
      <c r="F573" s="11">
        <v>0</v>
      </c>
      <c r="G573" s="11">
        <v>0</v>
      </c>
      <c r="H573" s="11">
        <v>0</v>
      </c>
      <c r="I573" s="11">
        <v>3925.87</v>
      </c>
      <c r="J573" s="11">
        <v>-3925.87</v>
      </c>
      <c r="K573" s="12">
        <v>0</v>
      </c>
      <c r="L573" s="9" t="s">
        <v>19</v>
      </c>
      <c r="M573" s="9" t="s">
        <v>19</v>
      </c>
      <c r="N573" s="9" t="s">
        <v>251</v>
      </c>
      <c r="O573" s="9">
        <v>0</v>
      </c>
    </row>
    <row r="574" spans="1:15" x14ac:dyDescent="0.2">
      <c r="A574" s="9" t="s">
        <v>715</v>
      </c>
      <c r="B574" s="10">
        <v>45874</v>
      </c>
      <c r="C574" s="9" t="s">
        <v>716</v>
      </c>
      <c r="D574" s="9" t="s">
        <v>52</v>
      </c>
      <c r="E574" s="9" t="s">
        <v>192</v>
      </c>
      <c r="F574" s="11">
        <v>0</v>
      </c>
      <c r="G574" s="11">
        <v>0</v>
      </c>
      <c r="H574" s="11">
        <v>0</v>
      </c>
      <c r="I574" s="11">
        <v>-0.8</v>
      </c>
      <c r="J574" s="11">
        <v>0.8</v>
      </c>
      <c r="K574" s="12">
        <v>0</v>
      </c>
      <c r="L574" s="9" t="s">
        <v>717</v>
      </c>
      <c r="M574" s="9" t="s">
        <v>65</v>
      </c>
      <c r="N574" s="9" t="s">
        <v>251</v>
      </c>
      <c r="O574" s="9">
        <v>0</v>
      </c>
    </row>
    <row r="575" spans="1:15" x14ac:dyDescent="0.2">
      <c r="A575" s="9" t="s">
        <v>718</v>
      </c>
      <c r="B575" s="10">
        <v>45895</v>
      </c>
      <c r="C575" s="9" t="s">
        <v>719</v>
      </c>
      <c r="D575" s="9" t="s">
        <v>46</v>
      </c>
      <c r="E575" s="9" t="s">
        <v>192</v>
      </c>
      <c r="F575" s="11">
        <v>0</v>
      </c>
      <c r="G575" s="11">
        <v>0</v>
      </c>
      <c r="H575" s="11">
        <v>0</v>
      </c>
      <c r="I575" s="11">
        <v>-105.51</v>
      </c>
      <c r="J575" s="11">
        <v>105.51</v>
      </c>
      <c r="K575" s="12">
        <v>0</v>
      </c>
      <c r="L575" s="9" t="s">
        <v>257</v>
      </c>
      <c r="M575" s="9" t="s">
        <v>46</v>
      </c>
      <c r="N575" s="9" t="s">
        <v>257</v>
      </c>
      <c r="O575" s="9">
        <v>0</v>
      </c>
    </row>
    <row r="576" spans="1:15" x14ac:dyDescent="0.2">
      <c r="A576" s="9" t="s">
        <v>720</v>
      </c>
      <c r="B576" s="10">
        <v>45888</v>
      </c>
      <c r="C576" s="9" t="s">
        <v>721</v>
      </c>
      <c r="D576" s="9" t="s">
        <v>106</v>
      </c>
      <c r="E576" s="9" t="s">
        <v>199</v>
      </c>
      <c r="F576" s="11">
        <v>179.19</v>
      </c>
      <c r="G576" s="11">
        <v>0</v>
      </c>
      <c r="H576" s="11">
        <v>179.19</v>
      </c>
      <c r="I576" s="11">
        <v>55.35</v>
      </c>
      <c r="J576" s="11">
        <v>123.84</v>
      </c>
      <c r="K576" s="12">
        <v>0.69110998999999995</v>
      </c>
      <c r="L576" s="9" t="s">
        <v>109</v>
      </c>
      <c r="M576" s="9" t="s">
        <v>106</v>
      </c>
      <c r="N576" s="9" t="s">
        <v>109</v>
      </c>
      <c r="O576" s="9">
        <v>1</v>
      </c>
    </row>
    <row r="577" spans="1:15" x14ac:dyDescent="0.2">
      <c r="A577" s="9" t="s">
        <v>722</v>
      </c>
      <c r="B577" s="10">
        <v>45882</v>
      </c>
      <c r="C577" s="9" t="s">
        <v>723</v>
      </c>
      <c r="D577" s="9" t="s">
        <v>106</v>
      </c>
      <c r="E577" s="9" t="s">
        <v>199</v>
      </c>
      <c r="F577" s="11">
        <v>0</v>
      </c>
      <c r="G577" s="11">
        <v>29.02</v>
      </c>
      <c r="H577" s="11">
        <v>29.02</v>
      </c>
      <c r="I577" s="11">
        <v>26.12</v>
      </c>
      <c r="J577" s="11">
        <v>2.9</v>
      </c>
      <c r="K577" s="12">
        <v>9.9931080000000005E-2</v>
      </c>
      <c r="L577" s="9" t="s">
        <v>43</v>
      </c>
      <c r="M577" s="9" t="s">
        <v>106</v>
      </c>
      <c r="N577" s="9" t="s">
        <v>43</v>
      </c>
      <c r="O577" s="9">
        <v>0</v>
      </c>
    </row>
    <row r="578" spans="1:15" x14ac:dyDescent="0.2">
      <c r="A578" s="9" t="s">
        <v>722</v>
      </c>
      <c r="B578" s="10">
        <v>45889</v>
      </c>
      <c r="C578" s="9" t="s">
        <v>723</v>
      </c>
      <c r="D578" s="9" t="s">
        <v>106</v>
      </c>
      <c r="E578" s="9" t="s">
        <v>199</v>
      </c>
      <c r="F578" s="11">
        <v>0</v>
      </c>
      <c r="G578" s="11">
        <v>1038.93</v>
      </c>
      <c r="H578" s="11">
        <v>1038.93</v>
      </c>
      <c r="I578" s="11">
        <v>935.04</v>
      </c>
      <c r="J578" s="11">
        <v>103.89</v>
      </c>
      <c r="K578" s="12">
        <v>9.999711E-2</v>
      </c>
      <c r="L578" s="9" t="s">
        <v>43</v>
      </c>
      <c r="M578" s="9" t="s">
        <v>106</v>
      </c>
      <c r="N578" s="9" t="s">
        <v>43</v>
      </c>
      <c r="O578" s="9">
        <v>0</v>
      </c>
    </row>
    <row r="579" spans="1:15" x14ac:dyDescent="0.2">
      <c r="A579" s="9" t="s">
        <v>724</v>
      </c>
      <c r="B579" s="10">
        <v>45889</v>
      </c>
      <c r="C579" s="9" t="s">
        <v>723</v>
      </c>
      <c r="D579" s="9" t="s">
        <v>106</v>
      </c>
      <c r="E579" s="9" t="s">
        <v>199</v>
      </c>
      <c r="F579" s="11">
        <v>-223.44</v>
      </c>
      <c r="G579" s="11">
        <v>0</v>
      </c>
      <c r="H579" s="11">
        <v>-223.44</v>
      </c>
      <c r="I579" s="11">
        <v>0</v>
      </c>
      <c r="J579" s="11">
        <v>-223.44</v>
      </c>
      <c r="K579" s="12">
        <v>1</v>
      </c>
      <c r="L579" s="9" t="s">
        <v>43</v>
      </c>
      <c r="M579" s="9" t="s">
        <v>106</v>
      </c>
      <c r="N579" s="9" t="s">
        <v>43</v>
      </c>
      <c r="O579" s="9">
        <v>0</v>
      </c>
    </row>
    <row r="580" spans="1:15" x14ac:dyDescent="0.2">
      <c r="A580" s="9" t="s">
        <v>722</v>
      </c>
      <c r="B580" s="10">
        <v>45890</v>
      </c>
      <c r="C580" s="9" t="s">
        <v>723</v>
      </c>
      <c r="D580" s="9" t="s">
        <v>106</v>
      </c>
      <c r="E580" s="9" t="s">
        <v>199</v>
      </c>
      <c r="F580" s="11">
        <v>0</v>
      </c>
      <c r="G580" s="11">
        <v>14050.35</v>
      </c>
      <c r="H580" s="11">
        <v>14050.35</v>
      </c>
      <c r="I580" s="11">
        <v>12645.34</v>
      </c>
      <c r="J580" s="11">
        <v>1405.01</v>
      </c>
      <c r="K580" s="12">
        <v>9.9998219999999999E-2</v>
      </c>
      <c r="L580" s="9" t="s">
        <v>43</v>
      </c>
      <c r="M580" s="9" t="s">
        <v>106</v>
      </c>
      <c r="N580" s="9" t="s">
        <v>43</v>
      </c>
      <c r="O580" s="9">
        <v>0</v>
      </c>
    </row>
    <row r="581" spans="1:15" x14ac:dyDescent="0.2">
      <c r="A581" s="9" t="s">
        <v>722</v>
      </c>
      <c r="B581" s="10">
        <v>45895</v>
      </c>
      <c r="C581" s="9" t="s">
        <v>723</v>
      </c>
      <c r="D581" s="9" t="s">
        <v>106</v>
      </c>
      <c r="E581" s="9" t="s">
        <v>199</v>
      </c>
      <c r="F581" s="11">
        <v>0</v>
      </c>
      <c r="G581" s="11">
        <v>-1676.68</v>
      </c>
      <c r="H581" s="11">
        <v>-1676.68</v>
      </c>
      <c r="I581" s="11">
        <v>-1508.9</v>
      </c>
      <c r="J581" s="11">
        <v>-167.78</v>
      </c>
      <c r="K581" s="12">
        <v>0.1000668</v>
      </c>
      <c r="L581" s="9" t="s">
        <v>43</v>
      </c>
      <c r="M581" s="9" t="s">
        <v>106</v>
      </c>
      <c r="N581" s="9" t="s">
        <v>43</v>
      </c>
      <c r="O581" s="9">
        <v>0</v>
      </c>
    </row>
    <row r="582" spans="1:15" x14ac:dyDescent="0.2">
      <c r="A582" s="9" t="s">
        <v>722</v>
      </c>
      <c r="B582" s="10">
        <v>45899</v>
      </c>
      <c r="C582" s="9" t="s">
        <v>723</v>
      </c>
      <c r="D582" s="9" t="s">
        <v>106</v>
      </c>
      <c r="E582" s="9" t="s">
        <v>199</v>
      </c>
      <c r="F582" s="11">
        <v>0</v>
      </c>
      <c r="G582" s="11">
        <v>0</v>
      </c>
      <c r="H582" s="11">
        <v>0</v>
      </c>
      <c r="I582" s="11">
        <v>150</v>
      </c>
      <c r="J582" s="11">
        <v>-150</v>
      </c>
      <c r="K582" s="12">
        <v>0</v>
      </c>
      <c r="L582" s="9" t="s">
        <v>43</v>
      </c>
      <c r="M582" s="9" t="s">
        <v>106</v>
      </c>
      <c r="N582" s="9" t="s">
        <v>43</v>
      </c>
      <c r="O582" s="9">
        <v>0</v>
      </c>
    </row>
    <row r="583" spans="1:15" x14ac:dyDescent="0.2">
      <c r="A583" s="9" t="s">
        <v>725</v>
      </c>
      <c r="B583" s="10">
        <v>45888</v>
      </c>
      <c r="C583" s="9" t="s">
        <v>726</v>
      </c>
      <c r="D583" s="9" t="s">
        <v>19</v>
      </c>
      <c r="E583" s="9" t="s">
        <v>192</v>
      </c>
      <c r="F583" s="11">
        <v>0</v>
      </c>
      <c r="G583" s="11">
        <v>0</v>
      </c>
      <c r="H583" s="11">
        <v>0</v>
      </c>
      <c r="I583" s="11">
        <v>1146.8</v>
      </c>
      <c r="J583" s="11">
        <v>-1146.8</v>
      </c>
      <c r="K583" s="12">
        <v>0</v>
      </c>
      <c r="L583" s="9" t="s">
        <v>276</v>
      </c>
      <c r="M583" s="9" t="s">
        <v>19</v>
      </c>
      <c r="N583" s="9" t="s">
        <v>276</v>
      </c>
      <c r="O583" s="9">
        <v>0</v>
      </c>
    </row>
    <row r="584" spans="1:15" x14ac:dyDescent="0.2">
      <c r="A584" s="9" t="s">
        <v>725</v>
      </c>
      <c r="B584" s="10">
        <v>45894</v>
      </c>
      <c r="C584" s="9" t="s">
        <v>726</v>
      </c>
      <c r="D584" s="9" t="s">
        <v>19</v>
      </c>
      <c r="E584" s="9" t="s">
        <v>192</v>
      </c>
      <c r="F584" s="11">
        <v>0</v>
      </c>
      <c r="G584" s="11">
        <v>0</v>
      </c>
      <c r="H584" s="11">
        <v>0</v>
      </c>
      <c r="I584" s="11">
        <v>33</v>
      </c>
      <c r="J584" s="11">
        <v>-33</v>
      </c>
      <c r="K584" s="12">
        <v>0</v>
      </c>
      <c r="L584" s="9" t="s">
        <v>276</v>
      </c>
      <c r="M584" s="9" t="s">
        <v>19</v>
      </c>
      <c r="N584" s="9" t="s">
        <v>276</v>
      </c>
      <c r="O584" s="9">
        <v>0</v>
      </c>
    </row>
    <row r="585" spans="1:15" x14ac:dyDescent="0.2">
      <c r="A585" s="9" t="s">
        <v>725</v>
      </c>
      <c r="B585" s="10">
        <v>45898</v>
      </c>
      <c r="C585" s="9" t="s">
        <v>726</v>
      </c>
      <c r="D585" s="9" t="s">
        <v>19</v>
      </c>
      <c r="E585" s="9" t="s">
        <v>192</v>
      </c>
      <c r="F585" s="11">
        <v>0</v>
      </c>
      <c r="G585" s="11">
        <v>-629</v>
      </c>
      <c r="H585" s="11">
        <v>-629</v>
      </c>
      <c r="I585" s="11">
        <v>-548.33000000000004</v>
      </c>
      <c r="J585" s="11">
        <v>-80.67</v>
      </c>
      <c r="K585" s="12">
        <v>0.12825118999999999</v>
      </c>
      <c r="L585" s="9" t="s">
        <v>276</v>
      </c>
      <c r="M585" s="9" t="s">
        <v>19</v>
      </c>
      <c r="N585" s="9" t="s">
        <v>276</v>
      </c>
      <c r="O585" s="9">
        <v>0</v>
      </c>
    </row>
    <row r="586" spans="1:15" x14ac:dyDescent="0.2">
      <c r="A586" s="9" t="s">
        <v>727</v>
      </c>
      <c r="B586" s="10">
        <v>45870</v>
      </c>
      <c r="C586" s="9" t="s">
        <v>726</v>
      </c>
      <c r="D586" s="9" t="s">
        <v>19</v>
      </c>
      <c r="E586" s="9" t="s">
        <v>192</v>
      </c>
      <c r="F586" s="11">
        <v>0</v>
      </c>
      <c r="G586" s="11">
        <v>0</v>
      </c>
      <c r="H586" s="11">
        <v>0</v>
      </c>
      <c r="I586" s="11">
        <v>-389</v>
      </c>
      <c r="J586" s="11">
        <v>389</v>
      </c>
      <c r="K586" s="12">
        <v>0</v>
      </c>
      <c r="L586" s="9" t="s">
        <v>481</v>
      </c>
      <c r="M586" s="9" t="s">
        <v>19</v>
      </c>
      <c r="N586" s="9" t="s">
        <v>380</v>
      </c>
      <c r="O586" s="9">
        <v>0</v>
      </c>
    </row>
    <row r="587" spans="1:15" x14ac:dyDescent="0.2">
      <c r="A587" s="9" t="s">
        <v>728</v>
      </c>
      <c r="B587" s="10">
        <v>45873</v>
      </c>
      <c r="C587" s="9" t="s">
        <v>726</v>
      </c>
      <c r="D587" s="9" t="s">
        <v>19</v>
      </c>
      <c r="E587" s="9" t="s">
        <v>192</v>
      </c>
      <c r="F587" s="11">
        <v>0</v>
      </c>
      <c r="G587" s="11">
        <v>0</v>
      </c>
      <c r="H587" s="11">
        <v>0</v>
      </c>
      <c r="I587" s="11">
        <v>30.98</v>
      </c>
      <c r="J587" s="11">
        <v>-30.98</v>
      </c>
      <c r="K587" s="12">
        <v>0</v>
      </c>
      <c r="L587" s="9" t="s">
        <v>481</v>
      </c>
      <c r="M587" s="9" t="s">
        <v>19</v>
      </c>
      <c r="N587" s="9" t="s">
        <v>380</v>
      </c>
      <c r="O587" s="9">
        <v>0</v>
      </c>
    </row>
    <row r="588" spans="1:15" x14ac:dyDescent="0.2">
      <c r="A588" s="9" t="s">
        <v>728</v>
      </c>
      <c r="B588" s="10">
        <v>45874</v>
      </c>
      <c r="C588" s="9" t="s">
        <v>726</v>
      </c>
      <c r="D588" s="9" t="s">
        <v>19</v>
      </c>
      <c r="E588" s="9" t="s">
        <v>192</v>
      </c>
      <c r="F588" s="11">
        <v>0</v>
      </c>
      <c r="G588" s="11">
        <v>0</v>
      </c>
      <c r="H588" s="11">
        <v>0</v>
      </c>
      <c r="I588" s="11">
        <v>421.19</v>
      </c>
      <c r="J588" s="11">
        <v>-421.19</v>
      </c>
      <c r="K588" s="12">
        <v>0</v>
      </c>
      <c r="L588" s="9" t="s">
        <v>481</v>
      </c>
      <c r="M588" s="9" t="s">
        <v>19</v>
      </c>
      <c r="N588" s="9" t="s">
        <v>380</v>
      </c>
      <c r="O588" s="9">
        <v>0</v>
      </c>
    </row>
    <row r="589" spans="1:15" x14ac:dyDescent="0.2">
      <c r="A589" s="9" t="s">
        <v>727</v>
      </c>
      <c r="B589" s="10">
        <v>45875</v>
      </c>
      <c r="C589" s="9" t="s">
        <v>726</v>
      </c>
      <c r="D589" s="9" t="s">
        <v>19</v>
      </c>
      <c r="E589" s="9" t="s">
        <v>192</v>
      </c>
      <c r="F589" s="11">
        <v>0</v>
      </c>
      <c r="G589" s="11">
        <v>0</v>
      </c>
      <c r="H589" s="11">
        <v>0</v>
      </c>
      <c r="I589" s="11">
        <v>408.2</v>
      </c>
      <c r="J589" s="11">
        <v>-408.2</v>
      </c>
      <c r="K589" s="12">
        <v>0</v>
      </c>
      <c r="L589" s="9" t="s">
        <v>481</v>
      </c>
      <c r="M589" s="9" t="s">
        <v>19</v>
      </c>
      <c r="N589" s="9" t="s">
        <v>380</v>
      </c>
      <c r="O589" s="9">
        <v>0</v>
      </c>
    </row>
    <row r="590" spans="1:15" x14ac:dyDescent="0.2">
      <c r="A590" s="9" t="s">
        <v>728</v>
      </c>
      <c r="B590" s="10">
        <v>45877</v>
      </c>
      <c r="C590" s="9" t="s">
        <v>726</v>
      </c>
      <c r="D590" s="9" t="s">
        <v>19</v>
      </c>
      <c r="E590" s="9" t="s">
        <v>192</v>
      </c>
      <c r="F590" s="11">
        <v>0</v>
      </c>
      <c r="G590" s="11">
        <v>0</v>
      </c>
      <c r="H590" s="11">
        <v>0</v>
      </c>
      <c r="I590" s="11">
        <v>1573.09</v>
      </c>
      <c r="J590" s="11">
        <v>-1573.09</v>
      </c>
      <c r="K590" s="12">
        <v>0</v>
      </c>
      <c r="L590" s="9" t="s">
        <v>481</v>
      </c>
      <c r="M590" s="9" t="s">
        <v>19</v>
      </c>
      <c r="N590" s="9" t="s">
        <v>380</v>
      </c>
      <c r="O590" s="9">
        <v>0</v>
      </c>
    </row>
    <row r="591" spans="1:15" x14ac:dyDescent="0.2">
      <c r="A591" s="9" t="s">
        <v>727</v>
      </c>
      <c r="B591" s="10">
        <v>45880</v>
      </c>
      <c r="C591" s="9" t="s">
        <v>726</v>
      </c>
      <c r="D591" s="9" t="s">
        <v>19</v>
      </c>
      <c r="E591" s="9" t="s">
        <v>192</v>
      </c>
      <c r="F591" s="11">
        <v>0</v>
      </c>
      <c r="G591" s="11">
        <v>0</v>
      </c>
      <c r="H591" s="11">
        <v>0</v>
      </c>
      <c r="I591" s="11">
        <v>0.9</v>
      </c>
      <c r="J591" s="11">
        <v>-0.9</v>
      </c>
      <c r="K591" s="12">
        <v>0</v>
      </c>
      <c r="L591" s="9" t="s">
        <v>481</v>
      </c>
      <c r="M591" s="9" t="s">
        <v>19</v>
      </c>
      <c r="N591" s="9" t="s">
        <v>380</v>
      </c>
      <c r="O591" s="9">
        <v>0</v>
      </c>
    </row>
    <row r="592" spans="1:15" x14ac:dyDescent="0.2">
      <c r="A592" s="9" t="s">
        <v>728</v>
      </c>
      <c r="B592" s="10">
        <v>45888</v>
      </c>
      <c r="C592" s="9" t="s">
        <v>726</v>
      </c>
      <c r="D592" s="9" t="s">
        <v>19</v>
      </c>
      <c r="E592" s="9" t="s">
        <v>192</v>
      </c>
      <c r="F592" s="11">
        <v>0</v>
      </c>
      <c r="G592" s="11">
        <v>0</v>
      </c>
      <c r="H592" s="11">
        <v>0</v>
      </c>
      <c r="I592" s="11">
        <v>4638.47</v>
      </c>
      <c r="J592" s="11">
        <v>-4638.47</v>
      </c>
      <c r="K592" s="12">
        <v>0</v>
      </c>
      <c r="L592" s="9" t="s">
        <v>481</v>
      </c>
      <c r="M592" s="9" t="s">
        <v>19</v>
      </c>
      <c r="N592" s="9" t="s">
        <v>380</v>
      </c>
      <c r="O592" s="9">
        <v>0</v>
      </c>
    </row>
    <row r="593" spans="1:15" x14ac:dyDescent="0.2">
      <c r="A593" s="9" t="s">
        <v>729</v>
      </c>
      <c r="B593" s="10">
        <v>45889</v>
      </c>
      <c r="C593" s="9" t="s">
        <v>726</v>
      </c>
      <c r="D593" s="9" t="s">
        <v>19</v>
      </c>
      <c r="E593" s="9" t="s">
        <v>192</v>
      </c>
      <c r="F593" s="11">
        <v>2741.97</v>
      </c>
      <c r="G593" s="11">
        <v>0</v>
      </c>
      <c r="H593" s="11">
        <v>2741.97</v>
      </c>
      <c r="I593" s="11">
        <v>2043.37</v>
      </c>
      <c r="J593" s="11">
        <v>698.6</v>
      </c>
      <c r="K593" s="12">
        <v>0.25478032</v>
      </c>
      <c r="L593" s="9" t="s">
        <v>481</v>
      </c>
      <c r="M593" s="9" t="s">
        <v>19</v>
      </c>
      <c r="N593" s="9" t="s">
        <v>380</v>
      </c>
      <c r="O593" s="9">
        <v>1</v>
      </c>
    </row>
    <row r="594" spans="1:15" x14ac:dyDescent="0.2">
      <c r="A594" s="9" t="s">
        <v>728</v>
      </c>
      <c r="B594" s="10">
        <v>45890</v>
      </c>
      <c r="C594" s="9" t="s">
        <v>726</v>
      </c>
      <c r="D594" s="9" t="s">
        <v>19</v>
      </c>
      <c r="E594" s="9" t="s">
        <v>192</v>
      </c>
      <c r="F594" s="11">
        <v>0</v>
      </c>
      <c r="G594" s="11">
        <v>-1059</v>
      </c>
      <c r="H594" s="11">
        <v>-1059</v>
      </c>
      <c r="I594" s="11">
        <v>-594</v>
      </c>
      <c r="J594" s="11">
        <v>-465</v>
      </c>
      <c r="K594" s="12">
        <v>0.43909347999999998</v>
      </c>
      <c r="L594" s="9" t="s">
        <v>481</v>
      </c>
      <c r="M594" s="9" t="s">
        <v>19</v>
      </c>
      <c r="N594" s="9" t="s">
        <v>380</v>
      </c>
      <c r="O594" s="9">
        <v>0</v>
      </c>
    </row>
    <row r="595" spans="1:15" x14ac:dyDescent="0.2">
      <c r="A595" s="9" t="s">
        <v>727</v>
      </c>
      <c r="B595" s="10">
        <v>45891</v>
      </c>
      <c r="C595" s="9" t="s">
        <v>726</v>
      </c>
      <c r="D595" s="9" t="s">
        <v>19</v>
      </c>
      <c r="E595" s="9" t="s">
        <v>192</v>
      </c>
      <c r="F595" s="11">
        <v>0</v>
      </c>
      <c r="G595" s="11">
        <v>-46200</v>
      </c>
      <c r="H595" s="11">
        <v>-46200</v>
      </c>
      <c r="I595" s="11">
        <v>0</v>
      </c>
      <c r="J595" s="11">
        <v>-46200</v>
      </c>
      <c r="K595" s="12">
        <v>1</v>
      </c>
      <c r="L595" s="9" t="s">
        <v>481</v>
      </c>
      <c r="M595" s="9" t="s">
        <v>19</v>
      </c>
      <c r="N595" s="9" t="s">
        <v>380</v>
      </c>
      <c r="O595" s="9">
        <v>0</v>
      </c>
    </row>
    <row r="596" spans="1:15" x14ac:dyDescent="0.2">
      <c r="A596" s="9" t="s">
        <v>728</v>
      </c>
      <c r="B596" s="10">
        <v>45891</v>
      </c>
      <c r="C596" s="9" t="s">
        <v>726</v>
      </c>
      <c r="D596" s="9" t="s">
        <v>19</v>
      </c>
      <c r="E596" s="9" t="s">
        <v>192</v>
      </c>
      <c r="F596" s="11">
        <v>0</v>
      </c>
      <c r="G596" s="11">
        <v>0</v>
      </c>
      <c r="H596" s="11">
        <v>0</v>
      </c>
      <c r="I596" s="11">
        <v>18.89</v>
      </c>
      <c r="J596" s="11">
        <v>-18.89</v>
      </c>
      <c r="K596" s="12">
        <v>0</v>
      </c>
      <c r="L596" s="9" t="s">
        <v>481</v>
      </c>
      <c r="M596" s="9" t="s">
        <v>19</v>
      </c>
      <c r="N596" s="9" t="s">
        <v>380</v>
      </c>
      <c r="O596" s="9">
        <v>0</v>
      </c>
    </row>
    <row r="597" spans="1:15" x14ac:dyDescent="0.2">
      <c r="A597" s="9" t="s">
        <v>729</v>
      </c>
      <c r="B597" s="10">
        <v>45894</v>
      </c>
      <c r="C597" s="9" t="s">
        <v>726</v>
      </c>
      <c r="D597" s="9" t="s">
        <v>19</v>
      </c>
      <c r="E597" s="9" t="s">
        <v>192</v>
      </c>
      <c r="F597" s="11">
        <v>0</v>
      </c>
      <c r="G597" s="11">
        <v>0</v>
      </c>
      <c r="H597" s="11">
        <v>0</v>
      </c>
      <c r="I597" s="11">
        <v>70.63</v>
      </c>
      <c r="J597" s="11">
        <v>-70.63</v>
      </c>
      <c r="K597" s="12">
        <v>0</v>
      </c>
      <c r="L597" s="9" t="s">
        <v>481</v>
      </c>
      <c r="M597" s="9" t="s">
        <v>19</v>
      </c>
      <c r="N597" s="9" t="s">
        <v>380</v>
      </c>
      <c r="O597" s="9">
        <v>0</v>
      </c>
    </row>
    <row r="598" spans="1:15" x14ac:dyDescent="0.2">
      <c r="A598" s="9" t="s">
        <v>728</v>
      </c>
      <c r="B598" s="10">
        <v>45897</v>
      </c>
      <c r="C598" s="9" t="s">
        <v>726</v>
      </c>
      <c r="D598" s="9" t="s">
        <v>19</v>
      </c>
      <c r="E598" s="9" t="s">
        <v>192</v>
      </c>
      <c r="F598" s="11">
        <v>0</v>
      </c>
      <c r="G598" s="11">
        <v>0</v>
      </c>
      <c r="H598" s="11">
        <v>0</v>
      </c>
      <c r="I598" s="11">
        <v>3011.84</v>
      </c>
      <c r="J598" s="11">
        <v>-3011.84</v>
      </c>
      <c r="K598" s="12">
        <v>0</v>
      </c>
      <c r="L598" s="9" t="s">
        <v>481</v>
      </c>
      <c r="M598" s="9" t="s">
        <v>19</v>
      </c>
      <c r="N598" s="9" t="s">
        <v>380</v>
      </c>
      <c r="O598" s="9">
        <v>0</v>
      </c>
    </row>
    <row r="599" spans="1:15" x14ac:dyDescent="0.2">
      <c r="A599" s="9" t="s">
        <v>727</v>
      </c>
      <c r="B599" s="10">
        <v>45899</v>
      </c>
      <c r="C599" s="9" t="s">
        <v>726</v>
      </c>
      <c r="D599" s="9" t="s">
        <v>19</v>
      </c>
      <c r="E599" s="9" t="s">
        <v>192</v>
      </c>
      <c r="F599" s="11">
        <v>0</v>
      </c>
      <c r="G599" s="11">
        <v>0</v>
      </c>
      <c r="H599" s="11">
        <v>0</v>
      </c>
      <c r="I599" s="11">
        <v>-375</v>
      </c>
      <c r="J599" s="11">
        <v>375</v>
      </c>
      <c r="K599" s="12">
        <v>0</v>
      </c>
      <c r="L599" s="9" t="s">
        <v>481</v>
      </c>
      <c r="M599" s="9" t="s">
        <v>19</v>
      </c>
      <c r="N599" s="9" t="s">
        <v>380</v>
      </c>
      <c r="O599" s="9">
        <v>0</v>
      </c>
    </row>
    <row r="600" spans="1:15" x14ac:dyDescent="0.2">
      <c r="A600" s="9" t="s">
        <v>730</v>
      </c>
      <c r="B600" s="10">
        <v>45899</v>
      </c>
      <c r="C600" s="9" t="s">
        <v>726</v>
      </c>
      <c r="D600" s="9" t="s">
        <v>19</v>
      </c>
      <c r="E600" s="9" t="s">
        <v>192</v>
      </c>
      <c r="F600" s="11">
        <v>0</v>
      </c>
      <c r="G600" s="11">
        <v>0</v>
      </c>
      <c r="H600" s="11">
        <v>0</v>
      </c>
      <c r="I600" s="11">
        <v>160</v>
      </c>
      <c r="J600" s="11">
        <v>-160</v>
      </c>
      <c r="K600" s="12">
        <v>0</v>
      </c>
      <c r="L600" s="9" t="s">
        <v>481</v>
      </c>
      <c r="M600" s="9" t="s">
        <v>19</v>
      </c>
      <c r="N600" s="9" t="s">
        <v>380</v>
      </c>
      <c r="O600" s="9">
        <v>0</v>
      </c>
    </row>
    <row r="601" spans="1:15" x14ac:dyDescent="0.2">
      <c r="A601" s="9" t="s">
        <v>731</v>
      </c>
      <c r="B601" s="10">
        <v>45881</v>
      </c>
      <c r="C601" s="9" t="s">
        <v>726</v>
      </c>
      <c r="D601" s="9" t="s">
        <v>19</v>
      </c>
      <c r="E601" s="9" t="s">
        <v>192</v>
      </c>
      <c r="F601" s="11">
        <v>0</v>
      </c>
      <c r="G601" s="11">
        <v>0</v>
      </c>
      <c r="H601" s="11">
        <v>0</v>
      </c>
      <c r="I601" s="11">
        <v>6691.21</v>
      </c>
      <c r="J601" s="11">
        <v>-6691.21</v>
      </c>
      <c r="K601" s="12">
        <v>0</v>
      </c>
      <c r="L601" s="9" t="s">
        <v>380</v>
      </c>
      <c r="M601" s="9" t="s">
        <v>19</v>
      </c>
      <c r="N601" s="9" t="s">
        <v>380</v>
      </c>
      <c r="O601" s="9">
        <v>0</v>
      </c>
    </row>
    <row r="602" spans="1:15" x14ac:dyDescent="0.2">
      <c r="A602" s="9" t="s">
        <v>732</v>
      </c>
      <c r="B602" s="10">
        <v>45870</v>
      </c>
      <c r="C602" s="9" t="s">
        <v>733</v>
      </c>
      <c r="D602" s="9" t="s">
        <v>65</v>
      </c>
      <c r="E602" s="9" t="s">
        <v>227</v>
      </c>
      <c r="F602" s="11">
        <v>0</v>
      </c>
      <c r="G602" s="11">
        <v>0</v>
      </c>
      <c r="H602" s="11">
        <v>0</v>
      </c>
      <c r="I602" s="11">
        <v>-10</v>
      </c>
      <c r="J602" s="11">
        <v>10</v>
      </c>
      <c r="K602" s="12">
        <v>0</v>
      </c>
      <c r="L602" s="9" t="s">
        <v>125</v>
      </c>
      <c r="M602" s="9" t="s">
        <v>65</v>
      </c>
      <c r="N602" s="9" t="s">
        <v>125</v>
      </c>
      <c r="O602" s="9">
        <v>0</v>
      </c>
    </row>
    <row r="603" spans="1:15" x14ac:dyDescent="0.2">
      <c r="A603" s="9" t="s">
        <v>734</v>
      </c>
      <c r="B603" s="10">
        <v>45870</v>
      </c>
      <c r="C603" s="9" t="s">
        <v>733</v>
      </c>
      <c r="D603" s="9" t="s">
        <v>65</v>
      </c>
      <c r="E603" s="9" t="s">
        <v>227</v>
      </c>
      <c r="F603" s="11">
        <v>37916.879999999997</v>
      </c>
      <c r="G603" s="11">
        <v>0</v>
      </c>
      <c r="H603" s="11">
        <v>37916.879999999997</v>
      </c>
      <c r="I603" s="11">
        <v>25586.05</v>
      </c>
      <c r="J603" s="11">
        <v>12330.83</v>
      </c>
      <c r="K603" s="12">
        <v>0.32520686999999998</v>
      </c>
      <c r="L603" s="9" t="s">
        <v>125</v>
      </c>
      <c r="M603" s="9" t="s">
        <v>65</v>
      </c>
      <c r="N603" s="9" t="s">
        <v>125</v>
      </c>
      <c r="O603" s="9">
        <v>1</v>
      </c>
    </row>
    <row r="604" spans="1:15" x14ac:dyDescent="0.2">
      <c r="A604" s="9" t="s">
        <v>732</v>
      </c>
      <c r="B604" s="10">
        <v>45872</v>
      </c>
      <c r="C604" s="9" t="s">
        <v>733</v>
      </c>
      <c r="D604" s="9" t="s">
        <v>65</v>
      </c>
      <c r="E604" s="9" t="s">
        <v>227</v>
      </c>
      <c r="F604" s="11">
        <v>0</v>
      </c>
      <c r="G604" s="11">
        <v>0</v>
      </c>
      <c r="H604" s="11">
        <v>0</v>
      </c>
      <c r="I604" s="11">
        <v>-28.34</v>
      </c>
      <c r="J604" s="11">
        <v>28.34</v>
      </c>
      <c r="K604" s="12">
        <v>0</v>
      </c>
      <c r="L604" s="9" t="s">
        <v>125</v>
      </c>
      <c r="M604" s="9" t="s">
        <v>65</v>
      </c>
      <c r="N604" s="9" t="s">
        <v>125</v>
      </c>
      <c r="O604" s="9">
        <v>0</v>
      </c>
    </row>
    <row r="605" spans="1:15" x14ac:dyDescent="0.2">
      <c r="A605" s="9" t="s">
        <v>735</v>
      </c>
      <c r="B605" s="10">
        <v>45873</v>
      </c>
      <c r="C605" s="9" t="s">
        <v>733</v>
      </c>
      <c r="D605" s="9" t="s">
        <v>65</v>
      </c>
      <c r="E605" s="9" t="s">
        <v>227</v>
      </c>
      <c r="F605" s="11">
        <v>0</v>
      </c>
      <c r="G605" s="11">
        <v>94.88</v>
      </c>
      <c r="H605" s="11">
        <v>94.88</v>
      </c>
      <c r="I605" s="11">
        <v>533.63</v>
      </c>
      <c r="J605" s="11">
        <v>-438.75</v>
      </c>
      <c r="K605" s="12">
        <v>-4.6242622300000003</v>
      </c>
      <c r="L605" s="9" t="s">
        <v>125</v>
      </c>
      <c r="M605" s="9" t="s">
        <v>65</v>
      </c>
      <c r="N605" s="9" t="s">
        <v>125</v>
      </c>
      <c r="O605" s="9">
        <v>0</v>
      </c>
    </row>
    <row r="606" spans="1:15" x14ac:dyDescent="0.2">
      <c r="A606" s="9" t="s">
        <v>736</v>
      </c>
      <c r="B606" s="10">
        <v>45873</v>
      </c>
      <c r="C606" s="9" t="s">
        <v>733</v>
      </c>
      <c r="D606" s="9" t="s">
        <v>65</v>
      </c>
      <c r="E606" s="9" t="s">
        <v>227</v>
      </c>
      <c r="F606" s="11">
        <v>0</v>
      </c>
      <c r="G606" s="11">
        <v>2.76</v>
      </c>
      <c r="H606" s="11">
        <v>2.76</v>
      </c>
      <c r="I606" s="11">
        <v>170.26</v>
      </c>
      <c r="J606" s="11">
        <v>-167.5</v>
      </c>
      <c r="K606" s="12">
        <v>-60.688405799999998</v>
      </c>
      <c r="L606" s="9" t="s">
        <v>125</v>
      </c>
      <c r="M606" s="9" t="s">
        <v>65</v>
      </c>
      <c r="N606" s="9" t="s">
        <v>125</v>
      </c>
      <c r="O606" s="9">
        <v>0</v>
      </c>
    </row>
    <row r="607" spans="1:15" x14ac:dyDescent="0.2">
      <c r="A607" s="9" t="s">
        <v>732</v>
      </c>
      <c r="B607" s="10">
        <v>45874</v>
      </c>
      <c r="C607" s="9" t="s">
        <v>733</v>
      </c>
      <c r="D607" s="9" t="s">
        <v>65</v>
      </c>
      <c r="E607" s="9" t="s">
        <v>227</v>
      </c>
      <c r="F607" s="11">
        <v>0</v>
      </c>
      <c r="G607" s="11">
        <v>0</v>
      </c>
      <c r="H607" s="11">
        <v>0</v>
      </c>
      <c r="I607" s="11">
        <v>-0.34</v>
      </c>
      <c r="J607" s="11">
        <v>0.34</v>
      </c>
      <c r="K607" s="12">
        <v>0</v>
      </c>
      <c r="L607" s="9" t="s">
        <v>125</v>
      </c>
      <c r="M607" s="9" t="s">
        <v>65</v>
      </c>
      <c r="N607" s="9" t="s">
        <v>125</v>
      </c>
      <c r="O607" s="9">
        <v>0</v>
      </c>
    </row>
    <row r="608" spans="1:15" x14ac:dyDescent="0.2">
      <c r="A608" s="9" t="s">
        <v>732</v>
      </c>
      <c r="B608" s="10">
        <v>45875</v>
      </c>
      <c r="C608" s="9" t="s">
        <v>733</v>
      </c>
      <c r="D608" s="9" t="s">
        <v>65</v>
      </c>
      <c r="E608" s="9" t="s">
        <v>227</v>
      </c>
      <c r="F608" s="11">
        <v>0</v>
      </c>
      <c r="G608" s="11">
        <v>-962.28</v>
      </c>
      <c r="H608" s="11">
        <v>-962.28</v>
      </c>
      <c r="I608" s="11">
        <v>-472.56</v>
      </c>
      <c r="J608" s="11">
        <v>-489.72</v>
      </c>
      <c r="K608" s="12">
        <v>0.50891631999999998</v>
      </c>
      <c r="L608" s="9" t="s">
        <v>125</v>
      </c>
      <c r="M608" s="9" t="s">
        <v>65</v>
      </c>
      <c r="N608" s="9" t="s">
        <v>125</v>
      </c>
      <c r="O608" s="9">
        <v>0</v>
      </c>
    </row>
    <row r="609" spans="1:15" x14ac:dyDescent="0.2">
      <c r="A609" s="9" t="s">
        <v>732</v>
      </c>
      <c r="B609" s="10">
        <v>45876</v>
      </c>
      <c r="C609" s="9" t="s">
        <v>733</v>
      </c>
      <c r="D609" s="9" t="s">
        <v>65</v>
      </c>
      <c r="E609" s="9" t="s">
        <v>227</v>
      </c>
      <c r="F609" s="11">
        <v>0</v>
      </c>
      <c r="G609" s="11">
        <v>0</v>
      </c>
      <c r="H609" s="11">
        <v>0</v>
      </c>
      <c r="I609" s="11">
        <v>-94.94</v>
      </c>
      <c r="J609" s="11">
        <v>94.94</v>
      </c>
      <c r="K609" s="12">
        <v>0</v>
      </c>
      <c r="L609" s="9" t="s">
        <v>125</v>
      </c>
      <c r="M609" s="9" t="s">
        <v>65</v>
      </c>
      <c r="N609" s="9" t="s">
        <v>125</v>
      </c>
      <c r="O609" s="9">
        <v>0</v>
      </c>
    </row>
    <row r="610" spans="1:15" x14ac:dyDescent="0.2">
      <c r="A610" s="9" t="s">
        <v>737</v>
      </c>
      <c r="B610" s="10">
        <v>45876</v>
      </c>
      <c r="C610" s="9" t="s">
        <v>733</v>
      </c>
      <c r="D610" s="9" t="s">
        <v>65</v>
      </c>
      <c r="E610" s="9" t="s">
        <v>227</v>
      </c>
      <c r="F610" s="11">
        <v>0</v>
      </c>
      <c r="G610" s="11">
        <v>0</v>
      </c>
      <c r="H610" s="11">
        <v>0</v>
      </c>
      <c r="I610" s="11">
        <v>264.72000000000003</v>
      </c>
      <c r="J610" s="11">
        <v>-264.72000000000003</v>
      </c>
      <c r="K610" s="12">
        <v>0</v>
      </c>
      <c r="L610" s="9" t="s">
        <v>125</v>
      </c>
      <c r="M610" s="9" t="s">
        <v>65</v>
      </c>
      <c r="N610" s="9" t="s">
        <v>125</v>
      </c>
      <c r="O610" s="9">
        <v>0</v>
      </c>
    </row>
    <row r="611" spans="1:15" x14ac:dyDescent="0.2">
      <c r="A611" s="9" t="s">
        <v>732</v>
      </c>
      <c r="B611" s="10">
        <v>45880</v>
      </c>
      <c r="C611" s="9" t="s">
        <v>733</v>
      </c>
      <c r="D611" s="9" t="s">
        <v>65</v>
      </c>
      <c r="E611" s="9" t="s">
        <v>227</v>
      </c>
      <c r="F611" s="11">
        <v>0</v>
      </c>
      <c r="G611" s="11">
        <v>0</v>
      </c>
      <c r="H611" s="11">
        <v>0</v>
      </c>
      <c r="I611" s="11">
        <v>368.3</v>
      </c>
      <c r="J611" s="11">
        <v>-368.3</v>
      </c>
      <c r="K611" s="12">
        <v>0</v>
      </c>
      <c r="L611" s="9" t="s">
        <v>125</v>
      </c>
      <c r="M611" s="9" t="s">
        <v>65</v>
      </c>
      <c r="N611" s="9" t="s">
        <v>125</v>
      </c>
      <c r="O611" s="9">
        <v>0</v>
      </c>
    </row>
    <row r="612" spans="1:15" x14ac:dyDescent="0.2">
      <c r="A612" s="9" t="s">
        <v>738</v>
      </c>
      <c r="B612" s="10">
        <v>45882</v>
      </c>
      <c r="C612" s="9" t="s">
        <v>733</v>
      </c>
      <c r="D612" s="9" t="s">
        <v>65</v>
      </c>
      <c r="E612" s="9" t="s">
        <v>227</v>
      </c>
      <c r="F612" s="11">
        <v>345</v>
      </c>
      <c r="G612" s="11">
        <v>0</v>
      </c>
      <c r="H612" s="11">
        <v>345</v>
      </c>
      <c r="I612" s="11">
        <v>0</v>
      </c>
      <c r="J612" s="11">
        <v>345</v>
      </c>
      <c r="K612" s="12">
        <v>1</v>
      </c>
      <c r="L612" s="9" t="s">
        <v>125</v>
      </c>
      <c r="M612" s="9" t="s">
        <v>65</v>
      </c>
      <c r="N612" s="9" t="s">
        <v>125</v>
      </c>
      <c r="O612" s="9">
        <v>1</v>
      </c>
    </row>
    <row r="613" spans="1:15" x14ac:dyDescent="0.2">
      <c r="A613" s="9" t="s">
        <v>739</v>
      </c>
      <c r="B613" s="10">
        <v>45882</v>
      </c>
      <c r="C613" s="9" t="s">
        <v>733</v>
      </c>
      <c r="D613" s="9" t="s">
        <v>65</v>
      </c>
      <c r="E613" s="9" t="s">
        <v>227</v>
      </c>
      <c r="F613" s="11">
        <v>0</v>
      </c>
      <c r="G613" s="11">
        <v>0</v>
      </c>
      <c r="H613" s="11">
        <v>0</v>
      </c>
      <c r="I613" s="11">
        <v>-1000</v>
      </c>
      <c r="J613" s="11">
        <v>1000</v>
      </c>
      <c r="K613" s="12">
        <v>0</v>
      </c>
      <c r="L613" s="9" t="s">
        <v>125</v>
      </c>
      <c r="M613" s="9" t="s">
        <v>65</v>
      </c>
      <c r="N613" s="9" t="s">
        <v>125</v>
      </c>
      <c r="O613" s="9">
        <v>0</v>
      </c>
    </row>
    <row r="614" spans="1:15" x14ac:dyDescent="0.2">
      <c r="A614" s="9" t="s">
        <v>732</v>
      </c>
      <c r="B614" s="10">
        <v>45882</v>
      </c>
      <c r="C614" s="9" t="s">
        <v>733</v>
      </c>
      <c r="D614" s="9" t="s">
        <v>65</v>
      </c>
      <c r="E614" s="9" t="s">
        <v>227</v>
      </c>
      <c r="F614" s="11">
        <v>0</v>
      </c>
      <c r="G614" s="11">
        <v>1052.4000000000001</v>
      </c>
      <c r="H614" s="11">
        <v>1052.4000000000001</v>
      </c>
      <c r="I614" s="11">
        <v>556.20000000000005</v>
      </c>
      <c r="J614" s="11">
        <v>496.2</v>
      </c>
      <c r="K614" s="12">
        <v>0.47149373</v>
      </c>
      <c r="L614" s="9" t="s">
        <v>125</v>
      </c>
      <c r="M614" s="9" t="s">
        <v>65</v>
      </c>
      <c r="N614" s="9" t="s">
        <v>125</v>
      </c>
      <c r="O614" s="9">
        <v>0</v>
      </c>
    </row>
    <row r="615" spans="1:15" x14ac:dyDescent="0.2">
      <c r="A615" s="9" t="s">
        <v>732</v>
      </c>
      <c r="B615" s="10">
        <v>45883</v>
      </c>
      <c r="C615" s="9" t="s">
        <v>733</v>
      </c>
      <c r="D615" s="9" t="s">
        <v>65</v>
      </c>
      <c r="E615" s="9" t="s">
        <v>227</v>
      </c>
      <c r="F615" s="11">
        <v>0</v>
      </c>
      <c r="G615" s="11">
        <v>0</v>
      </c>
      <c r="H615" s="11">
        <v>0</v>
      </c>
      <c r="I615" s="11">
        <v>2.5499999999999998</v>
      </c>
      <c r="J615" s="11">
        <v>-2.5499999999999998</v>
      </c>
      <c r="K615" s="12">
        <v>0</v>
      </c>
      <c r="L615" s="9" t="s">
        <v>125</v>
      </c>
      <c r="M615" s="9" t="s">
        <v>65</v>
      </c>
      <c r="N615" s="9" t="s">
        <v>125</v>
      </c>
      <c r="O615" s="9">
        <v>0</v>
      </c>
    </row>
    <row r="616" spans="1:15" x14ac:dyDescent="0.2">
      <c r="A616" s="9" t="s">
        <v>739</v>
      </c>
      <c r="B616" s="10">
        <v>45883</v>
      </c>
      <c r="C616" s="9" t="s">
        <v>733</v>
      </c>
      <c r="D616" s="9" t="s">
        <v>65</v>
      </c>
      <c r="E616" s="9" t="s">
        <v>227</v>
      </c>
      <c r="F616" s="11">
        <v>0</v>
      </c>
      <c r="G616" s="11">
        <v>0</v>
      </c>
      <c r="H616" s="11">
        <v>0</v>
      </c>
      <c r="I616" s="11">
        <v>1000</v>
      </c>
      <c r="J616" s="11">
        <v>-1000</v>
      </c>
      <c r="K616" s="12">
        <v>0</v>
      </c>
      <c r="L616" s="9" t="s">
        <v>125</v>
      </c>
      <c r="M616" s="9" t="s">
        <v>65</v>
      </c>
      <c r="N616" s="9" t="s">
        <v>125</v>
      </c>
      <c r="O616" s="9">
        <v>0</v>
      </c>
    </row>
    <row r="617" spans="1:15" x14ac:dyDescent="0.2">
      <c r="A617" s="9" t="s">
        <v>740</v>
      </c>
      <c r="B617" s="10">
        <v>45888</v>
      </c>
      <c r="C617" s="9" t="s">
        <v>733</v>
      </c>
      <c r="D617" s="9" t="s">
        <v>65</v>
      </c>
      <c r="E617" s="9" t="s">
        <v>227</v>
      </c>
      <c r="F617" s="11">
        <v>1326.67</v>
      </c>
      <c r="G617" s="11">
        <v>0</v>
      </c>
      <c r="H617" s="11">
        <v>1326.67</v>
      </c>
      <c r="I617" s="11">
        <v>1400.04</v>
      </c>
      <c r="J617" s="11">
        <v>-73.37</v>
      </c>
      <c r="K617" s="12">
        <v>-5.530388E-2</v>
      </c>
      <c r="L617" s="9" t="s">
        <v>125</v>
      </c>
      <c r="M617" s="9" t="s">
        <v>65</v>
      </c>
      <c r="N617" s="9" t="s">
        <v>125</v>
      </c>
      <c r="O617" s="9">
        <v>1</v>
      </c>
    </row>
    <row r="618" spans="1:15" x14ac:dyDescent="0.2">
      <c r="A618" s="9" t="s">
        <v>741</v>
      </c>
      <c r="B618" s="10">
        <v>45888</v>
      </c>
      <c r="C618" s="9" t="s">
        <v>733</v>
      </c>
      <c r="D618" s="9" t="s">
        <v>65</v>
      </c>
      <c r="E618" s="9" t="s">
        <v>227</v>
      </c>
      <c r="F618" s="11">
        <v>655.92</v>
      </c>
      <c r="G618" s="11">
        <v>0</v>
      </c>
      <c r="H618" s="11">
        <v>655.92</v>
      </c>
      <c r="I618" s="11">
        <v>456.66</v>
      </c>
      <c r="J618" s="11">
        <v>199.26</v>
      </c>
      <c r="K618" s="12">
        <v>0.30378705</v>
      </c>
      <c r="L618" s="9" t="s">
        <v>125</v>
      </c>
      <c r="M618" s="9" t="s">
        <v>65</v>
      </c>
      <c r="N618" s="9" t="s">
        <v>125</v>
      </c>
      <c r="O618" s="9">
        <v>1</v>
      </c>
    </row>
    <row r="619" spans="1:15" x14ac:dyDescent="0.2">
      <c r="A619" s="9" t="s">
        <v>742</v>
      </c>
      <c r="B619" s="10">
        <v>45888</v>
      </c>
      <c r="C619" s="9" t="s">
        <v>733</v>
      </c>
      <c r="D619" s="9" t="s">
        <v>65</v>
      </c>
      <c r="E619" s="9" t="s">
        <v>227</v>
      </c>
      <c r="F619" s="11">
        <v>310</v>
      </c>
      <c r="G619" s="11">
        <v>0</v>
      </c>
      <c r="H619" s="11">
        <v>310</v>
      </c>
      <c r="I619" s="11">
        <v>294.13</v>
      </c>
      <c r="J619" s="11">
        <v>15.87</v>
      </c>
      <c r="K619" s="12">
        <v>5.1193549999999997E-2</v>
      </c>
      <c r="L619" s="9" t="s">
        <v>125</v>
      </c>
      <c r="M619" s="9" t="s">
        <v>65</v>
      </c>
      <c r="N619" s="9" t="s">
        <v>125</v>
      </c>
      <c r="O619" s="9">
        <v>1</v>
      </c>
    </row>
    <row r="620" spans="1:15" x14ac:dyDescent="0.2">
      <c r="A620" s="9" t="s">
        <v>743</v>
      </c>
      <c r="B620" s="10">
        <v>45890</v>
      </c>
      <c r="C620" s="9" t="s">
        <v>733</v>
      </c>
      <c r="D620" s="9" t="s">
        <v>65</v>
      </c>
      <c r="E620" s="9" t="s">
        <v>227</v>
      </c>
      <c r="F620" s="11">
        <v>1392.67</v>
      </c>
      <c r="G620" s="11">
        <v>0</v>
      </c>
      <c r="H620" s="11">
        <v>1392.67</v>
      </c>
      <c r="I620" s="11">
        <v>1019.68</v>
      </c>
      <c r="J620" s="11">
        <v>372.99</v>
      </c>
      <c r="K620" s="12">
        <v>0.26782368000000001</v>
      </c>
      <c r="L620" s="9" t="s">
        <v>125</v>
      </c>
      <c r="M620" s="9" t="s">
        <v>65</v>
      </c>
      <c r="N620" s="9" t="s">
        <v>125</v>
      </c>
      <c r="O620" s="9">
        <v>1</v>
      </c>
    </row>
    <row r="621" spans="1:15" x14ac:dyDescent="0.2">
      <c r="A621" s="9" t="s">
        <v>744</v>
      </c>
      <c r="B621" s="10">
        <v>45890</v>
      </c>
      <c r="C621" s="9" t="s">
        <v>733</v>
      </c>
      <c r="D621" s="9" t="s">
        <v>65</v>
      </c>
      <c r="E621" s="9" t="s">
        <v>227</v>
      </c>
      <c r="F621" s="11">
        <v>565</v>
      </c>
      <c r="G621" s="11">
        <v>0</v>
      </c>
      <c r="H621" s="11">
        <v>565</v>
      </c>
      <c r="I621" s="11">
        <v>447.07</v>
      </c>
      <c r="J621" s="11">
        <v>117.93</v>
      </c>
      <c r="K621" s="12">
        <v>0.20872566000000001</v>
      </c>
      <c r="L621" s="9" t="s">
        <v>125</v>
      </c>
      <c r="M621" s="9" t="s">
        <v>65</v>
      </c>
      <c r="N621" s="9" t="s">
        <v>125</v>
      </c>
      <c r="O621" s="9">
        <v>1</v>
      </c>
    </row>
    <row r="622" spans="1:15" x14ac:dyDescent="0.2">
      <c r="A622" s="9" t="s">
        <v>740</v>
      </c>
      <c r="B622" s="10">
        <v>45894</v>
      </c>
      <c r="C622" s="9" t="s">
        <v>733</v>
      </c>
      <c r="D622" s="9" t="s">
        <v>65</v>
      </c>
      <c r="E622" s="9" t="s">
        <v>227</v>
      </c>
      <c r="F622" s="11">
        <v>0</v>
      </c>
      <c r="G622" s="11">
        <v>-556.66999999999996</v>
      </c>
      <c r="H622" s="11">
        <v>-556.66999999999996</v>
      </c>
      <c r="I622" s="11">
        <v>0</v>
      </c>
      <c r="J622" s="11">
        <v>-556.66999999999996</v>
      </c>
      <c r="K622" s="12">
        <v>1</v>
      </c>
      <c r="L622" s="9" t="s">
        <v>125</v>
      </c>
      <c r="M622" s="9" t="s">
        <v>65</v>
      </c>
      <c r="N622" s="9" t="s">
        <v>125</v>
      </c>
      <c r="O622" s="9">
        <v>0</v>
      </c>
    </row>
    <row r="623" spans="1:15" x14ac:dyDescent="0.2">
      <c r="A623" s="9" t="s">
        <v>745</v>
      </c>
      <c r="B623" s="10">
        <v>45896</v>
      </c>
      <c r="C623" s="9" t="s">
        <v>733</v>
      </c>
      <c r="D623" s="9" t="s">
        <v>65</v>
      </c>
      <c r="E623" s="9" t="s">
        <v>227</v>
      </c>
      <c r="F623" s="11">
        <v>3645.7</v>
      </c>
      <c r="G623" s="11">
        <v>0</v>
      </c>
      <c r="H623" s="11">
        <v>3645.7</v>
      </c>
      <c r="I623" s="11">
        <v>2668.58</v>
      </c>
      <c r="J623" s="11">
        <v>977.12</v>
      </c>
      <c r="K623" s="12">
        <v>0.26801986</v>
      </c>
      <c r="L623" s="9" t="s">
        <v>125</v>
      </c>
      <c r="M623" s="9" t="s">
        <v>65</v>
      </c>
      <c r="N623" s="9" t="s">
        <v>125</v>
      </c>
      <c r="O623" s="9">
        <v>1</v>
      </c>
    </row>
    <row r="624" spans="1:15" x14ac:dyDescent="0.2">
      <c r="A624" s="9" t="s">
        <v>746</v>
      </c>
      <c r="B624" s="10">
        <v>45898</v>
      </c>
      <c r="C624" s="9" t="s">
        <v>733</v>
      </c>
      <c r="D624" s="9" t="s">
        <v>65</v>
      </c>
      <c r="E624" s="9" t="s">
        <v>227</v>
      </c>
      <c r="F624" s="11">
        <v>0</v>
      </c>
      <c r="G624" s="11">
        <v>0</v>
      </c>
      <c r="H624" s="11">
        <v>0</v>
      </c>
      <c r="I624" s="11">
        <v>2178.75</v>
      </c>
      <c r="J624" s="11">
        <v>-2178.75</v>
      </c>
      <c r="K624" s="12">
        <v>0</v>
      </c>
      <c r="L624" s="9" t="s">
        <v>125</v>
      </c>
      <c r="M624" s="9" t="s">
        <v>65</v>
      </c>
      <c r="N624" s="9" t="s">
        <v>125</v>
      </c>
      <c r="O624" s="9">
        <v>0</v>
      </c>
    </row>
    <row r="625" spans="1:15" x14ac:dyDescent="0.2">
      <c r="A625" s="9" t="s">
        <v>747</v>
      </c>
      <c r="B625" s="10">
        <v>45877</v>
      </c>
      <c r="C625" s="9" t="s">
        <v>748</v>
      </c>
      <c r="D625" s="9" t="s">
        <v>120</v>
      </c>
      <c r="E625" s="9" t="s">
        <v>192</v>
      </c>
      <c r="F625" s="11">
        <v>0</v>
      </c>
      <c r="G625" s="11">
        <v>0</v>
      </c>
      <c r="H625" s="11">
        <v>0</v>
      </c>
      <c r="I625" s="11">
        <v>19</v>
      </c>
      <c r="J625" s="11">
        <v>-19</v>
      </c>
      <c r="K625" s="12">
        <v>0</v>
      </c>
      <c r="L625" s="9" t="s">
        <v>462</v>
      </c>
      <c r="M625" s="9" t="s">
        <v>48</v>
      </c>
      <c r="N625" s="9" t="s">
        <v>120</v>
      </c>
      <c r="O625" s="9">
        <v>0</v>
      </c>
    </row>
    <row r="626" spans="1:15" x14ac:dyDescent="0.2">
      <c r="A626" s="9" t="s">
        <v>747</v>
      </c>
      <c r="B626" s="10">
        <v>45880</v>
      </c>
      <c r="C626" s="9" t="s">
        <v>748</v>
      </c>
      <c r="D626" s="9" t="s">
        <v>120</v>
      </c>
      <c r="E626" s="9" t="s">
        <v>192</v>
      </c>
      <c r="F626" s="11">
        <v>0</v>
      </c>
      <c r="G626" s="11">
        <v>0</v>
      </c>
      <c r="H626" s="11">
        <v>0</v>
      </c>
      <c r="I626" s="11">
        <v>0.13</v>
      </c>
      <c r="J626" s="11">
        <v>-0.13</v>
      </c>
      <c r="K626" s="12">
        <v>0</v>
      </c>
      <c r="L626" s="9" t="s">
        <v>462</v>
      </c>
      <c r="M626" s="9" t="s">
        <v>48</v>
      </c>
      <c r="N626" s="9" t="s">
        <v>120</v>
      </c>
      <c r="O626" s="9">
        <v>0</v>
      </c>
    </row>
    <row r="627" spans="1:15" x14ac:dyDescent="0.2">
      <c r="A627" s="9" t="s">
        <v>747</v>
      </c>
      <c r="B627" s="10">
        <v>45881</v>
      </c>
      <c r="C627" s="9" t="s">
        <v>748</v>
      </c>
      <c r="D627" s="9" t="s">
        <v>120</v>
      </c>
      <c r="E627" s="9" t="s">
        <v>192</v>
      </c>
      <c r="F627" s="11">
        <v>0</v>
      </c>
      <c r="G627" s="11">
        <v>0</v>
      </c>
      <c r="H627" s="11">
        <v>0</v>
      </c>
      <c r="I627" s="11">
        <v>265.77999999999997</v>
      </c>
      <c r="J627" s="11">
        <v>-265.77999999999997</v>
      </c>
      <c r="K627" s="12">
        <v>0</v>
      </c>
      <c r="L627" s="9" t="s">
        <v>462</v>
      </c>
      <c r="M627" s="9" t="s">
        <v>48</v>
      </c>
      <c r="N627" s="9" t="s">
        <v>120</v>
      </c>
      <c r="O627" s="9">
        <v>0</v>
      </c>
    </row>
    <row r="628" spans="1:15" x14ac:dyDescent="0.2">
      <c r="A628" s="9" t="s">
        <v>747</v>
      </c>
      <c r="B628" s="10">
        <v>45882</v>
      </c>
      <c r="C628" s="9" t="s">
        <v>748</v>
      </c>
      <c r="D628" s="9" t="s">
        <v>120</v>
      </c>
      <c r="E628" s="9" t="s">
        <v>192</v>
      </c>
      <c r="F628" s="11">
        <v>0</v>
      </c>
      <c r="G628" s="11">
        <v>0</v>
      </c>
      <c r="H628" s="11">
        <v>0</v>
      </c>
      <c r="I628" s="11">
        <v>238.99</v>
      </c>
      <c r="J628" s="11">
        <v>-238.99</v>
      </c>
      <c r="K628" s="12">
        <v>0</v>
      </c>
      <c r="L628" s="9" t="s">
        <v>462</v>
      </c>
      <c r="M628" s="9" t="s">
        <v>48</v>
      </c>
      <c r="N628" s="9" t="s">
        <v>120</v>
      </c>
      <c r="O628" s="9">
        <v>0</v>
      </c>
    </row>
    <row r="629" spans="1:15" x14ac:dyDescent="0.2">
      <c r="A629" s="9" t="s">
        <v>747</v>
      </c>
      <c r="B629" s="10">
        <v>45883</v>
      </c>
      <c r="C629" s="9" t="s">
        <v>748</v>
      </c>
      <c r="D629" s="9" t="s">
        <v>120</v>
      </c>
      <c r="E629" s="9" t="s">
        <v>192</v>
      </c>
      <c r="F629" s="11">
        <v>0</v>
      </c>
      <c r="G629" s="11">
        <v>0</v>
      </c>
      <c r="H629" s="11">
        <v>0</v>
      </c>
      <c r="I629" s="11">
        <v>4</v>
      </c>
      <c r="J629" s="11">
        <v>-4</v>
      </c>
      <c r="K629" s="12">
        <v>0</v>
      </c>
      <c r="L629" s="9" t="s">
        <v>462</v>
      </c>
      <c r="M629" s="9" t="s">
        <v>48</v>
      </c>
      <c r="N629" s="9" t="s">
        <v>120</v>
      </c>
      <c r="O629" s="9">
        <v>0</v>
      </c>
    </row>
    <row r="630" spans="1:15" x14ac:dyDescent="0.2">
      <c r="A630" s="9" t="s">
        <v>749</v>
      </c>
      <c r="B630" s="10">
        <v>45888</v>
      </c>
      <c r="C630" s="9" t="s">
        <v>748</v>
      </c>
      <c r="D630" s="9" t="s">
        <v>120</v>
      </c>
      <c r="E630" s="9" t="s">
        <v>192</v>
      </c>
      <c r="F630" s="11">
        <v>0</v>
      </c>
      <c r="G630" s="11">
        <v>0</v>
      </c>
      <c r="H630" s="11">
        <v>0</v>
      </c>
      <c r="I630" s="11">
        <v>149.94</v>
      </c>
      <c r="J630" s="11">
        <v>-149.94</v>
      </c>
      <c r="K630" s="12">
        <v>0</v>
      </c>
      <c r="L630" s="9" t="s">
        <v>750</v>
      </c>
      <c r="M630" s="9" t="s">
        <v>48</v>
      </c>
      <c r="N630" s="9" t="s">
        <v>120</v>
      </c>
      <c r="O630" s="9">
        <v>0</v>
      </c>
    </row>
    <row r="631" spans="1:15" x14ac:dyDescent="0.2">
      <c r="A631" s="9" t="s">
        <v>751</v>
      </c>
      <c r="B631" s="10">
        <v>45870</v>
      </c>
      <c r="C631" s="9" t="s">
        <v>752</v>
      </c>
      <c r="D631" s="9" t="s">
        <v>65</v>
      </c>
      <c r="E631" s="9" t="s">
        <v>227</v>
      </c>
      <c r="F631" s="11">
        <v>0</v>
      </c>
      <c r="G631" s="11">
        <v>0</v>
      </c>
      <c r="H631" s="11">
        <v>0</v>
      </c>
      <c r="I631" s="11">
        <v>4.2300000000000004</v>
      </c>
      <c r="J631" s="11">
        <v>-4.2300000000000004</v>
      </c>
      <c r="K631" s="12">
        <v>0</v>
      </c>
      <c r="L631" s="9" t="s">
        <v>125</v>
      </c>
      <c r="M631" s="9" t="s">
        <v>65</v>
      </c>
      <c r="N631" s="9" t="s">
        <v>125</v>
      </c>
      <c r="O631" s="9">
        <v>0</v>
      </c>
    </row>
    <row r="632" spans="1:15" x14ac:dyDescent="0.2">
      <c r="A632" s="9" t="s">
        <v>753</v>
      </c>
      <c r="B632" s="10">
        <v>45875</v>
      </c>
      <c r="C632" s="9" t="s">
        <v>752</v>
      </c>
      <c r="D632" s="9" t="s">
        <v>65</v>
      </c>
      <c r="E632" s="9" t="s">
        <v>227</v>
      </c>
      <c r="F632" s="11">
        <v>0</v>
      </c>
      <c r="G632" s="11">
        <v>318.20999999999998</v>
      </c>
      <c r="H632" s="11">
        <v>318.20999999999998</v>
      </c>
      <c r="I632" s="11">
        <v>-53.44</v>
      </c>
      <c r="J632" s="11">
        <v>371.65</v>
      </c>
      <c r="K632" s="12">
        <v>1.16793941</v>
      </c>
      <c r="L632" s="9" t="s">
        <v>125</v>
      </c>
      <c r="M632" s="9" t="s">
        <v>65</v>
      </c>
      <c r="N632" s="9" t="s">
        <v>125</v>
      </c>
      <c r="O632" s="9">
        <v>0</v>
      </c>
    </row>
    <row r="633" spans="1:15" x14ac:dyDescent="0.2">
      <c r="A633" s="9" t="s">
        <v>753</v>
      </c>
      <c r="B633" s="10">
        <v>45880</v>
      </c>
      <c r="C633" s="9" t="s">
        <v>752</v>
      </c>
      <c r="D633" s="9" t="s">
        <v>65</v>
      </c>
      <c r="E633" s="9" t="s">
        <v>227</v>
      </c>
      <c r="F633" s="11">
        <v>0</v>
      </c>
      <c r="G633" s="11">
        <v>0</v>
      </c>
      <c r="H633" s="11">
        <v>0</v>
      </c>
      <c r="I633" s="11">
        <v>103.38</v>
      </c>
      <c r="J633" s="11">
        <v>-103.38</v>
      </c>
      <c r="K633" s="12">
        <v>0</v>
      </c>
      <c r="L633" s="9" t="s">
        <v>125</v>
      </c>
      <c r="M633" s="9" t="s">
        <v>65</v>
      </c>
      <c r="N633" s="9" t="s">
        <v>125</v>
      </c>
      <c r="O633" s="9">
        <v>0</v>
      </c>
    </row>
    <row r="634" spans="1:15" x14ac:dyDescent="0.2">
      <c r="A634" s="9" t="s">
        <v>754</v>
      </c>
      <c r="B634" s="10">
        <v>45898</v>
      </c>
      <c r="C634" s="9" t="s">
        <v>752</v>
      </c>
      <c r="D634" s="9" t="s">
        <v>65</v>
      </c>
      <c r="E634" s="9" t="s">
        <v>227</v>
      </c>
      <c r="F634" s="11">
        <v>0</v>
      </c>
      <c r="G634" s="11">
        <v>0</v>
      </c>
      <c r="H634" s="11">
        <v>0</v>
      </c>
      <c r="I634" s="11">
        <v>-337.5</v>
      </c>
      <c r="J634" s="11">
        <v>337.5</v>
      </c>
      <c r="K634" s="12">
        <v>0</v>
      </c>
      <c r="L634" s="9" t="s">
        <v>125</v>
      </c>
      <c r="M634" s="9" t="s">
        <v>65</v>
      </c>
      <c r="N634" s="9" t="s">
        <v>125</v>
      </c>
      <c r="O634" s="9">
        <v>0</v>
      </c>
    </row>
    <row r="635" spans="1:15" x14ac:dyDescent="0.2">
      <c r="A635" s="9" t="s">
        <v>755</v>
      </c>
      <c r="B635" s="10">
        <v>45898</v>
      </c>
      <c r="C635" s="9" t="s">
        <v>752</v>
      </c>
      <c r="D635" s="9" t="s">
        <v>65</v>
      </c>
      <c r="E635" s="9" t="s">
        <v>227</v>
      </c>
      <c r="F635" s="11">
        <v>0</v>
      </c>
      <c r="G635" s="11">
        <v>0</v>
      </c>
      <c r="H635" s="11">
        <v>0</v>
      </c>
      <c r="I635" s="11">
        <v>2075</v>
      </c>
      <c r="J635" s="11">
        <v>-2075</v>
      </c>
      <c r="K635" s="12">
        <v>0</v>
      </c>
      <c r="L635" s="9" t="s">
        <v>125</v>
      </c>
      <c r="M635" s="9" t="s">
        <v>65</v>
      </c>
      <c r="N635" s="9" t="s">
        <v>125</v>
      </c>
      <c r="O635" s="9">
        <v>0</v>
      </c>
    </row>
    <row r="636" spans="1:15" x14ac:dyDescent="0.2">
      <c r="A636" s="9" t="s">
        <v>756</v>
      </c>
      <c r="B636" s="10">
        <v>45873</v>
      </c>
      <c r="C636" s="9" t="s">
        <v>757</v>
      </c>
      <c r="D636" s="9" t="s">
        <v>19</v>
      </c>
      <c r="E636" s="9" t="s">
        <v>192</v>
      </c>
      <c r="F636" s="11">
        <v>0</v>
      </c>
      <c r="G636" s="11">
        <v>0</v>
      </c>
      <c r="H636" s="11">
        <v>0</v>
      </c>
      <c r="I636" s="11">
        <v>0.08</v>
      </c>
      <c r="J636" s="11">
        <v>-0.08</v>
      </c>
      <c r="K636" s="12">
        <v>0</v>
      </c>
      <c r="L636" s="9" t="s">
        <v>143</v>
      </c>
      <c r="M636" s="9" t="s">
        <v>19</v>
      </c>
      <c r="N636" s="9" t="s">
        <v>143</v>
      </c>
      <c r="O636" s="9">
        <v>0</v>
      </c>
    </row>
    <row r="637" spans="1:15" x14ac:dyDescent="0.2">
      <c r="A637" s="9" t="s">
        <v>758</v>
      </c>
      <c r="B637" s="10">
        <v>45894</v>
      </c>
      <c r="C637" s="9" t="s">
        <v>757</v>
      </c>
      <c r="D637" s="9" t="s">
        <v>19</v>
      </c>
      <c r="E637" s="9" t="s">
        <v>192</v>
      </c>
      <c r="F637" s="11">
        <v>0</v>
      </c>
      <c r="G637" s="11">
        <v>0</v>
      </c>
      <c r="H637" s="11">
        <v>0</v>
      </c>
      <c r="I637" s="11">
        <v>2823.57</v>
      </c>
      <c r="J637" s="11">
        <v>-2823.57</v>
      </c>
      <c r="K637" s="12">
        <v>0</v>
      </c>
      <c r="L637" s="9" t="s">
        <v>143</v>
      </c>
      <c r="M637" s="9" t="s">
        <v>19</v>
      </c>
      <c r="N637" s="9" t="s">
        <v>143</v>
      </c>
      <c r="O637" s="9">
        <v>0</v>
      </c>
    </row>
    <row r="638" spans="1:15" x14ac:dyDescent="0.2">
      <c r="A638" s="9" t="s">
        <v>759</v>
      </c>
      <c r="B638" s="10">
        <v>45895</v>
      </c>
      <c r="C638" s="9" t="s">
        <v>757</v>
      </c>
      <c r="D638" s="9" t="s">
        <v>19</v>
      </c>
      <c r="E638" s="9" t="s">
        <v>192</v>
      </c>
      <c r="F638" s="11">
        <v>460048</v>
      </c>
      <c r="G638" s="11">
        <v>0</v>
      </c>
      <c r="H638" s="11">
        <v>460048</v>
      </c>
      <c r="I638" s="11">
        <v>306519.02</v>
      </c>
      <c r="J638" s="11">
        <v>153528.98000000001</v>
      </c>
      <c r="K638" s="12">
        <v>0.33372383</v>
      </c>
      <c r="L638" s="9" t="s">
        <v>143</v>
      </c>
      <c r="M638" s="9" t="s">
        <v>19</v>
      </c>
      <c r="N638" s="9" t="s">
        <v>143</v>
      </c>
      <c r="O638" s="9">
        <v>1</v>
      </c>
    </row>
    <row r="639" spans="1:15" x14ac:dyDescent="0.2">
      <c r="A639" s="9" t="s">
        <v>760</v>
      </c>
      <c r="B639" s="10">
        <v>45875</v>
      </c>
      <c r="C639" s="9" t="s">
        <v>761</v>
      </c>
      <c r="D639" s="9" t="s">
        <v>198</v>
      </c>
      <c r="E639" s="9" t="s">
        <v>192</v>
      </c>
      <c r="F639" s="11">
        <v>69.5</v>
      </c>
      <c r="G639" s="11">
        <v>0</v>
      </c>
      <c r="H639" s="11">
        <v>69.5</v>
      </c>
      <c r="I639" s="11">
        <v>57</v>
      </c>
      <c r="J639" s="11">
        <v>12.5</v>
      </c>
      <c r="K639" s="12">
        <v>0.17985612000000001</v>
      </c>
      <c r="L639" s="9" t="s">
        <v>276</v>
      </c>
      <c r="M639" s="9" t="s">
        <v>65</v>
      </c>
      <c r="N639" s="9" t="s">
        <v>276</v>
      </c>
      <c r="O639" s="9">
        <v>1</v>
      </c>
    </row>
    <row r="640" spans="1:15" x14ac:dyDescent="0.2">
      <c r="A640" s="9" t="s">
        <v>760</v>
      </c>
      <c r="B640" s="10">
        <v>45880</v>
      </c>
      <c r="C640" s="9" t="s">
        <v>761</v>
      </c>
      <c r="D640" s="9" t="s">
        <v>198</v>
      </c>
      <c r="E640" s="9" t="s">
        <v>192</v>
      </c>
      <c r="F640" s="11">
        <v>0</v>
      </c>
      <c r="G640" s="11">
        <v>0</v>
      </c>
      <c r="H640" s="11">
        <v>0</v>
      </c>
      <c r="I640" s="11">
        <v>109.1</v>
      </c>
      <c r="J640" s="11">
        <v>-109.1</v>
      </c>
      <c r="K640" s="12">
        <v>0</v>
      </c>
      <c r="L640" s="9" t="s">
        <v>276</v>
      </c>
      <c r="M640" s="9" t="s">
        <v>65</v>
      </c>
      <c r="N640" s="9" t="s">
        <v>276</v>
      </c>
      <c r="O640" s="9">
        <v>0</v>
      </c>
    </row>
    <row r="641" spans="1:15" x14ac:dyDescent="0.2">
      <c r="A641" s="9" t="s">
        <v>760</v>
      </c>
      <c r="B641" s="10">
        <v>45882</v>
      </c>
      <c r="C641" s="9" t="s">
        <v>761</v>
      </c>
      <c r="D641" s="9" t="s">
        <v>198</v>
      </c>
      <c r="E641" s="9" t="s">
        <v>192</v>
      </c>
      <c r="F641" s="11">
        <v>0</v>
      </c>
      <c r="G641" s="11">
        <v>0</v>
      </c>
      <c r="H641" s="11">
        <v>0</v>
      </c>
      <c r="I641" s="11">
        <v>39.119999999999997</v>
      </c>
      <c r="J641" s="11">
        <v>-39.119999999999997</v>
      </c>
      <c r="K641" s="12">
        <v>0</v>
      </c>
      <c r="L641" s="9" t="s">
        <v>276</v>
      </c>
      <c r="M641" s="9" t="s">
        <v>65</v>
      </c>
      <c r="N641" s="9" t="s">
        <v>276</v>
      </c>
      <c r="O641" s="9">
        <v>0</v>
      </c>
    </row>
    <row r="642" spans="1:15" x14ac:dyDescent="0.2">
      <c r="A642" s="9" t="s">
        <v>762</v>
      </c>
      <c r="B642" s="10">
        <v>45898</v>
      </c>
      <c r="C642" s="9" t="s">
        <v>763</v>
      </c>
      <c r="D642" s="9" t="s">
        <v>384</v>
      </c>
      <c r="E642" s="9" t="s">
        <v>192</v>
      </c>
      <c r="F642" s="11">
        <v>869.44</v>
      </c>
      <c r="G642" s="11">
        <v>0</v>
      </c>
      <c r="H642" s="11">
        <v>869.44</v>
      </c>
      <c r="I642" s="11">
        <v>910.92</v>
      </c>
      <c r="J642" s="11">
        <v>-41.48</v>
      </c>
      <c r="K642" s="12">
        <v>-4.770887E-2</v>
      </c>
      <c r="L642" s="9" t="s">
        <v>384</v>
      </c>
      <c r="M642" s="9" t="s">
        <v>48</v>
      </c>
      <c r="N642" s="9" t="s">
        <v>251</v>
      </c>
      <c r="O642" s="9">
        <v>1</v>
      </c>
    </row>
    <row r="643" spans="1:15" x14ac:dyDescent="0.2">
      <c r="A643" s="9" t="s">
        <v>764</v>
      </c>
      <c r="B643" s="10">
        <v>45874</v>
      </c>
      <c r="C643" s="9" t="s">
        <v>765</v>
      </c>
      <c r="D643" s="9" t="s">
        <v>15</v>
      </c>
      <c r="E643" s="9" t="s">
        <v>227</v>
      </c>
      <c r="F643" s="11">
        <v>0</v>
      </c>
      <c r="G643" s="11">
        <v>0</v>
      </c>
      <c r="H643" s="11">
        <v>0</v>
      </c>
      <c r="I643" s="11">
        <v>20.3</v>
      </c>
      <c r="J643" s="11">
        <v>-20.3</v>
      </c>
      <c r="K643" s="12">
        <v>0</v>
      </c>
      <c r="L643" s="9" t="s">
        <v>153</v>
      </c>
      <c r="M643" s="9" t="s">
        <v>15</v>
      </c>
      <c r="N643" s="9" t="s">
        <v>153</v>
      </c>
      <c r="O643" s="9">
        <v>0</v>
      </c>
    </row>
    <row r="644" spans="1:15" x14ac:dyDescent="0.2">
      <c r="A644" s="9" t="s">
        <v>766</v>
      </c>
      <c r="B644" s="10">
        <v>45875</v>
      </c>
      <c r="C644" s="9" t="s">
        <v>765</v>
      </c>
      <c r="D644" s="9" t="s">
        <v>15</v>
      </c>
      <c r="E644" s="9" t="s">
        <v>227</v>
      </c>
      <c r="F644" s="11">
        <v>0</v>
      </c>
      <c r="G644" s="11">
        <v>0</v>
      </c>
      <c r="H644" s="11">
        <v>0</v>
      </c>
      <c r="I644" s="11">
        <v>-0.6</v>
      </c>
      <c r="J644" s="11">
        <v>0.6</v>
      </c>
      <c r="K644" s="12">
        <v>0</v>
      </c>
      <c r="L644" s="9" t="s">
        <v>153</v>
      </c>
      <c r="M644" s="9" t="s">
        <v>15</v>
      </c>
      <c r="N644" s="9" t="s">
        <v>153</v>
      </c>
      <c r="O644" s="9">
        <v>0</v>
      </c>
    </row>
    <row r="645" spans="1:15" x14ac:dyDescent="0.2">
      <c r="A645" s="9" t="s">
        <v>764</v>
      </c>
      <c r="B645" s="10">
        <v>45889</v>
      </c>
      <c r="C645" s="9" t="s">
        <v>765</v>
      </c>
      <c r="D645" s="9" t="s">
        <v>15</v>
      </c>
      <c r="E645" s="9" t="s">
        <v>227</v>
      </c>
      <c r="F645" s="11">
        <v>0</v>
      </c>
      <c r="G645" s="11">
        <v>0</v>
      </c>
      <c r="H645" s="11">
        <v>0</v>
      </c>
      <c r="I645" s="11">
        <v>-173.69</v>
      </c>
      <c r="J645" s="11">
        <v>173.69</v>
      </c>
      <c r="K645" s="12">
        <v>0</v>
      </c>
      <c r="L645" s="9" t="s">
        <v>153</v>
      </c>
      <c r="M645" s="9" t="s">
        <v>15</v>
      </c>
      <c r="N645" s="9" t="s">
        <v>153</v>
      </c>
      <c r="O645" s="9">
        <v>0</v>
      </c>
    </row>
    <row r="646" spans="1:15" x14ac:dyDescent="0.2">
      <c r="A646" s="9" t="s">
        <v>766</v>
      </c>
      <c r="B646" s="10">
        <v>45899</v>
      </c>
      <c r="C646" s="9" t="s">
        <v>765</v>
      </c>
      <c r="D646" s="9" t="s">
        <v>15</v>
      </c>
      <c r="E646" s="9" t="s">
        <v>227</v>
      </c>
      <c r="F646" s="11">
        <v>0</v>
      </c>
      <c r="G646" s="11">
        <v>0</v>
      </c>
      <c r="H646" s="11">
        <v>0</v>
      </c>
      <c r="I646" s="11">
        <v>492.5</v>
      </c>
      <c r="J646" s="11">
        <v>-492.5</v>
      </c>
      <c r="K646" s="12">
        <v>0</v>
      </c>
      <c r="L646" s="9" t="s">
        <v>153</v>
      </c>
      <c r="M646" s="9" t="s">
        <v>15</v>
      </c>
      <c r="N646" s="9" t="s">
        <v>153</v>
      </c>
      <c r="O646" s="9">
        <v>0</v>
      </c>
    </row>
    <row r="647" spans="1:15" x14ac:dyDescent="0.2">
      <c r="A647" s="9" t="s">
        <v>767</v>
      </c>
      <c r="B647" s="10">
        <v>45883</v>
      </c>
      <c r="C647" s="9" t="s">
        <v>384</v>
      </c>
      <c r="D647" s="9" t="s">
        <v>384</v>
      </c>
      <c r="E647" s="9" t="s">
        <v>192</v>
      </c>
      <c r="F647" s="11">
        <v>180</v>
      </c>
      <c r="G647" s="11">
        <v>0</v>
      </c>
      <c r="H647" s="11">
        <v>180</v>
      </c>
      <c r="I647" s="11">
        <v>180</v>
      </c>
      <c r="J647" s="11">
        <v>0</v>
      </c>
      <c r="K647" s="12">
        <v>0</v>
      </c>
      <c r="L647" s="9" t="s">
        <v>384</v>
      </c>
      <c r="M647" s="9" t="s">
        <v>48</v>
      </c>
      <c r="N647" s="9" t="s">
        <v>251</v>
      </c>
      <c r="O647" s="9">
        <v>1</v>
      </c>
    </row>
    <row r="648" spans="1:15" x14ac:dyDescent="0.2">
      <c r="A648" s="9" t="s">
        <v>768</v>
      </c>
      <c r="B648" s="10">
        <v>45880</v>
      </c>
      <c r="C648" s="9" t="s">
        <v>169</v>
      </c>
      <c r="D648" s="9" t="s">
        <v>47</v>
      </c>
      <c r="E648" s="9" t="s">
        <v>227</v>
      </c>
      <c r="F648" s="11">
        <v>209401.33</v>
      </c>
      <c r="G648" s="11">
        <v>0</v>
      </c>
      <c r="H648" s="11">
        <v>209401.33</v>
      </c>
      <c r="I648" s="11">
        <v>150612.4</v>
      </c>
      <c r="J648" s="11">
        <v>58788.93</v>
      </c>
      <c r="K648" s="12">
        <v>0.28074764000000002</v>
      </c>
      <c r="L648" s="9" t="s">
        <v>126</v>
      </c>
      <c r="M648" s="13" t="s">
        <v>65</v>
      </c>
      <c r="N648" s="13" t="s">
        <v>126</v>
      </c>
      <c r="O648" s="9">
        <v>1</v>
      </c>
    </row>
    <row r="649" spans="1:15" x14ac:dyDescent="0.2">
      <c r="A649" s="9" t="s">
        <v>768</v>
      </c>
      <c r="B649" s="10">
        <v>45882</v>
      </c>
      <c r="C649" s="9" t="s">
        <v>169</v>
      </c>
      <c r="D649" s="9" t="s">
        <v>47</v>
      </c>
      <c r="E649" s="9" t="s">
        <v>227</v>
      </c>
      <c r="F649" s="11">
        <v>0</v>
      </c>
      <c r="G649" s="11">
        <v>0</v>
      </c>
      <c r="H649" s="11">
        <v>0</v>
      </c>
      <c r="I649" s="11">
        <v>-91.26</v>
      </c>
      <c r="J649" s="11">
        <v>91.26</v>
      </c>
      <c r="K649" s="12">
        <v>0</v>
      </c>
      <c r="L649" s="9" t="s">
        <v>126</v>
      </c>
      <c r="M649" s="9" t="s">
        <v>65</v>
      </c>
      <c r="N649" s="9" t="s">
        <v>126</v>
      </c>
      <c r="O649" s="9">
        <v>0</v>
      </c>
    </row>
    <row r="650" spans="1:15" x14ac:dyDescent="0.2">
      <c r="A650" s="9" t="s">
        <v>768</v>
      </c>
      <c r="B650" s="10">
        <v>45883</v>
      </c>
      <c r="C650" s="9" t="s">
        <v>169</v>
      </c>
      <c r="D650" s="9" t="s">
        <v>47</v>
      </c>
      <c r="E650" s="9" t="s">
        <v>227</v>
      </c>
      <c r="F650" s="11">
        <v>0</v>
      </c>
      <c r="G650" s="11">
        <v>0</v>
      </c>
      <c r="H650" s="11">
        <v>0</v>
      </c>
      <c r="I650" s="11">
        <v>-0.01</v>
      </c>
      <c r="J650" s="11">
        <v>0.01</v>
      </c>
      <c r="K650" s="12">
        <v>0</v>
      </c>
      <c r="L650" s="9" t="s">
        <v>126</v>
      </c>
      <c r="M650" s="9" t="s">
        <v>65</v>
      </c>
      <c r="N650" s="9" t="s">
        <v>126</v>
      </c>
      <c r="O650" s="9">
        <v>0</v>
      </c>
    </row>
    <row r="651" spans="1:15" x14ac:dyDescent="0.2">
      <c r="A651" s="9" t="s">
        <v>769</v>
      </c>
      <c r="B651" s="10">
        <v>45888</v>
      </c>
      <c r="C651" s="9" t="s">
        <v>169</v>
      </c>
      <c r="D651" s="9" t="s">
        <v>47</v>
      </c>
      <c r="E651" s="9" t="s">
        <v>227</v>
      </c>
      <c r="F651" s="11">
        <v>48488.94</v>
      </c>
      <c r="G651" s="11">
        <v>0</v>
      </c>
      <c r="H651" s="11">
        <v>48488.94</v>
      </c>
      <c r="I651" s="11">
        <v>36303.370000000003</v>
      </c>
      <c r="J651" s="11">
        <v>12185.57</v>
      </c>
      <c r="K651" s="12">
        <v>0.25130617</v>
      </c>
      <c r="L651" s="9" t="s">
        <v>126</v>
      </c>
      <c r="M651" s="9" t="s">
        <v>65</v>
      </c>
      <c r="N651" s="9" t="s">
        <v>126</v>
      </c>
      <c r="O651" s="9">
        <v>1</v>
      </c>
    </row>
    <row r="652" spans="1:15" x14ac:dyDescent="0.2">
      <c r="A652" s="9" t="s">
        <v>768</v>
      </c>
      <c r="B652" s="10">
        <v>45890</v>
      </c>
      <c r="C652" s="9" t="s">
        <v>169</v>
      </c>
      <c r="D652" s="9" t="s">
        <v>47</v>
      </c>
      <c r="E652" s="9" t="s">
        <v>227</v>
      </c>
      <c r="F652" s="11">
        <v>0</v>
      </c>
      <c r="G652" s="11">
        <v>0</v>
      </c>
      <c r="H652" s="11">
        <v>0</v>
      </c>
      <c r="I652" s="11">
        <v>92.92</v>
      </c>
      <c r="J652" s="11">
        <v>-92.92</v>
      </c>
      <c r="K652" s="12">
        <v>0</v>
      </c>
      <c r="L652" s="9" t="s">
        <v>126</v>
      </c>
      <c r="M652" s="9" t="s">
        <v>65</v>
      </c>
      <c r="N652" s="9" t="s">
        <v>126</v>
      </c>
      <c r="O652" s="9">
        <v>0</v>
      </c>
    </row>
    <row r="653" spans="1:15" x14ac:dyDescent="0.2">
      <c r="A653" s="9" t="s">
        <v>769</v>
      </c>
      <c r="B653" s="10">
        <v>45890</v>
      </c>
      <c r="C653" s="9" t="s">
        <v>169</v>
      </c>
      <c r="D653" s="9" t="s">
        <v>47</v>
      </c>
      <c r="E653" s="9" t="s">
        <v>227</v>
      </c>
      <c r="F653" s="11">
        <v>0</v>
      </c>
      <c r="G653" s="11">
        <v>0</v>
      </c>
      <c r="H653" s="11">
        <v>0</v>
      </c>
      <c r="I653" s="11">
        <v>92.92</v>
      </c>
      <c r="J653" s="11">
        <v>-92.92</v>
      </c>
      <c r="K653" s="12">
        <v>0</v>
      </c>
      <c r="L653" s="9" t="s">
        <v>126</v>
      </c>
      <c r="M653" s="9" t="s">
        <v>65</v>
      </c>
      <c r="N653" s="9" t="s">
        <v>126</v>
      </c>
      <c r="O653" s="9">
        <v>0</v>
      </c>
    </row>
    <row r="654" spans="1:15" x14ac:dyDescent="0.2">
      <c r="A654" s="9" t="s">
        <v>770</v>
      </c>
      <c r="B654" s="10">
        <v>45892</v>
      </c>
      <c r="C654" s="9" t="s">
        <v>169</v>
      </c>
      <c r="D654" s="9" t="s">
        <v>47</v>
      </c>
      <c r="E654" s="9" t="s">
        <v>227</v>
      </c>
      <c r="F654" s="11">
        <v>22189.599999999999</v>
      </c>
      <c r="G654" s="11">
        <v>0</v>
      </c>
      <c r="H654" s="11">
        <v>22189.599999999999</v>
      </c>
      <c r="I654" s="11">
        <v>16152.44</v>
      </c>
      <c r="J654" s="11">
        <v>6037.16</v>
      </c>
      <c r="K654" s="12">
        <v>0.27207160000000002</v>
      </c>
      <c r="L654" s="9" t="s">
        <v>126</v>
      </c>
      <c r="M654" s="9" t="s">
        <v>65</v>
      </c>
      <c r="N654" s="9" t="s">
        <v>126</v>
      </c>
      <c r="O654" s="9">
        <v>1</v>
      </c>
    </row>
    <row r="655" spans="1:15" x14ac:dyDescent="0.2">
      <c r="A655" s="9" t="s">
        <v>770</v>
      </c>
      <c r="B655" s="10">
        <v>45894</v>
      </c>
      <c r="C655" s="9" t="s">
        <v>169</v>
      </c>
      <c r="D655" s="9" t="s">
        <v>47</v>
      </c>
      <c r="E655" s="9" t="s">
        <v>227</v>
      </c>
      <c r="F655" s="11">
        <v>602</v>
      </c>
      <c r="G655" s="11">
        <v>7432</v>
      </c>
      <c r="H655" s="11">
        <v>8034</v>
      </c>
      <c r="I655" s="11">
        <v>6024.94</v>
      </c>
      <c r="J655" s="11">
        <v>2009.06</v>
      </c>
      <c r="K655" s="12">
        <v>0.25006970000000001</v>
      </c>
      <c r="L655" s="9" t="s">
        <v>126</v>
      </c>
      <c r="M655" s="9" t="s">
        <v>65</v>
      </c>
      <c r="N655" s="9" t="s">
        <v>126</v>
      </c>
      <c r="O655" s="9">
        <v>1</v>
      </c>
    </row>
    <row r="656" spans="1:15" x14ac:dyDescent="0.2">
      <c r="A656" s="9" t="s">
        <v>770</v>
      </c>
      <c r="B656" s="10">
        <v>45897</v>
      </c>
      <c r="C656" s="9" t="s">
        <v>169</v>
      </c>
      <c r="D656" s="9" t="s">
        <v>47</v>
      </c>
      <c r="E656" s="9" t="s">
        <v>227</v>
      </c>
      <c r="F656" s="11">
        <v>0</v>
      </c>
      <c r="G656" s="11">
        <v>0</v>
      </c>
      <c r="H656" s="11">
        <v>0</v>
      </c>
      <c r="I656" s="11">
        <v>270.73</v>
      </c>
      <c r="J656" s="11">
        <v>-270.73</v>
      </c>
      <c r="K656" s="12">
        <v>0</v>
      </c>
      <c r="L656" s="9" t="s">
        <v>126</v>
      </c>
      <c r="M656" s="9" t="s">
        <v>65</v>
      </c>
      <c r="N656" s="9" t="s">
        <v>126</v>
      </c>
      <c r="O656" s="9">
        <v>0</v>
      </c>
    </row>
    <row r="657" spans="1:15" x14ac:dyDescent="0.2">
      <c r="A657" s="9" t="s">
        <v>771</v>
      </c>
      <c r="B657" s="10">
        <v>45881</v>
      </c>
      <c r="C657" s="9" t="s">
        <v>772</v>
      </c>
      <c r="D657" s="9" t="s">
        <v>15</v>
      </c>
      <c r="E657" s="9" t="s">
        <v>227</v>
      </c>
      <c r="F657" s="11">
        <v>1542.83</v>
      </c>
      <c r="G657" s="11">
        <v>0</v>
      </c>
      <c r="H657" s="11">
        <v>1542.83</v>
      </c>
      <c r="I657" s="11">
        <v>0</v>
      </c>
      <c r="J657" s="11">
        <v>1542.83</v>
      </c>
      <c r="K657" s="12">
        <v>1</v>
      </c>
      <c r="L657" s="9" t="s">
        <v>152</v>
      </c>
      <c r="M657" s="9" t="s">
        <v>15</v>
      </c>
      <c r="N657" s="9" t="s">
        <v>152</v>
      </c>
      <c r="O657" s="9">
        <v>1</v>
      </c>
    </row>
    <row r="658" spans="1:15" x14ac:dyDescent="0.2">
      <c r="A658" s="9" t="s">
        <v>773</v>
      </c>
      <c r="B658" s="10">
        <v>45888</v>
      </c>
      <c r="C658" s="9" t="s">
        <v>772</v>
      </c>
      <c r="D658" s="9" t="s">
        <v>15</v>
      </c>
      <c r="E658" s="9" t="s">
        <v>227</v>
      </c>
      <c r="F658" s="11">
        <v>0</v>
      </c>
      <c r="G658" s="11">
        <v>0</v>
      </c>
      <c r="H658" s="11">
        <v>0</v>
      </c>
      <c r="I658" s="11">
        <v>-112.5</v>
      </c>
      <c r="J658" s="11">
        <v>112.5</v>
      </c>
      <c r="K658" s="12">
        <v>0</v>
      </c>
      <c r="L658" s="9" t="s">
        <v>152</v>
      </c>
      <c r="M658" s="9" t="s">
        <v>15</v>
      </c>
      <c r="N658" s="9" t="s">
        <v>152</v>
      </c>
      <c r="O658" s="9">
        <v>0</v>
      </c>
    </row>
    <row r="659" spans="1:15" x14ac:dyDescent="0.2">
      <c r="A659" s="9" t="s">
        <v>774</v>
      </c>
      <c r="B659" s="10">
        <v>45897</v>
      </c>
      <c r="C659" s="9" t="s">
        <v>772</v>
      </c>
      <c r="D659" s="9" t="s">
        <v>15</v>
      </c>
      <c r="E659" s="9" t="s">
        <v>227</v>
      </c>
      <c r="F659" s="11">
        <v>3320.04</v>
      </c>
      <c r="G659" s="11">
        <v>0</v>
      </c>
      <c r="H659" s="11">
        <v>3320.04</v>
      </c>
      <c r="I659" s="11">
        <v>2480.02</v>
      </c>
      <c r="J659" s="11">
        <v>840.02</v>
      </c>
      <c r="K659" s="12">
        <v>0.25301501999999998</v>
      </c>
      <c r="L659" s="9" t="s">
        <v>152</v>
      </c>
      <c r="M659" s="9" t="s">
        <v>15</v>
      </c>
      <c r="N659" s="9" t="s">
        <v>152</v>
      </c>
      <c r="O659" s="9">
        <v>1</v>
      </c>
    </row>
    <row r="660" spans="1:15" x14ac:dyDescent="0.2">
      <c r="A660" s="9" t="s">
        <v>774</v>
      </c>
      <c r="B660" s="10">
        <v>45898</v>
      </c>
      <c r="C660" s="9" t="s">
        <v>772</v>
      </c>
      <c r="D660" s="9" t="s">
        <v>15</v>
      </c>
      <c r="E660" s="9" t="s">
        <v>227</v>
      </c>
      <c r="F660" s="11">
        <v>0</v>
      </c>
      <c r="G660" s="11">
        <v>0</v>
      </c>
      <c r="H660" s="11">
        <v>0</v>
      </c>
      <c r="I660" s="11">
        <v>36.9</v>
      </c>
      <c r="J660" s="11">
        <v>-36.9</v>
      </c>
      <c r="K660" s="12">
        <v>0</v>
      </c>
      <c r="L660" s="9" t="s">
        <v>152</v>
      </c>
      <c r="M660" s="9" t="s">
        <v>15</v>
      </c>
      <c r="N660" s="9" t="s">
        <v>152</v>
      </c>
      <c r="O660" s="9">
        <v>0</v>
      </c>
    </row>
    <row r="661" spans="1:15" x14ac:dyDescent="0.2">
      <c r="A661" s="9" t="s">
        <v>775</v>
      </c>
      <c r="B661" s="10">
        <v>45874</v>
      </c>
      <c r="C661" s="9" t="s">
        <v>776</v>
      </c>
      <c r="D661" s="9" t="s">
        <v>46</v>
      </c>
      <c r="E661" s="9" t="s">
        <v>192</v>
      </c>
      <c r="F661" s="11">
        <v>550.73</v>
      </c>
      <c r="G661" s="11">
        <v>0</v>
      </c>
      <c r="H661" s="11">
        <v>550.73</v>
      </c>
      <c r="I661" s="11">
        <v>382</v>
      </c>
      <c r="J661" s="11">
        <v>168.73</v>
      </c>
      <c r="K661" s="12">
        <v>0.30637516999999997</v>
      </c>
      <c r="L661" s="9" t="s">
        <v>131</v>
      </c>
      <c r="M661" s="9" t="s">
        <v>46</v>
      </c>
      <c r="N661" s="9" t="s">
        <v>131</v>
      </c>
      <c r="O661" s="9">
        <v>1</v>
      </c>
    </row>
    <row r="662" spans="1:15" x14ac:dyDescent="0.2">
      <c r="A662" s="9" t="s">
        <v>777</v>
      </c>
      <c r="B662" s="10">
        <v>45870</v>
      </c>
      <c r="C662" s="9" t="s">
        <v>778</v>
      </c>
      <c r="D662" s="9" t="s">
        <v>46</v>
      </c>
      <c r="E662" s="9" t="s">
        <v>192</v>
      </c>
      <c r="F662" s="11">
        <v>0</v>
      </c>
      <c r="G662" s="11">
        <v>-335</v>
      </c>
      <c r="H662" s="11">
        <v>-335</v>
      </c>
      <c r="I662" s="11">
        <v>-300</v>
      </c>
      <c r="J662" s="11">
        <v>-35</v>
      </c>
      <c r="K662" s="12">
        <v>0.10447761</v>
      </c>
      <c r="L662" s="9" t="s">
        <v>257</v>
      </c>
      <c r="M662" s="9" t="s">
        <v>46</v>
      </c>
      <c r="N662" s="9" t="s">
        <v>257</v>
      </c>
      <c r="O662" s="9">
        <v>0</v>
      </c>
    </row>
    <row r="663" spans="1:15" x14ac:dyDescent="0.2">
      <c r="A663" s="9" t="s">
        <v>779</v>
      </c>
      <c r="B663" s="10">
        <v>45887</v>
      </c>
      <c r="C663" s="9" t="s">
        <v>778</v>
      </c>
      <c r="D663" s="9" t="s">
        <v>198</v>
      </c>
      <c r="E663" s="9" t="s">
        <v>192</v>
      </c>
      <c r="F663" s="11">
        <v>200</v>
      </c>
      <c r="G663" s="11">
        <v>0</v>
      </c>
      <c r="H663" s="11">
        <v>200</v>
      </c>
      <c r="I663" s="11">
        <v>638.25</v>
      </c>
      <c r="J663" s="11">
        <v>-438.25</v>
      </c>
      <c r="K663" s="12">
        <v>-2.1912500000000001</v>
      </c>
      <c r="L663" s="9" t="s">
        <v>257</v>
      </c>
      <c r="M663" s="9" t="s">
        <v>65</v>
      </c>
      <c r="N663" s="9" t="s">
        <v>257</v>
      </c>
      <c r="O663" s="9">
        <v>1</v>
      </c>
    </row>
    <row r="664" spans="1:15" x14ac:dyDescent="0.2">
      <c r="A664" s="9" t="s">
        <v>780</v>
      </c>
      <c r="B664" s="10">
        <v>45873</v>
      </c>
      <c r="C664" s="9" t="s">
        <v>781</v>
      </c>
      <c r="D664" s="9" t="s">
        <v>19</v>
      </c>
      <c r="E664" s="9" t="s">
        <v>192</v>
      </c>
      <c r="F664" s="11">
        <v>0</v>
      </c>
      <c r="G664" s="11">
        <v>0</v>
      </c>
      <c r="H664" s="11">
        <v>0</v>
      </c>
      <c r="I664" s="11">
        <v>-19.52</v>
      </c>
      <c r="J664" s="11">
        <v>19.52</v>
      </c>
      <c r="K664" s="12">
        <v>0</v>
      </c>
      <c r="L664" s="9" t="s">
        <v>73</v>
      </c>
      <c r="M664" s="9" t="s">
        <v>19</v>
      </c>
      <c r="N664" s="9" t="s">
        <v>73</v>
      </c>
      <c r="O664" s="9">
        <v>0</v>
      </c>
    </row>
    <row r="665" spans="1:15" x14ac:dyDescent="0.2">
      <c r="A665" s="9" t="s">
        <v>782</v>
      </c>
      <c r="B665" s="10">
        <v>45881</v>
      </c>
      <c r="C665" s="9" t="s">
        <v>781</v>
      </c>
      <c r="D665" s="9" t="s">
        <v>19</v>
      </c>
      <c r="E665" s="9" t="s">
        <v>192</v>
      </c>
      <c r="F665" s="11">
        <v>48275</v>
      </c>
      <c r="G665" s="11">
        <v>0</v>
      </c>
      <c r="H665" s="11">
        <v>48275</v>
      </c>
      <c r="I665" s="11">
        <v>33879.56</v>
      </c>
      <c r="J665" s="11">
        <v>14395.44</v>
      </c>
      <c r="K665" s="12">
        <v>0.29819657999999999</v>
      </c>
      <c r="L665" s="9" t="s">
        <v>73</v>
      </c>
      <c r="M665" s="9" t="s">
        <v>19</v>
      </c>
      <c r="N665" s="9" t="s">
        <v>73</v>
      </c>
      <c r="O665" s="9">
        <v>1</v>
      </c>
    </row>
    <row r="666" spans="1:15" x14ac:dyDescent="0.2">
      <c r="A666" s="9" t="s">
        <v>783</v>
      </c>
      <c r="B666" s="10">
        <v>45881</v>
      </c>
      <c r="C666" s="9" t="s">
        <v>781</v>
      </c>
      <c r="D666" s="9" t="s">
        <v>19</v>
      </c>
      <c r="E666" s="9" t="s">
        <v>192</v>
      </c>
      <c r="F666" s="11">
        <v>7008</v>
      </c>
      <c r="G666" s="11">
        <v>0</v>
      </c>
      <c r="H666" s="11">
        <v>7008</v>
      </c>
      <c r="I666" s="11">
        <v>5007.05</v>
      </c>
      <c r="J666" s="11">
        <v>2000.95</v>
      </c>
      <c r="K666" s="12">
        <v>0.28552369</v>
      </c>
      <c r="L666" s="9" t="s">
        <v>73</v>
      </c>
      <c r="M666" s="9" t="s">
        <v>19</v>
      </c>
      <c r="N666" s="9" t="s">
        <v>73</v>
      </c>
      <c r="O666" s="9">
        <v>1</v>
      </c>
    </row>
    <row r="667" spans="1:15" x14ac:dyDescent="0.2">
      <c r="A667" s="9" t="s">
        <v>780</v>
      </c>
      <c r="B667" s="10">
        <v>45888</v>
      </c>
      <c r="C667" s="9" t="s">
        <v>781</v>
      </c>
      <c r="D667" s="9" t="s">
        <v>19</v>
      </c>
      <c r="E667" s="9" t="s">
        <v>192</v>
      </c>
      <c r="F667" s="11">
        <v>0</v>
      </c>
      <c r="G667" s="11">
        <v>0</v>
      </c>
      <c r="H667" s="11">
        <v>0</v>
      </c>
      <c r="I667" s="11">
        <v>98.38</v>
      </c>
      <c r="J667" s="11">
        <v>-98.38</v>
      </c>
      <c r="K667" s="12">
        <v>0</v>
      </c>
      <c r="L667" s="9" t="s">
        <v>73</v>
      </c>
      <c r="M667" s="9" t="s">
        <v>19</v>
      </c>
      <c r="N667" s="9" t="s">
        <v>73</v>
      </c>
      <c r="O667" s="9">
        <v>0</v>
      </c>
    </row>
    <row r="668" spans="1:15" x14ac:dyDescent="0.2">
      <c r="A668" s="9" t="s">
        <v>780</v>
      </c>
      <c r="B668" s="10">
        <v>45891</v>
      </c>
      <c r="C668" s="9" t="s">
        <v>781</v>
      </c>
      <c r="D668" s="9" t="s">
        <v>19</v>
      </c>
      <c r="E668" s="9" t="s">
        <v>192</v>
      </c>
      <c r="F668" s="11">
        <v>0</v>
      </c>
      <c r="G668" s="11">
        <v>0</v>
      </c>
      <c r="H668" s="11">
        <v>0</v>
      </c>
      <c r="I668" s="11">
        <v>-0.01</v>
      </c>
      <c r="J668" s="11">
        <v>0.01</v>
      </c>
      <c r="K668" s="12">
        <v>0</v>
      </c>
      <c r="L668" s="9" t="s">
        <v>73</v>
      </c>
      <c r="M668" s="9" t="s">
        <v>19</v>
      </c>
      <c r="N668" s="9" t="s">
        <v>73</v>
      </c>
      <c r="O668" s="9">
        <v>0</v>
      </c>
    </row>
    <row r="669" spans="1:15" x14ac:dyDescent="0.2">
      <c r="A669" s="9" t="s">
        <v>784</v>
      </c>
      <c r="B669" s="10">
        <v>45898</v>
      </c>
      <c r="C669" s="9" t="s">
        <v>785</v>
      </c>
      <c r="D669" s="9" t="s">
        <v>198</v>
      </c>
      <c r="E669" s="9" t="s">
        <v>227</v>
      </c>
      <c r="F669" s="11">
        <v>0</v>
      </c>
      <c r="G669" s="11">
        <v>0</v>
      </c>
      <c r="H669" s="11">
        <v>0</v>
      </c>
      <c r="I669" s="11">
        <v>289.8</v>
      </c>
      <c r="J669" s="11">
        <v>-289.8</v>
      </c>
      <c r="K669" s="12">
        <v>0</v>
      </c>
      <c r="L669" s="9" t="s">
        <v>18</v>
      </c>
      <c r="M669" s="9" t="s">
        <v>65</v>
      </c>
      <c r="N669" s="9" t="s">
        <v>18</v>
      </c>
      <c r="O669" s="9">
        <v>0</v>
      </c>
    </row>
    <row r="670" spans="1:15" x14ac:dyDescent="0.2">
      <c r="A670" s="9" t="s">
        <v>786</v>
      </c>
      <c r="B670" s="10">
        <v>45896</v>
      </c>
      <c r="C670" s="9" t="s">
        <v>787</v>
      </c>
      <c r="D670" s="9" t="s">
        <v>65</v>
      </c>
      <c r="E670" s="9" t="s">
        <v>227</v>
      </c>
      <c r="F670" s="11">
        <v>19.86</v>
      </c>
      <c r="G670" s="11">
        <v>0</v>
      </c>
      <c r="H670" s="11">
        <v>19.86</v>
      </c>
      <c r="I670" s="11">
        <v>13.9</v>
      </c>
      <c r="J670" s="11">
        <v>5.96</v>
      </c>
      <c r="K670" s="12">
        <v>0.3001007</v>
      </c>
      <c r="L670" s="9" t="s">
        <v>152</v>
      </c>
      <c r="M670" s="9" t="s">
        <v>65</v>
      </c>
      <c r="N670" s="9" t="s">
        <v>152</v>
      </c>
      <c r="O670" s="9">
        <v>1</v>
      </c>
    </row>
    <row r="671" spans="1:15" x14ac:dyDescent="0.2">
      <c r="A671" s="9" t="s">
        <v>786</v>
      </c>
      <c r="B671" s="10">
        <v>45897</v>
      </c>
      <c r="C671" s="9" t="s">
        <v>787</v>
      </c>
      <c r="D671" s="9" t="s">
        <v>65</v>
      </c>
      <c r="E671" s="9" t="s">
        <v>227</v>
      </c>
      <c r="F671" s="11">
        <v>0</v>
      </c>
      <c r="G671" s="11">
        <v>0</v>
      </c>
      <c r="H671" s="11">
        <v>0</v>
      </c>
      <c r="I671" s="11">
        <v>0.38</v>
      </c>
      <c r="J671" s="11">
        <v>-0.38</v>
      </c>
      <c r="K671" s="12">
        <v>0</v>
      </c>
      <c r="L671" s="9" t="s">
        <v>152</v>
      </c>
      <c r="M671" s="9" t="s">
        <v>65</v>
      </c>
      <c r="N671" s="9" t="s">
        <v>152</v>
      </c>
      <c r="O671" s="9">
        <v>0</v>
      </c>
    </row>
    <row r="672" spans="1:15" x14ac:dyDescent="0.2">
      <c r="A672" s="9" t="s">
        <v>788</v>
      </c>
      <c r="B672" s="10">
        <v>45895</v>
      </c>
      <c r="C672" s="9" t="s">
        <v>789</v>
      </c>
      <c r="D672" s="9" t="s">
        <v>48</v>
      </c>
      <c r="E672" s="9" t="s">
        <v>192</v>
      </c>
      <c r="F672" s="11">
        <v>326.24</v>
      </c>
      <c r="G672" s="11">
        <v>0</v>
      </c>
      <c r="H672" s="11">
        <v>326.24</v>
      </c>
      <c r="I672" s="11">
        <v>162.80000000000001</v>
      </c>
      <c r="J672" s="11">
        <v>163.44</v>
      </c>
      <c r="K672" s="12">
        <v>0.50098087000000002</v>
      </c>
      <c r="L672" s="9" t="s">
        <v>333</v>
      </c>
      <c r="M672" s="9" t="s">
        <v>48</v>
      </c>
      <c r="N672" s="9" t="s">
        <v>333</v>
      </c>
      <c r="O672" s="9">
        <v>1</v>
      </c>
    </row>
    <row r="673" spans="1:15" x14ac:dyDescent="0.2">
      <c r="A673" s="9" t="s">
        <v>790</v>
      </c>
      <c r="B673" s="10">
        <v>45875</v>
      </c>
      <c r="C673" s="9" t="s">
        <v>791</v>
      </c>
      <c r="D673" s="9" t="s">
        <v>268</v>
      </c>
      <c r="E673" s="9" t="s">
        <v>199</v>
      </c>
      <c r="F673" s="11">
        <v>0</v>
      </c>
      <c r="G673" s="11">
        <v>0</v>
      </c>
      <c r="H673" s="11">
        <v>0</v>
      </c>
      <c r="I673" s="11">
        <v>1468.27</v>
      </c>
      <c r="J673" s="11">
        <v>-1468.27</v>
      </c>
      <c r="K673" s="12">
        <v>0</v>
      </c>
      <c r="L673" s="9" t="s">
        <v>43</v>
      </c>
      <c r="M673" s="9" t="s">
        <v>268</v>
      </c>
      <c r="N673" s="9" t="s">
        <v>43</v>
      </c>
      <c r="O673" s="9">
        <v>0</v>
      </c>
    </row>
    <row r="674" spans="1:15" x14ac:dyDescent="0.2">
      <c r="A674" s="9" t="s">
        <v>792</v>
      </c>
      <c r="B674" s="10">
        <v>45880</v>
      </c>
      <c r="C674" s="9" t="s">
        <v>791</v>
      </c>
      <c r="D674" s="9" t="s">
        <v>268</v>
      </c>
      <c r="E674" s="9" t="s">
        <v>199</v>
      </c>
      <c r="F674" s="11">
        <v>0</v>
      </c>
      <c r="G674" s="11">
        <v>0</v>
      </c>
      <c r="H674" s="11">
        <v>0</v>
      </c>
      <c r="I674" s="11">
        <v>6316.95</v>
      </c>
      <c r="J674" s="11">
        <v>-6316.95</v>
      </c>
      <c r="K674" s="12">
        <v>0</v>
      </c>
      <c r="L674" s="9" t="s">
        <v>43</v>
      </c>
      <c r="M674" s="9" t="s">
        <v>268</v>
      </c>
      <c r="N674" s="9" t="s">
        <v>43</v>
      </c>
      <c r="O674" s="9">
        <v>0</v>
      </c>
    </row>
    <row r="675" spans="1:15" x14ac:dyDescent="0.2">
      <c r="A675" s="9" t="s">
        <v>793</v>
      </c>
      <c r="B675" s="10">
        <v>45884</v>
      </c>
      <c r="C675" s="9" t="s">
        <v>791</v>
      </c>
      <c r="D675" s="9" t="s">
        <v>268</v>
      </c>
      <c r="E675" s="9" t="s">
        <v>199</v>
      </c>
      <c r="F675" s="11">
        <v>3469.06</v>
      </c>
      <c r="G675" s="11">
        <v>0</v>
      </c>
      <c r="H675" s="11">
        <v>3469.06</v>
      </c>
      <c r="I675" s="11">
        <v>2775.17</v>
      </c>
      <c r="J675" s="11">
        <v>693.89</v>
      </c>
      <c r="K675" s="12">
        <v>0.20002248</v>
      </c>
      <c r="L675" s="9" t="s">
        <v>43</v>
      </c>
      <c r="M675" s="9" t="s">
        <v>268</v>
      </c>
      <c r="N675" s="9" t="s">
        <v>43</v>
      </c>
      <c r="O675" s="9">
        <v>1</v>
      </c>
    </row>
    <row r="676" spans="1:15" x14ac:dyDescent="0.2">
      <c r="A676" s="9" t="s">
        <v>793</v>
      </c>
      <c r="B676" s="10">
        <v>45888</v>
      </c>
      <c r="C676" s="9" t="s">
        <v>791</v>
      </c>
      <c r="D676" s="9" t="s">
        <v>268</v>
      </c>
      <c r="E676" s="9" t="s">
        <v>199</v>
      </c>
      <c r="F676" s="11">
        <v>0</v>
      </c>
      <c r="G676" s="11">
        <v>0</v>
      </c>
      <c r="H676" s="11">
        <v>0</v>
      </c>
      <c r="I676" s="11">
        <v>175.74</v>
      </c>
      <c r="J676" s="11">
        <v>-175.74</v>
      </c>
      <c r="K676" s="12">
        <v>0</v>
      </c>
      <c r="L676" s="9" t="s">
        <v>43</v>
      </c>
      <c r="M676" s="9" t="s">
        <v>268</v>
      </c>
      <c r="N676" s="9" t="s">
        <v>43</v>
      </c>
      <c r="O676" s="9">
        <v>0</v>
      </c>
    </row>
    <row r="677" spans="1:15" x14ac:dyDescent="0.2">
      <c r="A677" s="9" t="s">
        <v>793</v>
      </c>
      <c r="B677" s="10">
        <v>45890</v>
      </c>
      <c r="C677" s="9" t="s">
        <v>791</v>
      </c>
      <c r="D677" s="9" t="s">
        <v>268</v>
      </c>
      <c r="E677" s="9" t="s">
        <v>199</v>
      </c>
      <c r="F677" s="11">
        <v>0</v>
      </c>
      <c r="G677" s="11">
        <v>0</v>
      </c>
      <c r="H677" s="11">
        <v>0</v>
      </c>
      <c r="I677" s="11">
        <v>-68.599999999999994</v>
      </c>
      <c r="J677" s="11">
        <v>68.599999999999994</v>
      </c>
      <c r="K677" s="12">
        <v>0</v>
      </c>
      <c r="L677" s="9" t="s">
        <v>43</v>
      </c>
      <c r="M677" s="9" t="s">
        <v>268</v>
      </c>
      <c r="N677" s="9" t="s">
        <v>43</v>
      </c>
      <c r="O677" s="9">
        <v>0</v>
      </c>
    </row>
    <row r="678" spans="1:15" x14ac:dyDescent="0.2">
      <c r="A678" s="9" t="s">
        <v>794</v>
      </c>
      <c r="B678" s="10">
        <v>45896</v>
      </c>
      <c r="C678" s="9" t="s">
        <v>791</v>
      </c>
      <c r="D678" s="9" t="s">
        <v>268</v>
      </c>
      <c r="E678" s="9" t="s">
        <v>199</v>
      </c>
      <c r="F678" s="11">
        <v>765.91</v>
      </c>
      <c r="G678" s="11">
        <v>0</v>
      </c>
      <c r="H678" s="11">
        <v>765.91</v>
      </c>
      <c r="I678" s="11">
        <v>0</v>
      </c>
      <c r="J678" s="11">
        <v>765.91</v>
      </c>
      <c r="K678" s="12">
        <v>1</v>
      </c>
      <c r="L678" s="9" t="s">
        <v>43</v>
      </c>
      <c r="M678" s="9" t="s">
        <v>268</v>
      </c>
      <c r="N678" s="9" t="s">
        <v>43</v>
      </c>
      <c r="O678" s="9">
        <v>1</v>
      </c>
    </row>
    <row r="679" spans="1:15" x14ac:dyDescent="0.2">
      <c r="A679" s="9" t="s">
        <v>795</v>
      </c>
      <c r="B679" s="10">
        <v>45895</v>
      </c>
      <c r="C679" s="9" t="s">
        <v>796</v>
      </c>
      <c r="D679" s="9" t="s">
        <v>65</v>
      </c>
      <c r="E679" s="9" t="s">
        <v>227</v>
      </c>
      <c r="F679" s="11">
        <v>3976.74</v>
      </c>
      <c r="G679" s="11">
        <v>0</v>
      </c>
      <c r="H679" s="11">
        <v>3976.74</v>
      </c>
      <c r="I679" s="11">
        <v>3380.01</v>
      </c>
      <c r="J679" s="11">
        <v>596.73</v>
      </c>
      <c r="K679" s="12">
        <v>0.15005507000000001</v>
      </c>
      <c r="L679" s="9" t="s">
        <v>52</v>
      </c>
      <c r="M679" s="9" t="s">
        <v>65</v>
      </c>
      <c r="N679" s="9" t="s">
        <v>52</v>
      </c>
      <c r="O679" s="9">
        <v>1</v>
      </c>
    </row>
    <row r="680" spans="1:15" x14ac:dyDescent="0.2">
      <c r="A680" s="9" t="s">
        <v>795</v>
      </c>
      <c r="B680" s="10">
        <v>45896</v>
      </c>
      <c r="C680" s="9" t="s">
        <v>796</v>
      </c>
      <c r="D680" s="9" t="s">
        <v>65</v>
      </c>
      <c r="E680" s="9" t="s">
        <v>227</v>
      </c>
      <c r="F680" s="11">
        <v>0</v>
      </c>
      <c r="G680" s="11">
        <v>0</v>
      </c>
      <c r="H680" s="11">
        <v>0</v>
      </c>
      <c r="I680" s="11">
        <v>-0.01</v>
      </c>
      <c r="J680" s="11">
        <v>0.01</v>
      </c>
      <c r="K680" s="12">
        <v>0</v>
      </c>
      <c r="L680" s="9" t="s">
        <v>52</v>
      </c>
      <c r="M680" s="9" t="s">
        <v>65</v>
      </c>
      <c r="N680" s="9" t="s">
        <v>52</v>
      </c>
      <c r="O680" s="9">
        <v>0</v>
      </c>
    </row>
    <row r="681" spans="1:15" x14ac:dyDescent="0.2">
      <c r="A681" s="9" t="s">
        <v>797</v>
      </c>
      <c r="B681" s="10">
        <v>45870</v>
      </c>
      <c r="C681" s="9" t="s">
        <v>798</v>
      </c>
      <c r="D681" s="9" t="s">
        <v>46</v>
      </c>
      <c r="E681" s="9" t="s">
        <v>192</v>
      </c>
      <c r="F681" s="11">
        <v>0</v>
      </c>
      <c r="G681" s="11">
        <v>0</v>
      </c>
      <c r="H681" s="11">
        <v>0</v>
      </c>
      <c r="I681" s="11">
        <v>-333.25</v>
      </c>
      <c r="J681" s="11">
        <v>333.25</v>
      </c>
      <c r="K681" s="12">
        <v>0</v>
      </c>
      <c r="L681" s="9" t="s">
        <v>481</v>
      </c>
      <c r="M681" s="9" t="s">
        <v>46</v>
      </c>
      <c r="N681" s="9" t="s">
        <v>380</v>
      </c>
      <c r="O681" s="9">
        <v>0</v>
      </c>
    </row>
    <row r="682" spans="1:15" x14ac:dyDescent="0.2">
      <c r="A682" s="9" t="s">
        <v>799</v>
      </c>
      <c r="B682" s="10">
        <v>45870</v>
      </c>
      <c r="C682" s="9" t="s">
        <v>798</v>
      </c>
      <c r="D682" s="9" t="s">
        <v>46</v>
      </c>
      <c r="E682" s="9" t="s">
        <v>192</v>
      </c>
      <c r="F682" s="11">
        <v>0</v>
      </c>
      <c r="G682" s="11">
        <v>0</v>
      </c>
      <c r="H682" s="11">
        <v>0</v>
      </c>
      <c r="I682" s="11">
        <v>63.59</v>
      </c>
      <c r="J682" s="11">
        <v>-63.59</v>
      </c>
      <c r="K682" s="12">
        <v>0</v>
      </c>
      <c r="L682" s="9" t="s">
        <v>481</v>
      </c>
      <c r="M682" s="9" t="s">
        <v>46</v>
      </c>
      <c r="N682" s="9" t="s">
        <v>380</v>
      </c>
      <c r="O682" s="9">
        <v>0</v>
      </c>
    </row>
    <row r="683" spans="1:15" x14ac:dyDescent="0.2">
      <c r="A683" s="9" t="s">
        <v>800</v>
      </c>
      <c r="B683" s="10">
        <v>45875</v>
      </c>
      <c r="C683" s="9" t="s">
        <v>798</v>
      </c>
      <c r="D683" s="9" t="s">
        <v>46</v>
      </c>
      <c r="E683" s="9" t="s">
        <v>192</v>
      </c>
      <c r="F683" s="11">
        <v>13850</v>
      </c>
      <c r="G683" s="11">
        <v>0</v>
      </c>
      <c r="H683" s="11">
        <v>13850</v>
      </c>
      <c r="I683" s="11">
        <v>5080</v>
      </c>
      <c r="J683" s="11">
        <v>8770</v>
      </c>
      <c r="K683" s="12">
        <v>0.63321300000000003</v>
      </c>
      <c r="L683" s="9" t="s">
        <v>481</v>
      </c>
      <c r="M683" s="9" t="s">
        <v>46</v>
      </c>
      <c r="N683" s="9" t="s">
        <v>380</v>
      </c>
      <c r="O683" s="9">
        <v>1</v>
      </c>
    </row>
    <row r="684" spans="1:15" x14ac:dyDescent="0.2">
      <c r="A684" s="9" t="s">
        <v>801</v>
      </c>
      <c r="B684" s="10">
        <v>45876</v>
      </c>
      <c r="C684" s="9" t="s">
        <v>798</v>
      </c>
      <c r="D684" s="9" t="s">
        <v>46</v>
      </c>
      <c r="E684" s="9" t="s">
        <v>192</v>
      </c>
      <c r="F684" s="11">
        <v>0</v>
      </c>
      <c r="G684" s="11">
        <v>0</v>
      </c>
      <c r="H684" s="11">
        <v>0</v>
      </c>
      <c r="I684" s="11">
        <v>15.5</v>
      </c>
      <c r="J684" s="11">
        <v>-15.5</v>
      </c>
      <c r="K684" s="12">
        <v>0</v>
      </c>
      <c r="L684" s="9" t="s">
        <v>481</v>
      </c>
      <c r="M684" s="9" t="s">
        <v>46</v>
      </c>
      <c r="N684" s="9" t="s">
        <v>380</v>
      </c>
      <c r="O684" s="9">
        <v>0</v>
      </c>
    </row>
    <row r="685" spans="1:15" x14ac:dyDescent="0.2">
      <c r="A685" s="9" t="s">
        <v>801</v>
      </c>
      <c r="B685" s="10">
        <v>45880</v>
      </c>
      <c r="C685" s="9" t="s">
        <v>798</v>
      </c>
      <c r="D685" s="9" t="s">
        <v>46</v>
      </c>
      <c r="E685" s="9" t="s">
        <v>192</v>
      </c>
      <c r="F685" s="11">
        <v>0</v>
      </c>
      <c r="G685" s="11">
        <v>0</v>
      </c>
      <c r="H685" s="11">
        <v>0</v>
      </c>
      <c r="I685" s="11">
        <v>0.4</v>
      </c>
      <c r="J685" s="11">
        <v>-0.4</v>
      </c>
      <c r="K685" s="12">
        <v>0</v>
      </c>
      <c r="L685" s="9" t="s">
        <v>481</v>
      </c>
      <c r="M685" s="9" t="s">
        <v>46</v>
      </c>
      <c r="N685" s="9" t="s">
        <v>380</v>
      </c>
      <c r="O685" s="9">
        <v>0</v>
      </c>
    </row>
    <row r="686" spans="1:15" x14ac:dyDescent="0.2">
      <c r="A686" s="9" t="s">
        <v>802</v>
      </c>
      <c r="B686" s="10">
        <v>45882</v>
      </c>
      <c r="C686" s="9" t="s">
        <v>798</v>
      </c>
      <c r="D686" s="9" t="s">
        <v>46</v>
      </c>
      <c r="E686" s="9" t="s">
        <v>192</v>
      </c>
      <c r="F686" s="11">
        <v>0</v>
      </c>
      <c r="G686" s="11">
        <v>0</v>
      </c>
      <c r="H686" s="11">
        <v>0</v>
      </c>
      <c r="I686" s="11">
        <v>50.83</v>
      </c>
      <c r="J686" s="11">
        <v>-50.83</v>
      </c>
      <c r="K686" s="12">
        <v>0</v>
      </c>
      <c r="L686" s="9" t="s">
        <v>481</v>
      </c>
      <c r="M686" s="9" t="s">
        <v>46</v>
      </c>
      <c r="N686" s="9" t="s">
        <v>380</v>
      </c>
      <c r="O686" s="9">
        <v>0</v>
      </c>
    </row>
    <row r="687" spans="1:15" x14ac:dyDescent="0.2">
      <c r="A687" s="9" t="s">
        <v>803</v>
      </c>
      <c r="B687" s="10">
        <v>45889</v>
      </c>
      <c r="C687" s="9" t="s">
        <v>798</v>
      </c>
      <c r="D687" s="9" t="s">
        <v>46</v>
      </c>
      <c r="E687" s="9" t="s">
        <v>192</v>
      </c>
      <c r="F687" s="11">
        <v>76203.08</v>
      </c>
      <c r="G687" s="11">
        <v>0</v>
      </c>
      <c r="H687" s="11">
        <v>76203.08</v>
      </c>
      <c r="I687" s="11">
        <v>61413.3</v>
      </c>
      <c r="J687" s="11">
        <v>14789.78</v>
      </c>
      <c r="K687" s="12">
        <v>0.19408375999999999</v>
      </c>
      <c r="L687" s="9" t="s">
        <v>481</v>
      </c>
      <c r="M687" s="9" t="s">
        <v>46</v>
      </c>
      <c r="N687" s="9" t="s">
        <v>380</v>
      </c>
      <c r="O687" s="9">
        <v>1</v>
      </c>
    </row>
    <row r="688" spans="1:15" x14ac:dyDescent="0.2">
      <c r="A688" s="29" t="s">
        <v>804</v>
      </c>
      <c r="B688" s="30">
        <v>45891</v>
      </c>
      <c r="C688" s="29" t="s">
        <v>798</v>
      </c>
      <c r="D688" s="29" t="s">
        <v>46</v>
      </c>
      <c r="E688" s="29" t="s">
        <v>192</v>
      </c>
      <c r="F688" s="31">
        <v>0</v>
      </c>
      <c r="G688" s="31">
        <v>0</v>
      </c>
      <c r="H688" s="31">
        <v>0</v>
      </c>
      <c r="I688" s="31">
        <v>425.08</v>
      </c>
      <c r="J688" s="31">
        <v>-425.08</v>
      </c>
      <c r="K688" s="32">
        <v>0</v>
      </c>
      <c r="L688" s="29" t="s">
        <v>481</v>
      </c>
      <c r="M688" s="33" t="s">
        <v>46</v>
      </c>
      <c r="N688" s="34" t="s">
        <v>380</v>
      </c>
      <c r="O688" s="35">
        <v>0</v>
      </c>
    </row>
    <row r="689" spans="1:15" x14ac:dyDescent="0.2">
      <c r="A689" s="29" t="s">
        <v>805</v>
      </c>
      <c r="B689" s="30">
        <v>45891</v>
      </c>
      <c r="C689" s="29" t="s">
        <v>798</v>
      </c>
      <c r="D689" s="29" t="s">
        <v>46</v>
      </c>
      <c r="E689" s="29" t="s">
        <v>192</v>
      </c>
      <c r="F689" s="31">
        <v>0</v>
      </c>
      <c r="G689" s="31">
        <v>0</v>
      </c>
      <c r="H689" s="31">
        <v>0</v>
      </c>
      <c r="I689" s="31">
        <v>256</v>
      </c>
      <c r="J689" s="31">
        <v>-256</v>
      </c>
      <c r="K689" s="32">
        <v>0</v>
      </c>
      <c r="L689" s="29" t="s">
        <v>481</v>
      </c>
      <c r="M689" s="33" t="s">
        <v>46</v>
      </c>
      <c r="N689" s="34" t="s">
        <v>380</v>
      </c>
      <c r="O689" s="35">
        <v>0</v>
      </c>
    </row>
    <row r="690" spans="1:15" x14ac:dyDescent="0.2">
      <c r="A690" s="29" t="s">
        <v>805</v>
      </c>
      <c r="B690" s="30">
        <v>45897</v>
      </c>
      <c r="C690" s="29" t="s">
        <v>798</v>
      </c>
      <c r="D690" s="29" t="s">
        <v>46</v>
      </c>
      <c r="E690" s="29" t="s">
        <v>192</v>
      </c>
      <c r="F690" s="31">
        <v>0</v>
      </c>
      <c r="G690" s="31">
        <v>0</v>
      </c>
      <c r="H690" s="31">
        <v>0</v>
      </c>
      <c r="I690" s="31">
        <v>19.079999999999998</v>
      </c>
      <c r="J690" s="31">
        <v>-19.079999999999998</v>
      </c>
      <c r="K690" s="32">
        <v>0</v>
      </c>
      <c r="L690" s="29" t="s">
        <v>481</v>
      </c>
      <c r="M690" s="33" t="s">
        <v>46</v>
      </c>
      <c r="N690" s="34" t="s">
        <v>380</v>
      </c>
      <c r="O690" s="35">
        <v>0</v>
      </c>
    </row>
    <row r="691" spans="1:15" x14ac:dyDescent="0.2">
      <c r="A691" s="29" t="s">
        <v>806</v>
      </c>
      <c r="B691" s="30">
        <v>45899</v>
      </c>
      <c r="C691" s="29" t="s">
        <v>798</v>
      </c>
      <c r="D691" s="29" t="s">
        <v>46</v>
      </c>
      <c r="E691" s="29" t="s">
        <v>192</v>
      </c>
      <c r="F691" s="31">
        <v>0</v>
      </c>
      <c r="G691" s="31">
        <v>0</v>
      </c>
      <c r="H691" s="31">
        <v>0</v>
      </c>
      <c r="I691" s="31">
        <v>5523.75</v>
      </c>
      <c r="J691" s="31">
        <v>-5523.75</v>
      </c>
      <c r="K691" s="32">
        <v>0</v>
      </c>
      <c r="L691" s="29" t="s">
        <v>481</v>
      </c>
      <c r="M691" s="33" t="s">
        <v>46</v>
      </c>
      <c r="N691" s="34" t="s">
        <v>380</v>
      </c>
      <c r="O691" s="35">
        <v>0</v>
      </c>
    </row>
    <row r="692" spans="1:15" x14ac:dyDescent="0.2">
      <c r="A692" s="29" t="s">
        <v>807</v>
      </c>
      <c r="B692" s="30">
        <v>45899</v>
      </c>
      <c r="C692" s="29" t="s">
        <v>798</v>
      </c>
      <c r="D692" s="29" t="s">
        <v>46</v>
      </c>
      <c r="E692" s="29" t="s">
        <v>192</v>
      </c>
      <c r="F692" s="31">
        <v>0</v>
      </c>
      <c r="G692" s="31">
        <v>0</v>
      </c>
      <c r="H692" s="31">
        <v>0</v>
      </c>
      <c r="I692" s="31">
        <v>3900</v>
      </c>
      <c r="J692" s="31">
        <v>-3900</v>
      </c>
      <c r="K692" s="32">
        <v>0</v>
      </c>
      <c r="L692" s="29" t="s">
        <v>481</v>
      </c>
      <c r="M692" s="33" t="s">
        <v>46</v>
      </c>
      <c r="N692" s="34" t="s">
        <v>380</v>
      </c>
      <c r="O692" s="35">
        <v>0</v>
      </c>
    </row>
    <row r="693" spans="1:15" x14ac:dyDescent="0.2">
      <c r="A693" s="29" t="s">
        <v>808</v>
      </c>
      <c r="B693" s="30">
        <v>45899</v>
      </c>
      <c r="C693" s="29" t="s">
        <v>798</v>
      </c>
      <c r="D693" s="29" t="s">
        <v>46</v>
      </c>
      <c r="E693" s="29" t="s">
        <v>192</v>
      </c>
      <c r="F693" s="31">
        <v>0</v>
      </c>
      <c r="G693" s="31">
        <v>0</v>
      </c>
      <c r="H693" s="31">
        <v>0</v>
      </c>
      <c r="I693" s="31">
        <v>1500</v>
      </c>
      <c r="J693" s="31">
        <v>-1500</v>
      </c>
      <c r="K693" s="32">
        <v>0</v>
      </c>
      <c r="L693" s="29" t="s">
        <v>481</v>
      </c>
      <c r="M693" s="33" t="s">
        <v>46</v>
      </c>
      <c r="N693" s="34" t="s">
        <v>380</v>
      </c>
      <c r="O693" s="35">
        <v>0</v>
      </c>
    </row>
    <row r="694" spans="1:15" x14ac:dyDescent="0.2">
      <c r="A694" s="29" t="s">
        <v>809</v>
      </c>
      <c r="B694" s="30">
        <v>45899</v>
      </c>
      <c r="C694" s="29" t="s">
        <v>798</v>
      </c>
      <c r="D694" s="29" t="s">
        <v>46</v>
      </c>
      <c r="E694" s="29" t="s">
        <v>192</v>
      </c>
      <c r="F694" s="31">
        <v>0</v>
      </c>
      <c r="G694" s="31">
        <v>0</v>
      </c>
      <c r="H694" s="31">
        <v>0</v>
      </c>
      <c r="I694" s="31">
        <v>1200</v>
      </c>
      <c r="J694" s="31">
        <v>-1200</v>
      </c>
      <c r="K694" s="32">
        <v>0</v>
      </c>
      <c r="L694" s="29" t="s">
        <v>481</v>
      </c>
      <c r="M694" s="33" t="s">
        <v>46</v>
      </c>
      <c r="N694" s="34" t="s">
        <v>380</v>
      </c>
      <c r="O694" s="35">
        <v>0</v>
      </c>
    </row>
    <row r="695" spans="1:15" x14ac:dyDescent="0.2">
      <c r="A695" s="29" t="s">
        <v>810</v>
      </c>
      <c r="B695" s="30">
        <v>45896</v>
      </c>
      <c r="C695" s="29" t="s">
        <v>798</v>
      </c>
      <c r="D695" s="29" t="s">
        <v>46</v>
      </c>
      <c r="E695" s="29" t="s">
        <v>192</v>
      </c>
      <c r="F695" s="31">
        <v>0</v>
      </c>
      <c r="G695" s="31">
        <v>0</v>
      </c>
      <c r="H695" s="31">
        <v>0</v>
      </c>
      <c r="I695" s="31">
        <v>20</v>
      </c>
      <c r="J695" s="31">
        <v>-20</v>
      </c>
      <c r="K695" s="32">
        <v>0</v>
      </c>
      <c r="L695" s="29" t="s">
        <v>811</v>
      </c>
      <c r="M695" s="33" t="s">
        <v>46</v>
      </c>
      <c r="N695" s="34" t="s">
        <v>251</v>
      </c>
      <c r="O695" s="35">
        <v>0</v>
      </c>
    </row>
    <row r="696" spans="1:15" x14ac:dyDescent="0.2">
      <c r="A696" s="29" t="s">
        <v>812</v>
      </c>
      <c r="B696" s="30">
        <v>45870</v>
      </c>
      <c r="C696" s="29" t="s">
        <v>813</v>
      </c>
      <c r="D696" s="29" t="s">
        <v>9</v>
      </c>
      <c r="E696" s="29" t="s">
        <v>227</v>
      </c>
      <c r="F696" s="31">
        <v>0</v>
      </c>
      <c r="G696" s="31">
        <v>0</v>
      </c>
      <c r="H696" s="31">
        <v>0</v>
      </c>
      <c r="I696" s="31">
        <v>7.91</v>
      </c>
      <c r="J696" s="31">
        <v>-7.91</v>
      </c>
      <c r="K696" s="32">
        <v>0</v>
      </c>
      <c r="L696" s="29" t="s">
        <v>122</v>
      </c>
      <c r="M696" s="33" t="s">
        <v>9</v>
      </c>
      <c r="N696" s="34" t="s">
        <v>122</v>
      </c>
      <c r="O696" s="35">
        <v>0</v>
      </c>
    </row>
    <row r="697" spans="1:15" x14ac:dyDescent="0.2">
      <c r="A697" s="29" t="s">
        <v>814</v>
      </c>
      <c r="B697" s="30">
        <v>45875</v>
      </c>
      <c r="C697" s="29" t="s">
        <v>813</v>
      </c>
      <c r="D697" s="29" t="s">
        <v>9</v>
      </c>
      <c r="E697" s="29" t="s">
        <v>227</v>
      </c>
      <c r="F697" s="31">
        <v>0</v>
      </c>
      <c r="G697" s="31">
        <v>0</v>
      </c>
      <c r="H697" s="31">
        <v>0</v>
      </c>
      <c r="I697" s="31">
        <v>-351</v>
      </c>
      <c r="J697" s="31">
        <v>351</v>
      </c>
      <c r="K697" s="32">
        <v>0</v>
      </c>
      <c r="L697" s="29" t="s">
        <v>122</v>
      </c>
      <c r="M697" s="33" t="s">
        <v>9</v>
      </c>
      <c r="N697" s="34" t="s">
        <v>122</v>
      </c>
      <c r="O697" s="35">
        <v>0</v>
      </c>
    </row>
    <row r="698" spans="1:15" x14ac:dyDescent="0.2">
      <c r="A698" s="29" t="s">
        <v>814</v>
      </c>
      <c r="B698" s="30">
        <v>45876</v>
      </c>
      <c r="C698" s="29" t="s">
        <v>813</v>
      </c>
      <c r="D698" s="29" t="s">
        <v>9</v>
      </c>
      <c r="E698" s="29" t="s">
        <v>227</v>
      </c>
      <c r="F698" s="31">
        <v>0</v>
      </c>
      <c r="G698" s="31">
        <v>0</v>
      </c>
      <c r="H698" s="31">
        <v>0</v>
      </c>
      <c r="I698" s="31">
        <v>-140.4</v>
      </c>
      <c r="J698" s="31">
        <v>140.4</v>
      </c>
      <c r="K698" s="32">
        <v>0</v>
      </c>
      <c r="L698" s="29" t="s">
        <v>122</v>
      </c>
      <c r="M698" s="33" t="s">
        <v>9</v>
      </c>
      <c r="N698" s="34" t="s">
        <v>122</v>
      </c>
      <c r="O698" s="35">
        <v>0</v>
      </c>
    </row>
    <row r="699" spans="1:15" x14ac:dyDescent="0.2">
      <c r="A699" s="29" t="s">
        <v>814</v>
      </c>
      <c r="B699" s="30">
        <v>45877</v>
      </c>
      <c r="C699" s="29" t="s">
        <v>813</v>
      </c>
      <c r="D699" s="29" t="s">
        <v>9</v>
      </c>
      <c r="E699" s="29" t="s">
        <v>227</v>
      </c>
      <c r="F699" s="31">
        <v>0</v>
      </c>
      <c r="G699" s="31">
        <v>0</v>
      </c>
      <c r="H699" s="31">
        <v>0</v>
      </c>
      <c r="I699" s="31">
        <v>0</v>
      </c>
      <c r="J699" s="31">
        <v>0</v>
      </c>
      <c r="K699" s="32">
        <v>0</v>
      </c>
      <c r="L699" s="29" t="s">
        <v>122</v>
      </c>
      <c r="M699" s="33" t="s">
        <v>9</v>
      </c>
      <c r="N699" s="34" t="s">
        <v>122</v>
      </c>
      <c r="O699" s="35">
        <v>0</v>
      </c>
    </row>
    <row r="700" spans="1:15" x14ac:dyDescent="0.2">
      <c r="A700" s="29" t="s">
        <v>815</v>
      </c>
      <c r="B700" s="30">
        <v>45898</v>
      </c>
      <c r="C700" s="29" t="s">
        <v>19</v>
      </c>
      <c r="D700" s="29" t="s">
        <v>384</v>
      </c>
      <c r="E700" s="29" t="s">
        <v>192</v>
      </c>
      <c r="F700" s="31">
        <v>0</v>
      </c>
      <c r="G700" s="31">
        <v>0</v>
      </c>
      <c r="H700" s="31">
        <v>0</v>
      </c>
      <c r="I700" s="31">
        <v>871.97</v>
      </c>
      <c r="J700" s="31">
        <v>-871.97</v>
      </c>
      <c r="K700" s="32">
        <v>0</v>
      </c>
      <c r="L700" s="29" t="s">
        <v>333</v>
      </c>
      <c r="M700" s="33" t="s">
        <v>48</v>
      </c>
      <c r="N700" s="34" t="s">
        <v>333</v>
      </c>
      <c r="O700" s="35">
        <v>0</v>
      </c>
    </row>
    <row r="701" spans="1:15" x14ac:dyDescent="0.2">
      <c r="A701" s="29" t="s">
        <v>816</v>
      </c>
      <c r="B701" s="30">
        <v>45877</v>
      </c>
      <c r="C701" s="29" t="s">
        <v>19</v>
      </c>
      <c r="D701" s="29" t="s">
        <v>384</v>
      </c>
      <c r="E701" s="29" t="s">
        <v>192</v>
      </c>
      <c r="F701" s="31">
        <v>0</v>
      </c>
      <c r="G701" s="31">
        <v>750</v>
      </c>
      <c r="H701" s="31">
        <v>750</v>
      </c>
      <c r="I701" s="31">
        <v>750</v>
      </c>
      <c r="J701" s="31">
        <v>0</v>
      </c>
      <c r="K701" s="32">
        <v>0</v>
      </c>
      <c r="L701" s="29" t="s">
        <v>19</v>
      </c>
      <c r="M701" s="33" t="s">
        <v>48</v>
      </c>
      <c r="N701" s="34" t="s">
        <v>251</v>
      </c>
      <c r="O701" s="35">
        <v>0</v>
      </c>
    </row>
    <row r="702" spans="1:15" x14ac:dyDescent="0.2">
      <c r="A702" s="29" t="s">
        <v>816</v>
      </c>
      <c r="B702" s="30">
        <v>45891</v>
      </c>
      <c r="C702" s="29" t="s">
        <v>19</v>
      </c>
      <c r="D702" s="29" t="s">
        <v>384</v>
      </c>
      <c r="E702" s="29" t="s">
        <v>192</v>
      </c>
      <c r="F702" s="31">
        <v>0</v>
      </c>
      <c r="G702" s="31">
        <v>750</v>
      </c>
      <c r="H702" s="31">
        <v>750</v>
      </c>
      <c r="I702" s="31">
        <v>750</v>
      </c>
      <c r="J702" s="31">
        <v>0</v>
      </c>
      <c r="K702" s="32">
        <v>0</v>
      </c>
      <c r="L702" s="29" t="s">
        <v>19</v>
      </c>
      <c r="M702" s="33" t="s">
        <v>48</v>
      </c>
      <c r="N702" s="34" t="s">
        <v>251</v>
      </c>
      <c r="O702" s="35">
        <v>0</v>
      </c>
    </row>
    <row r="703" spans="1:15" x14ac:dyDescent="0.2">
      <c r="A703" s="29" t="s">
        <v>817</v>
      </c>
      <c r="B703" s="30">
        <v>45895</v>
      </c>
      <c r="C703" s="29" t="s">
        <v>818</v>
      </c>
      <c r="D703" s="29" t="s">
        <v>19</v>
      </c>
      <c r="E703" s="29" t="s">
        <v>192</v>
      </c>
      <c r="F703" s="31">
        <v>0</v>
      </c>
      <c r="G703" s="31">
        <v>-417</v>
      </c>
      <c r="H703" s="31">
        <v>-417</v>
      </c>
      <c r="I703" s="31">
        <v>0</v>
      </c>
      <c r="J703" s="31">
        <v>-417</v>
      </c>
      <c r="K703" s="32">
        <v>1</v>
      </c>
      <c r="L703" s="29" t="s">
        <v>130</v>
      </c>
      <c r="M703" s="33" t="s">
        <v>19</v>
      </c>
      <c r="N703" s="34" t="s">
        <v>130</v>
      </c>
      <c r="O703" s="35">
        <v>0</v>
      </c>
    </row>
    <row r="704" spans="1:15" x14ac:dyDescent="0.2">
      <c r="A704" s="29" t="s">
        <v>819</v>
      </c>
      <c r="B704" s="30">
        <v>45896</v>
      </c>
      <c r="C704" s="29" t="s">
        <v>820</v>
      </c>
      <c r="D704" s="29" t="s">
        <v>19</v>
      </c>
      <c r="E704" s="29" t="s">
        <v>192</v>
      </c>
      <c r="F704" s="31">
        <v>0</v>
      </c>
      <c r="G704" s="31">
        <v>2300</v>
      </c>
      <c r="H704" s="31">
        <v>2300</v>
      </c>
      <c r="I704" s="31">
        <v>1647.03</v>
      </c>
      <c r="J704" s="31">
        <v>652.97</v>
      </c>
      <c r="K704" s="32">
        <v>0.28389999999999999</v>
      </c>
      <c r="L704" s="29" t="s">
        <v>144</v>
      </c>
      <c r="M704" s="33" t="s">
        <v>19</v>
      </c>
      <c r="N704" s="34" t="s">
        <v>144</v>
      </c>
      <c r="O704" s="35">
        <v>0</v>
      </c>
    </row>
    <row r="705" spans="1:15" x14ac:dyDescent="0.2">
      <c r="A705" s="29" t="s">
        <v>821</v>
      </c>
      <c r="B705" s="30">
        <v>45870</v>
      </c>
      <c r="C705" s="29" t="s">
        <v>820</v>
      </c>
      <c r="D705" s="29" t="s">
        <v>19</v>
      </c>
      <c r="E705" s="29" t="s">
        <v>192</v>
      </c>
      <c r="F705" s="31">
        <v>0</v>
      </c>
      <c r="G705" s="31">
        <v>0</v>
      </c>
      <c r="H705" s="31">
        <v>0</v>
      </c>
      <c r="I705" s="31">
        <v>20.66</v>
      </c>
      <c r="J705" s="31">
        <v>-20.66</v>
      </c>
      <c r="K705" s="32">
        <v>0</v>
      </c>
      <c r="L705" s="29" t="s">
        <v>822</v>
      </c>
      <c r="M705" s="33" t="s">
        <v>19</v>
      </c>
      <c r="N705" s="34" t="s">
        <v>144</v>
      </c>
      <c r="O705" s="35">
        <v>0</v>
      </c>
    </row>
    <row r="706" spans="1:15" x14ac:dyDescent="0.2">
      <c r="A706" s="29" t="s">
        <v>823</v>
      </c>
      <c r="B706" s="30">
        <v>45874</v>
      </c>
      <c r="C706" s="29" t="s">
        <v>820</v>
      </c>
      <c r="D706" s="29" t="s">
        <v>19</v>
      </c>
      <c r="E706" s="29" t="s">
        <v>192</v>
      </c>
      <c r="F706" s="31">
        <v>30</v>
      </c>
      <c r="G706" s="31">
        <v>0</v>
      </c>
      <c r="H706" s="31">
        <v>30</v>
      </c>
      <c r="I706" s="31">
        <v>35.299999999999997</v>
      </c>
      <c r="J706" s="31">
        <v>-5.3</v>
      </c>
      <c r="K706" s="32">
        <v>-0.17666667</v>
      </c>
      <c r="L706" s="29" t="s">
        <v>822</v>
      </c>
      <c r="M706" s="33" t="s">
        <v>19</v>
      </c>
      <c r="N706" s="34" t="s">
        <v>144</v>
      </c>
      <c r="O706" s="35">
        <v>1</v>
      </c>
    </row>
    <row r="707" spans="1:15" x14ac:dyDescent="0.2">
      <c r="A707" s="29" t="s">
        <v>824</v>
      </c>
      <c r="B707" s="30">
        <v>45887</v>
      </c>
      <c r="C707" s="29" t="s">
        <v>820</v>
      </c>
      <c r="D707" s="29" t="s">
        <v>19</v>
      </c>
      <c r="E707" s="29" t="s">
        <v>192</v>
      </c>
      <c r="F707" s="31">
        <v>1535</v>
      </c>
      <c r="G707" s="31">
        <v>0</v>
      </c>
      <c r="H707" s="31">
        <v>1535</v>
      </c>
      <c r="I707" s="31">
        <v>1082.3800000000001</v>
      </c>
      <c r="J707" s="31">
        <v>452.62</v>
      </c>
      <c r="K707" s="32">
        <v>0.29486645</v>
      </c>
      <c r="L707" s="29" t="s">
        <v>822</v>
      </c>
      <c r="M707" s="33" t="s">
        <v>19</v>
      </c>
      <c r="N707" s="34" t="s">
        <v>144</v>
      </c>
      <c r="O707" s="35">
        <v>1</v>
      </c>
    </row>
    <row r="708" spans="1:15" x14ac:dyDescent="0.2">
      <c r="A708" s="29" t="s">
        <v>825</v>
      </c>
      <c r="B708" s="30">
        <v>45897</v>
      </c>
      <c r="C708" s="29" t="s">
        <v>820</v>
      </c>
      <c r="D708" s="29" t="s">
        <v>19</v>
      </c>
      <c r="E708" s="29" t="s">
        <v>192</v>
      </c>
      <c r="F708" s="31">
        <v>800</v>
      </c>
      <c r="G708" s="31">
        <v>0</v>
      </c>
      <c r="H708" s="31">
        <v>800</v>
      </c>
      <c r="I708" s="31">
        <v>642.96</v>
      </c>
      <c r="J708" s="31">
        <v>157.04</v>
      </c>
      <c r="K708" s="32">
        <v>0.1963</v>
      </c>
      <c r="L708" s="29" t="s">
        <v>822</v>
      </c>
      <c r="M708" s="33" t="s">
        <v>19</v>
      </c>
      <c r="N708" s="34" t="s">
        <v>144</v>
      </c>
      <c r="O708" s="35">
        <v>1</v>
      </c>
    </row>
    <row r="709" spans="1:15" x14ac:dyDescent="0.2">
      <c r="A709" s="29" t="s">
        <v>821</v>
      </c>
      <c r="B709" s="30">
        <v>45899</v>
      </c>
      <c r="C709" s="29" t="s">
        <v>820</v>
      </c>
      <c r="D709" s="29" t="s">
        <v>19</v>
      </c>
      <c r="E709" s="29" t="s">
        <v>192</v>
      </c>
      <c r="F709" s="31">
        <v>0</v>
      </c>
      <c r="G709" s="31">
        <v>0</v>
      </c>
      <c r="H709" s="31">
        <v>0</v>
      </c>
      <c r="I709" s="31">
        <v>712.5</v>
      </c>
      <c r="J709" s="31">
        <v>-712.5</v>
      </c>
      <c r="K709" s="32">
        <v>0</v>
      </c>
      <c r="L709" s="29" t="s">
        <v>822</v>
      </c>
      <c r="M709" s="33" t="s">
        <v>19</v>
      </c>
      <c r="N709" s="34" t="s">
        <v>144</v>
      </c>
      <c r="O709" s="35">
        <v>0</v>
      </c>
    </row>
    <row r="710" spans="1:15" x14ac:dyDescent="0.2">
      <c r="A710" s="29" t="s">
        <v>826</v>
      </c>
      <c r="B710" s="30">
        <v>45898</v>
      </c>
      <c r="C710" s="29" t="s">
        <v>257</v>
      </c>
      <c r="D710" s="29" t="s">
        <v>48</v>
      </c>
      <c r="E710" s="29" t="s">
        <v>192</v>
      </c>
      <c r="F710" s="31">
        <v>250.8</v>
      </c>
      <c r="G710" s="31">
        <v>0</v>
      </c>
      <c r="H710" s="31">
        <v>250.8</v>
      </c>
      <c r="I710" s="31">
        <v>250.8</v>
      </c>
      <c r="J710" s="31">
        <v>0</v>
      </c>
      <c r="K710" s="32">
        <v>0</v>
      </c>
      <c r="L710" s="29" t="s">
        <v>251</v>
      </c>
      <c r="M710" s="33" t="s">
        <v>48</v>
      </c>
      <c r="N710" s="34" t="s">
        <v>251</v>
      </c>
      <c r="O710" s="35">
        <v>1</v>
      </c>
    </row>
    <row r="711" spans="1:15" x14ac:dyDescent="0.2">
      <c r="A711" s="29" t="s">
        <v>827</v>
      </c>
      <c r="B711" s="30">
        <v>45875</v>
      </c>
      <c r="C711" s="29" t="s">
        <v>828</v>
      </c>
      <c r="D711" s="29" t="s">
        <v>47</v>
      </c>
      <c r="E711" s="29" t="s">
        <v>192</v>
      </c>
      <c r="F711" s="31">
        <v>0</v>
      </c>
      <c r="G711" s="31">
        <v>0</v>
      </c>
      <c r="H711" s="31">
        <v>0</v>
      </c>
      <c r="I711" s="31">
        <v>-11.33</v>
      </c>
      <c r="J711" s="31">
        <v>11.33</v>
      </c>
      <c r="K711" s="32">
        <v>0</v>
      </c>
      <c r="L711" s="29" t="s">
        <v>243</v>
      </c>
      <c r="M711" s="33" t="s">
        <v>65</v>
      </c>
      <c r="N711" s="34" t="s">
        <v>243</v>
      </c>
      <c r="O711" s="35">
        <v>0</v>
      </c>
    </row>
    <row r="712" spans="1:15" x14ac:dyDescent="0.2">
      <c r="A712" s="29" t="s">
        <v>829</v>
      </c>
      <c r="B712" s="30">
        <v>45894</v>
      </c>
      <c r="C712" s="29" t="s">
        <v>828</v>
      </c>
      <c r="D712" s="29" t="s">
        <v>47</v>
      </c>
      <c r="E712" s="29" t="s">
        <v>192</v>
      </c>
      <c r="F712" s="31">
        <v>0</v>
      </c>
      <c r="G712" s="31">
        <v>264</v>
      </c>
      <c r="H712" s="31">
        <v>264</v>
      </c>
      <c r="I712" s="31">
        <v>232.94</v>
      </c>
      <c r="J712" s="31">
        <v>31.06</v>
      </c>
      <c r="K712" s="32">
        <v>0.11765152</v>
      </c>
      <c r="L712" s="29" t="s">
        <v>243</v>
      </c>
      <c r="M712" s="33" t="s">
        <v>65</v>
      </c>
      <c r="N712" s="34" t="s">
        <v>243</v>
      </c>
      <c r="O712" s="35">
        <v>0</v>
      </c>
    </row>
    <row r="713" spans="1:15" x14ac:dyDescent="0.2">
      <c r="A713" s="29" t="s">
        <v>830</v>
      </c>
      <c r="B713" s="30">
        <v>45872</v>
      </c>
      <c r="C713" s="29" t="s">
        <v>831</v>
      </c>
      <c r="D713" s="29" t="s">
        <v>47</v>
      </c>
      <c r="E713" s="29" t="s">
        <v>199</v>
      </c>
      <c r="F713" s="31">
        <v>0</v>
      </c>
      <c r="G713" s="31">
        <v>0</v>
      </c>
      <c r="H713" s="31">
        <v>0</v>
      </c>
      <c r="I713" s="31">
        <v>-5.4</v>
      </c>
      <c r="J713" s="31">
        <v>5.4</v>
      </c>
      <c r="K713" s="32">
        <v>0</v>
      </c>
      <c r="L713" s="29" t="s">
        <v>222</v>
      </c>
      <c r="M713" s="33" t="s">
        <v>65</v>
      </c>
      <c r="N713" s="34" t="s">
        <v>222</v>
      </c>
      <c r="O713" s="35">
        <v>0</v>
      </c>
    </row>
    <row r="714" spans="1:15" x14ac:dyDescent="0.2">
      <c r="A714" s="29" t="s">
        <v>832</v>
      </c>
      <c r="B714" s="30">
        <v>45890</v>
      </c>
      <c r="C714" s="29" t="s">
        <v>833</v>
      </c>
      <c r="D714" s="29" t="s">
        <v>106</v>
      </c>
      <c r="E714" s="29" t="s">
        <v>199</v>
      </c>
      <c r="F714" s="31">
        <v>426.72</v>
      </c>
      <c r="G714" s="31">
        <v>0</v>
      </c>
      <c r="H714" s="31">
        <v>426.72</v>
      </c>
      <c r="I714" s="31">
        <v>384.05</v>
      </c>
      <c r="J714" s="31">
        <v>42.67</v>
      </c>
      <c r="K714" s="32">
        <v>9.9995310000000004E-2</v>
      </c>
      <c r="L714" s="29" t="s">
        <v>111</v>
      </c>
      <c r="M714" s="33" t="s">
        <v>106</v>
      </c>
      <c r="N714" s="34" t="s">
        <v>111</v>
      </c>
      <c r="O714" s="35">
        <v>1</v>
      </c>
    </row>
    <row r="715" spans="1:15" x14ac:dyDescent="0.2">
      <c r="A715" s="29" t="s">
        <v>834</v>
      </c>
      <c r="B715" s="30">
        <v>45890</v>
      </c>
      <c r="C715" s="29" t="s">
        <v>833</v>
      </c>
      <c r="D715" s="29" t="s">
        <v>106</v>
      </c>
      <c r="E715" s="29" t="s">
        <v>199</v>
      </c>
      <c r="F715" s="31">
        <v>1300</v>
      </c>
      <c r="G715" s="31">
        <v>0</v>
      </c>
      <c r="H715" s="31">
        <v>1300</v>
      </c>
      <c r="I715" s="31">
        <v>1053.8499999999999</v>
      </c>
      <c r="J715" s="31">
        <v>246.15</v>
      </c>
      <c r="K715" s="32">
        <v>0.18934614999999999</v>
      </c>
      <c r="L715" s="29" t="s">
        <v>111</v>
      </c>
      <c r="M715" s="33" t="s">
        <v>106</v>
      </c>
      <c r="N715" s="34" t="s">
        <v>111</v>
      </c>
      <c r="O715" s="35">
        <v>1</v>
      </c>
    </row>
    <row r="716" spans="1:15" x14ac:dyDescent="0.2">
      <c r="A716" s="29" t="s">
        <v>835</v>
      </c>
      <c r="B716" s="30">
        <v>45899</v>
      </c>
      <c r="C716" s="29" t="s">
        <v>833</v>
      </c>
      <c r="D716" s="29" t="s">
        <v>106</v>
      </c>
      <c r="E716" s="29" t="s">
        <v>199</v>
      </c>
      <c r="F716" s="31">
        <v>0</v>
      </c>
      <c r="G716" s="31">
        <v>0</v>
      </c>
      <c r="H716" s="31">
        <v>0</v>
      </c>
      <c r="I716" s="31">
        <v>40</v>
      </c>
      <c r="J716" s="31">
        <v>-40</v>
      </c>
      <c r="K716" s="32">
        <v>0</v>
      </c>
      <c r="L716" s="29" t="s">
        <v>111</v>
      </c>
      <c r="M716" s="33" t="s">
        <v>106</v>
      </c>
      <c r="N716" s="34" t="s">
        <v>111</v>
      </c>
      <c r="O716" s="35">
        <v>0</v>
      </c>
    </row>
    <row r="717" spans="1:15" x14ac:dyDescent="0.2">
      <c r="A717" s="29" t="s">
        <v>836</v>
      </c>
      <c r="B717" s="30">
        <v>45899</v>
      </c>
      <c r="C717" s="29" t="s">
        <v>833</v>
      </c>
      <c r="D717" s="29" t="s">
        <v>106</v>
      </c>
      <c r="E717" s="29" t="s">
        <v>199</v>
      </c>
      <c r="F717" s="31">
        <v>0</v>
      </c>
      <c r="G717" s="31">
        <v>0</v>
      </c>
      <c r="H717" s="31">
        <v>0</v>
      </c>
      <c r="I717" s="31">
        <v>675</v>
      </c>
      <c r="J717" s="31">
        <v>-675</v>
      </c>
      <c r="K717" s="32">
        <v>0</v>
      </c>
      <c r="L717" s="29" t="s">
        <v>111</v>
      </c>
      <c r="M717" s="33" t="s">
        <v>106</v>
      </c>
      <c r="N717" s="34" t="s">
        <v>111</v>
      </c>
      <c r="O717" s="35">
        <v>0</v>
      </c>
    </row>
    <row r="718" spans="1:15" x14ac:dyDescent="0.2">
      <c r="A718" s="29" t="s">
        <v>837</v>
      </c>
      <c r="B718" s="30">
        <v>45899</v>
      </c>
      <c r="C718" s="29" t="s">
        <v>833</v>
      </c>
      <c r="D718" s="29" t="s">
        <v>106</v>
      </c>
      <c r="E718" s="29" t="s">
        <v>199</v>
      </c>
      <c r="F718" s="31">
        <v>0</v>
      </c>
      <c r="G718" s="31">
        <v>0</v>
      </c>
      <c r="H718" s="31">
        <v>0</v>
      </c>
      <c r="I718" s="31">
        <v>525</v>
      </c>
      <c r="J718" s="31">
        <v>-525</v>
      </c>
      <c r="K718" s="32">
        <v>0</v>
      </c>
      <c r="L718" s="29" t="s">
        <v>111</v>
      </c>
      <c r="M718" s="33" t="s">
        <v>106</v>
      </c>
      <c r="N718" s="34" t="s">
        <v>111</v>
      </c>
      <c r="O718" s="35">
        <v>0</v>
      </c>
    </row>
    <row r="719" spans="1:15" x14ac:dyDescent="0.2">
      <c r="A719" s="29" t="s">
        <v>838</v>
      </c>
      <c r="B719" s="30">
        <v>45899</v>
      </c>
      <c r="C719" s="29" t="s">
        <v>839</v>
      </c>
      <c r="D719" s="29" t="s">
        <v>268</v>
      </c>
      <c r="E719" s="29" t="s">
        <v>199</v>
      </c>
      <c r="F719" s="31">
        <v>0</v>
      </c>
      <c r="G719" s="31">
        <v>0</v>
      </c>
      <c r="H719" s="31">
        <v>0</v>
      </c>
      <c r="I719" s="31">
        <v>1800</v>
      </c>
      <c r="J719" s="31">
        <v>-1800</v>
      </c>
      <c r="K719" s="32">
        <v>0</v>
      </c>
      <c r="L719" s="29" t="s">
        <v>109</v>
      </c>
      <c r="M719" s="33" t="s">
        <v>268</v>
      </c>
      <c r="N719" s="34" t="s">
        <v>109</v>
      </c>
      <c r="O719" s="35">
        <v>0</v>
      </c>
    </row>
    <row r="720" spans="1:15" x14ac:dyDescent="0.2">
      <c r="A720" s="29" t="s">
        <v>840</v>
      </c>
      <c r="B720" s="30">
        <v>45887</v>
      </c>
      <c r="C720" s="29" t="s">
        <v>841</v>
      </c>
      <c r="D720" s="29" t="s">
        <v>9</v>
      </c>
      <c r="E720" s="29" t="s">
        <v>227</v>
      </c>
      <c r="F720" s="31">
        <v>0</v>
      </c>
      <c r="G720" s="31">
        <v>0</v>
      </c>
      <c r="H720" s="31">
        <v>0</v>
      </c>
      <c r="I720" s="31">
        <v>-356.25</v>
      </c>
      <c r="J720" s="31">
        <v>356.25</v>
      </c>
      <c r="K720" s="32">
        <v>0</v>
      </c>
      <c r="L720" s="29" t="s">
        <v>122</v>
      </c>
      <c r="M720" s="33" t="s">
        <v>9</v>
      </c>
      <c r="N720" s="34" t="s">
        <v>122</v>
      </c>
      <c r="O720" s="35">
        <v>0</v>
      </c>
    </row>
    <row r="721" spans="1:15" x14ac:dyDescent="0.2">
      <c r="A721" s="29" t="s">
        <v>842</v>
      </c>
      <c r="B721" s="30">
        <v>45874</v>
      </c>
      <c r="C721" s="29" t="s">
        <v>843</v>
      </c>
      <c r="D721" s="29" t="s">
        <v>19</v>
      </c>
      <c r="E721" s="29" t="s">
        <v>192</v>
      </c>
      <c r="F721" s="31">
        <v>0</v>
      </c>
      <c r="G721" s="31">
        <v>0</v>
      </c>
      <c r="H721" s="31">
        <v>0</v>
      </c>
      <c r="I721" s="31">
        <v>13.23</v>
      </c>
      <c r="J721" s="31">
        <v>-13.23</v>
      </c>
      <c r="K721" s="32">
        <v>0</v>
      </c>
      <c r="L721" s="29" t="s">
        <v>462</v>
      </c>
      <c r="M721" s="33" t="s">
        <v>19</v>
      </c>
      <c r="N721" s="34" t="s">
        <v>120</v>
      </c>
      <c r="O721" s="35">
        <v>0</v>
      </c>
    </row>
    <row r="722" spans="1:15" x14ac:dyDescent="0.2">
      <c r="A722" s="29" t="s">
        <v>842</v>
      </c>
      <c r="B722" s="30">
        <v>45876</v>
      </c>
      <c r="C722" s="29" t="s">
        <v>843</v>
      </c>
      <c r="D722" s="29" t="s">
        <v>19</v>
      </c>
      <c r="E722" s="29" t="s">
        <v>192</v>
      </c>
      <c r="F722" s="31">
        <v>0</v>
      </c>
      <c r="G722" s="31">
        <v>0</v>
      </c>
      <c r="H722" s="31">
        <v>0</v>
      </c>
      <c r="I722" s="31">
        <v>-135</v>
      </c>
      <c r="J722" s="31">
        <v>135</v>
      </c>
      <c r="K722" s="32">
        <v>0</v>
      </c>
      <c r="L722" s="29" t="s">
        <v>462</v>
      </c>
      <c r="M722" s="33" t="s">
        <v>19</v>
      </c>
      <c r="N722" s="34" t="s">
        <v>120</v>
      </c>
      <c r="O722" s="35">
        <v>0</v>
      </c>
    </row>
    <row r="723" spans="1:15" x14ac:dyDescent="0.2">
      <c r="A723" s="29" t="s">
        <v>842</v>
      </c>
      <c r="B723" s="30">
        <v>45881</v>
      </c>
      <c r="C723" s="29" t="s">
        <v>843</v>
      </c>
      <c r="D723" s="29" t="s">
        <v>19</v>
      </c>
      <c r="E723" s="29" t="s">
        <v>192</v>
      </c>
      <c r="F723" s="31">
        <v>0</v>
      </c>
      <c r="G723" s="31">
        <v>-405</v>
      </c>
      <c r="H723" s="31">
        <v>-405</v>
      </c>
      <c r="I723" s="31">
        <v>0</v>
      </c>
      <c r="J723" s="31">
        <v>-405</v>
      </c>
      <c r="K723" s="32">
        <v>1</v>
      </c>
      <c r="L723" s="29" t="s">
        <v>462</v>
      </c>
      <c r="M723" s="33" t="s">
        <v>19</v>
      </c>
      <c r="N723" s="34" t="s">
        <v>120</v>
      </c>
      <c r="O723" s="35">
        <v>0</v>
      </c>
    </row>
    <row r="724" spans="1:15" x14ac:dyDescent="0.2">
      <c r="A724" s="29" t="s">
        <v>844</v>
      </c>
      <c r="B724" s="30">
        <v>45874</v>
      </c>
      <c r="C724" s="29" t="s">
        <v>845</v>
      </c>
      <c r="D724" s="29" t="s">
        <v>65</v>
      </c>
      <c r="E724" s="29" t="s">
        <v>227</v>
      </c>
      <c r="F724" s="31">
        <v>0</v>
      </c>
      <c r="G724" s="31">
        <v>0</v>
      </c>
      <c r="H724" s="31">
        <v>0</v>
      </c>
      <c r="I724" s="31">
        <v>-300</v>
      </c>
      <c r="J724" s="31">
        <v>300</v>
      </c>
      <c r="K724" s="32">
        <v>0</v>
      </c>
      <c r="L724" s="29" t="s">
        <v>126</v>
      </c>
      <c r="M724" s="33" t="s">
        <v>65</v>
      </c>
      <c r="N724" s="34" t="s">
        <v>126</v>
      </c>
      <c r="O724" s="35">
        <v>0</v>
      </c>
    </row>
    <row r="725" spans="1:15" x14ac:dyDescent="0.2">
      <c r="A725" s="29" t="s">
        <v>846</v>
      </c>
      <c r="B725" s="30">
        <v>45887</v>
      </c>
      <c r="C725" s="29" t="s">
        <v>845</v>
      </c>
      <c r="D725" s="29" t="s">
        <v>65</v>
      </c>
      <c r="E725" s="29" t="s">
        <v>227</v>
      </c>
      <c r="F725" s="31">
        <v>0</v>
      </c>
      <c r="G725" s="31">
        <v>0</v>
      </c>
      <c r="H725" s="31">
        <v>0</v>
      </c>
      <c r="I725" s="31">
        <v>20.47</v>
      </c>
      <c r="J725" s="31">
        <v>-20.47</v>
      </c>
      <c r="K725" s="32">
        <v>0</v>
      </c>
      <c r="L725" s="29" t="s">
        <v>126</v>
      </c>
      <c r="M725" s="33" t="s">
        <v>65</v>
      </c>
      <c r="N725" s="34" t="s">
        <v>126</v>
      </c>
      <c r="O725" s="35">
        <v>0</v>
      </c>
    </row>
    <row r="726" spans="1:15" x14ac:dyDescent="0.2">
      <c r="A726" s="29" t="s">
        <v>847</v>
      </c>
      <c r="B726" s="30">
        <v>45873</v>
      </c>
      <c r="C726" s="29" t="s">
        <v>112</v>
      </c>
      <c r="D726" s="29" t="s">
        <v>106</v>
      </c>
      <c r="E726" s="29" t="s">
        <v>199</v>
      </c>
      <c r="F726" s="31">
        <v>0</v>
      </c>
      <c r="G726" s="31">
        <v>0</v>
      </c>
      <c r="H726" s="31">
        <v>0</v>
      </c>
      <c r="I726" s="31">
        <v>28</v>
      </c>
      <c r="J726" s="31">
        <v>-28</v>
      </c>
      <c r="K726" s="32">
        <v>0</v>
      </c>
      <c r="L726" s="29" t="s">
        <v>109</v>
      </c>
      <c r="M726" s="33" t="s">
        <v>106</v>
      </c>
      <c r="N726" s="34" t="s">
        <v>109</v>
      </c>
      <c r="O726" s="35">
        <v>0</v>
      </c>
    </row>
    <row r="727" spans="1:15" x14ac:dyDescent="0.2">
      <c r="A727" s="29" t="s">
        <v>847</v>
      </c>
      <c r="B727" s="30">
        <v>45897</v>
      </c>
      <c r="C727" s="29" t="s">
        <v>112</v>
      </c>
      <c r="D727" s="29" t="s">
        <v>106</v>
      </c>
      <c r="E727" s="29" t="s">
        <v>199</v>
      </c>
      <c r="F727" s="31">
        <v>0</v>
      </c>
      <c r="G727" s="31">
        <v>0</v>
      </c>
      <c r="H727" s="31">
        <v>0</v>
      </c>
      <c r="I727" s="31">
        <v>100</v>
      </c>
      <c r="J727" s="31">
        <v>-100</v>
      </c>
      <c r="K727" s="32">
        <v>0</v>
      </c>
      <c r="L727" s="29" t="s">
        <v>109</v>
      </c>
      <c r="M727" s="33" t="s">
        <v>106</v>
      </c>
      <c r="N727" s="34" t="s">
        <v>109</v>
      </c>
      <c r="O727" s="35">
        <v>0</v>
      </c>
    </row>
    <row r="728" spans="1:15" x14ac:dyDescent="0.2">
      <c r="A728" s="29" t="s">
        <v>848</v>
      </c>
      <c r="B728" s="30">
        <v>45898</v>
      </c>
      <c r="C728" s="29" t="s">
        <v>112</v>
      </c>
      <c r="D728" s="29" t="s">
        <v>106</v>
      </c>
      <c r="E728" s="29" t="s">
        <v>199</v>
      </c>
      <c r="F728" s="31">
        <v>15932.94</v>
      </c>
      <c r="G728" s="31">
        <v>0</v>
      </c>
      <c r="H728" s="31">
        <v>15932.94</v>
      </c>
      <c r="I728" s="31">
        <v>13049.1</v>
      </c>
      <c r="J728" s="31">
        <v>2883.84</v>
      </c>
      <c r="K728" s="32">
        <v>0.18099861</v>
      </c>
      <c r="L728" s="29" t="s">
        <v>109</v>
      </c>
      <c r="M728" s="33" t="s">
        <v>106</v>
      </c>
      <c r="N728" s="34" t="s">
        <v>109</v>
      </c>
      <c r="O728" s="35">
        <v>1</v>
      </c>
    </row>
    <row r="729" spans="1:15" x14ac:dyDescent="0.2">
      <c r="A729" s="29" t="s">
        <v>849</v>
      </c>
      <c r="B729" s="30">
        <v>45870</v>
      </c>
      <c r="C729" s="29" t="s">
        <v>850</v>
      </c>
      <c r="D729" s="29" t="s">
        <v>106</v>
      </c>
      <c r="E729" s="29" t="s">
        <v>199</v>
      </c>
      <c r="F729" s="31">
        <v>3629.28</v>
      </c>
      <c r="G729" s="31">
        <v>0</v>
      </c>
      <c r="H729" s="31">
        <v>3629.28</v>
      </c>
      <c r="I729" s="31">
        <v>2930.94</v>
      </c>
      <c r="J729" s="31">
        <v>698.34</v>
      </c>
      <c r="K729" s="32">
        <v>0.19241833</v>
      </c>
      <c r="L729" s="29" t="s">
        <v>43</v>
      </c>
      <c r="M729" s="33" t="s">
        <v>106</v>
      </c>
      <c r="N729" s="34" t="s">
        <v>43</v>
      </c>
      <c r="O729" s="35">
        <v>1</v>
      </c>
    </row>
    <row r="730" spans="1:15" x14ac:dyDescent="0.2">
      <c r="A730" s="29" t="s">
        <v>849</v>
      </c>
      <c r="B730" s="30">
        <v>45873</v>
      </c>
      <c r="C730" s="29" t="s">
        <v>850</v>
      </c>
      <c r="D730" s="29" t="s">
        <v>106</v>
      </c>
      <c r="E730" s="29" t="s">
        <v>199</v>
      </c>
      <c r="F730" s="31">
        <v>0</v>
      </c>
      <c r="G730" s="31">
        <v>0</v>
      </c>
      <c r="H730" s="31">
        <v>0</v>
      </c>
      <c r="I730" s="31">
        <v>-13.51</v>
      </c>
      <c r="J730" s="31">
        <v>13.51</v>
      </c>
      <c r="K730" s="32">
        <v>0</v>
      </c>
      <c r="L730" s="29" t="s">
        <v>43</v>
      </c>
      <c r="M730" s="33" t="s">
        <v>106</v>
      </c>
      <c r="N730" s="34" t="s">
        <v>43</v>
      </c>
      <c r="O730" s="35">
        <v>0</v>
      </c>
    </row>
    <row r="731" spans="1:15" x14ac:dyDescent="0.2">
      <c r="A731" s="29" t="s">
        <v>851</v>
      </c>
      <c r="B731" s="30">
        <v>45876</v>
      </c>
      <c r="C731" s="29" t="s">
        <v>850</v>
      </c>
      <c r="D731" s="29" t="s">
        <v>106</v>
      </c>
      <c r="E731" s="29" t="s">
        <v>199</v>
      </c>
      <c r="F731" s="31">
        <v>1922.29</v>
      </c>
      <c r="G731" s="31">
        <v>0</v>
      </c>
      <c r="H731" s="31">
        <v>1922.29</v>
      </c>
      <c r="I731" s="31">
        <v>1581.76</v>
      </c>
      <c r="J731" s="31">
        <v>340.53</v>
      </c>
      <c r="K731" s="32">
        <v>0.17714809000000001</v>
      </c>
      <c r="L731" s="29" t="s">
        <v>43</v>
      </c>
      <c r="M731" s="33" t="s">
        <v>106</v>
      </c>
      <c r="N731" s="34" t="s">
        <v>43</v>
      </c>
      <c r="O731" s="35">
        <v>1</v>
      </c>
    </row>
    <row r="732" spans="1:15" x14ac:dyDescent="0.2">
      <c r="A732" s="29" t="s">
        <v>852</v>
      </c>
      <c r="B732" s="30">
        <v>45876</v>
      </c>
      <c r="C732" s="29" t="s">
        <v>850</v>
      </c>
      <c r="D732" s="29" t="s">
        <v>234</v>
      </c>
      <c r="E732" s="29" t="s">
        <v>199</v>
      </c>
      <c r="F732" s="31">
        <v>896.7</v>
      </c>
      <c r="G732" s="31">
        <v>0</v>
      </c>
      <c r="H732" s="31">
        <v>896.7</v>
      </c>
      <c r="I732" s="31">
        <v>717.36</v>
      </c>
      <c r="J732" s="31">
        <v>179.34</v>
      </c>
      <c r="K732" s="32">
        <v>0.2</v>
      </c>
      <c r="L732" s="29" t="s">
        <v>43</v>
      </c>
      <c r="M732" s="33" t="s">
        <v>106</v>
      </c>
      <c r="N732" s="34" t="s">
        <v>43</v>
      </c>
      <c r="O732" s="35">
        <v>1</v>
      </c>
    </row>
    <row r="733" spans="1:15" x14ac:dyDescent="0.2">
      <c r="A733" s="29" t="s">
        <v>853</v>
      </c>
      <c r="B733" s="30">
        <v>45876</v>
      </c>
      <c r="C733" s="29" t="s">
        <v>850</v>
      </c>
      <c r="D733" s="29" t="s">
        <v>234</v>
      </c>
      <c r="E733" s="29" t="s">
        <v>199</v>
      </c>
      <c r="F733" s="31">
        <v>254.46</v>
      </c>
      <c r="G733" s="31">
        <v>0</v>
      </c>
      <c r="H733" s="31">
        <v>254.46</v>
      </c>
      <c r="I733" s="31">
        <v>209.25</v>
      </c>
      <c r="J733" s="31">
        <v>45.21</v>
      </c>
      <c r="K733" s="32">
        <v>0.17767036</v>
      </c>
      <c r="L733" s="29" t="s">
        <v>43</v>
      </c>
      <c r="M733" s="33" t="s">
        <v>106</v>
      </c>
      <c r="N733" s="34" t="s">
        <v>43</v>
      </c>
      <c r="O733" s="35">
        <v>1</v>
      </c>
    </row>
    <row r="734" spans="1:15" x14ac:dyDescent="0.2">
      <c r="A734" s="29" t="s">
        <v>854</v>
      </c>
      <c r="B734" s="30">
        <v>45876</v>
      </c>
      <c r="C734" s="29" t="s">
        <v>850</v>
      </c>
      <c r="D734" s="29" t="s">
        <v>106</v>
      </c>
      <c r="E734" s="29" t="s">
        <v>199</v>
      </c>
      <c r="F734" s="31">
        <v>2302.8200000000002</v>
      </c>
      <c r="G734" s="31">
        <v>0</v>
      </c>
      <c r="H734" s="31">
        <v>2302.8200000000002</v>
      </c>
      <c r="I734" s="31">
        <v>1850.65</v>
      </c>
      <c r="J734" s="31">
        <v>452.17</v>
      </c>
      <c r="K734" s="32">
        <v>0.1963549</v>
      </c>
      <c r="L734" s="29" t="s">
        <v>43</v>
      </c>
      <c r="M734" s="33" t="s">
        <v>106</v>
      </c>
      <c r="N734" s="34" t="s">
        <v>43</v>
      </c>
      <c r="O734" s="35">
        <v>1</v>
      </c>
    </row>
    <row r="735" spans="1:15" x14ac:dyDescent="0.2">
      <c r="A735" s="29" t="s">
        <v>854</v>
      </c>
      <c r="B735" s="30">
        <v>45877</v>
      </c>
      <c r="C735" s="29" t="s">
        <v>850</v>
      </c>
      <c r="D735" s="29" t="s">
        <v>106</v>
      </c>
      <c r="E735" s="29" t="s">
        <v>199</v>
      </c>
      <c r="F735" s="31">
        <v>0</v>
      </c>
      <c r="G735" s="31">
        <v>0</v>
      </c>
      <c r="H735" s="31">
        <v>0</v>
      </c>
      <c r="I735" s="31">
        <v>-0.03</v>
      </c>
      <c r="J735" s="31">
        <v>0.03</v>
      </c>
      <c r="K735" s="32">
        <v>0</v>
      </c>
      <c r="L735" s="29" t="s">
        <v>43</v>
      </c>
      <c r="M735" s="33" t="s">
        <v>106</v>
      </c>
      <c r="N735" s="34" t="s">
        <v>43</v>
      </c>
      <c r="O735" s="35">
        <v>0</v>
      </c>
    </row>
    <row r="736" spans="1:15" x14ac:dyDescent="0.2">
      <c r="A736" s="29" t="s">
        <v>849</v>
      </c>
      <c r="B736" s="30">
        <v>45880</v>
      </c>
      <c r="C736" s="29" t="s">
        <v>850</v>
      </c>
      <c r="D736" s="29" t="s">
        <v>106</v>
      </c>
      <c r="E736" s="29" t="s">
        <v>199</v>
      </c>
      <c r="F736" s="31">
        <v>0</v>
      </c>
      <c r="G736" s="31">
        <v>0</v>
      </c>
      <c r="H736" s="31">
        <v>0</v>
      </c>
      <c r="I736" s="31">
        <v>-123.42</v>
      </c>
      <c r="J736" s="31">
        <v>123.42</v>
      </c>
      <c r="K736" s="32">
        <v>0</v>
      </c>
      <c r="L736" s="29" t="s">
        <v>43</v>
      </c>
      <c r="M736" s="33" t="s">
        <v>106</v>
      </c>
      <c r="N736" s="34" t="s">
        <v>43</v>
      </c>
      <c r="O736" s="35">
        <v>0</v>
      </c>
    </row>
    <row r="737" spans="1:15" x14ac:dyDescent="0.2">
      <c r="A737" s="29" t="s">
        <v>851</v>
      </c>
      <c r="B737" s="30">
        <v>45880</v>
      </c>
      <c r="C737" s="29" t="s">
        <v>850</v>
      </c>
      <c r="D737" s="29" t="s">
        <v>106</v>
      </c>
      <c r="E737" s="29" t="s">
        <v>199</v>
      </c>
      <c r="F737" s="31">
        <v>0</v>
      </c>
      <c r="G737" s="31">
        <v>0</v>
      </c>
      <c r="H737" s="31">
        <v>0</v>
      </c>
      <c r="I737" s="31">
        <v>-35.72</v>
      </c>
      <c r="J737" s="31">
        <v>35.72</v>
      </c>
      <c r="K737" s="32">
        <v>0</v>
      </c>
      <c r="L737" s="29" t="s">
        <v>43</v>
      </c>
      <c r="M737" s="33" t="s">
        <v>106</v>
      </c>
      <c r="N737" s="34" t="s">
        <v>43</v>
      </c>
      <c r="O737" s="35">
        <v>0</v>
      </c>
    </row>
    <row r="738" spans="1:15" x14ac:dyDescent="0.2">
      <c r="A738" s="29" t="s">
        <v>853</v>
      </c>
      <c r="B738" s="30">
        <v>45880</v>
      </c>
      <c r="C738" s="29" t="s">
        <v>850</v>
      </c>
      <c r="D738" s="29" t="s">
        <v>234</v>
      </c>
      <c r="E738" s="29" t="s">
        <v>199</v>
      </c>
      <c r="F738" s="31">
        <v>0</v>
      </c>
      <c r="G738" s="31">
        <v>0</v>
      </c>
      <c r="H738" s="31">
        <v>0</v>
      </c>
      <c r="I738" s="31">
        <v>-10.039999999999999</v>
      </c>
      <c r="J738" s="31">
        <v>10.039999999999999</v>
      </c>
      <c r="K738" s="32">
        <v>0</v>
      </c>
      <c r="L738" s="29" t="s">
        <v>43</v>
      </c>
      <c r="M738" s="33" t="s">
        <v>106</v>
      </c>
      <c r="N738" s="34" t="s">
        <v>43</v>
      </c>
      <c r="O738" s="35">
        <v>0</v>
      </c>
    </row>
    <row r="739" spans="1:15" x14ac:dyDescent="0.2">
      <c r="A739" s="29" t="s">
        <v>849</v>
      </c>
      <c r="B739" s="30">
        <v>45881</v>
      </c>
      <c r="C739" s="29" t="s">
        <v>850</v>
      </c>
      <c r="D739" s="29" t="s">
        <v>106</v>
      </c>
      <c r="E739" s="29" t="s">
        <v>199</v>
      </c>
      <c r="F739" s="31">
        <v>0</v>
      </c>
      <c r="G739" s="31">
        <v>0</v>
      </c>
      <c r="H739" s="31">
        <v>0</v>
      </c>
      <c r="I739" s="31">
        <v>146.83000000000001</v>
      </c>
      <c r="J739" s="31">
        <v>-146.83000000000001</v>
      </c>
      <c r="K739" s="32">
        <v>0</v>
      </c>
      <c r="L739" s="29" t="s">
        <v>43</v>
      </c>
      <c r="M739" s="33" t="s">
        <v>106</v>
      </c>
      <c r="N739" s="34" t="s">
        <v>43</v>
      </c>
      <c r="O739" s="35">
        <v>0</v>
      </c>
    </row>
    <row r="740" spans="1:15" x14ac:dyDescent="0.2">
      <c r="A740" s="29" t="s">
        <v>853</v>
      </c>
      <c r="B740" s="30">
        <v>45881</v>
      </c>
      <c r="C740" s="29" t="s">
        <v>850</v>
      </c>
      <c r="D740" s="29" t="s">
        <v>234</v>
      </c>
      <c r="E740" s="29" t="s">
        <v>199</v>
      </c>
      <c r="F740" s="31">
        <v>0</v>
      </c>
      <c r="G740" s="31">
        <v>0</v>
      </c>
      <c r="H740" s="31">
        <v>0</v>
      </c>
      <c r="I740" s="31">
        <v>-6.14</v>
      </c>
      <c r="J740" s="31">
        <v>6.14</v>
      </c>
      <c r="K740" s="32">
        <v>0</v>
      </c>
      <c r="L740" s="29" t="s">
        <v>43</v>
      </c>
      <c r="M740" s="33" t="s">
        <v>106</v>
      </c>
      <c r="N740" s="34" t="s">
        <v>43</v>
      </c>
      <c r="O740" s="35">
        <v>0</v>
      </c>
    </row>
    <row r="741" spans="1:15" x14ac:dyDescent="0.2">
      <c r="A741" s="29" t="s">
        <v>849</v>
      </c>
      <c r="B741" s="30">
        <v>45883</v>
      </c>
      <c r="C741" s="29" t="s">
        <v>850</v>
      </c>
      <c r="D741" s="29" t="s">
        <v>106</v>
      </c>
      <c r="E741" s="29" t="s">
        <v>199</v>
      </c>
      <c r="F741" s="31">
        <v>0</v>
      </c>
      <c r="G741" s="31">
        <v>0</v>
      </c>
      <c r="H741" s="31">
        <v>0</v>
      </c>
      <c r="I741" s="31">
        <v>-47.98</v>
      </c>
      <c r="J741" s="31">
        <v>47.98</v>
      </c>
      <c r="K741" s="32">
        <v>0</v>
      </c>
      <c r="L741" s="29" t="s">
        <v>43</v>
      </c>
      <c r="M741" s="33" t="s">
        <v>106</v>
      </c>
      <c r="N741" s="34" t="s">
        <v>43</v>
      </c>
      <c r="O741" s="35">
        <v>0</v>
      </c>
    </row>
    <row r="742" spans="1:15" x14ac:dyDescent="0.2">
      <c r="A742" s="29" t="s">
        <v>854</v>
      </c>
      <c r="B742" s="30">
        <v>45894</v>
      </c>
      <c r="C742" s="29" t="s">
        <v>850</v>
      </c>
      <c r="D742" s="29" t="s">
        <v>106</v>
      </c>
      <c r="E742" s="29" t="s">
        <v>199</v>
      </c>
      <c r="F742" s="31">
        <v>36.47</v>
      </c>
      <c r="G742" s="31">
        <v>-561.05999999999995</v>
      </c>
      <c r="H742" s="31">
        <v>-524.59</v>
      </c>
      <c r="I742" s="31">
        <v>-300.33</v>
      </c>
      <c r="J742" s="31">
        <v>-224.26</v>
      </c>
      <c r="K742" s="32">
        <v>0.42749576</v>
      </c>
      <c r="L742" s="29" t="s">
        <v>43</v>
      </c>
      <c r="M742" s="33" t="s">
        <v>106</v>
      </c>
      <c r="N742" s="34" t="s">
        <v>43</v>
      </c>
      <c r="O742" s="35">
        <v>1</v>
      </c>
    </row>
    <row r="743" spans="1:15" x14ac:dyDescent="0.2">
      <c r="A743" s="29" t="s">
        <v>855</v>
      </c>
      <c r="B743" s="30">
        <v>45898</v>
      </c>
      <c r="C743" s="29" t="s">
        <v>850</v>
      </c>
      <c r="D743" s="29" t="s">
        <v>106</v>
      </c>
      <c r="E743" s="29" t="s">
        <v>199</v>
      </c>
      <c r="F743" s="31">
        <v>4146.62</v>
      </c>
      <c r="G743" s="31">
        <v>0</v>
      </c>
      <c r="H743" s="31">
        <v>4146.62</v>
      </c>
      <c r="I743" s="31">
        <v>3385.78</v>
      </c>
      <c r="J743" s="31">
        <v>760.84</v>
      </c>
      <c r="K743" s="32">
        <v>0.18348438</v>
      </c>
      <c r="L743" s="29" t="s">
        <v>856</v>
      </c>
      <c r="M743" s="33" t="s">
        <v>106</v>
      </c>
      <c r="N743" s="34" t="s">
        <v>43</v>
      </c>
      <c r="O743" s="35">
        <v>1</v>
      </c>
    </row>
    <row r="744" spans="1:15" x14ac:dyDescent="0.2">
      <c r="A744" s="29" t="s">
        <v>857</v>
      </c>
      <c r="B744" s="30">
        <v>45898</v>
      </c>
      <c r="C744" s="29" t="s">
        <v>850</v>
      </c>
      <c r="D744" s="29" t="s">
        <v>234</v>
      </c>
      <c r="E744" s="29" t="s">
        <v>199</v>
      </c>
      <c r="F744" s="31">
        <v>200</v>
      </c>
      <c r="G744" s="31">
        <v>0</v>
      </c>
      <c r="H744" s="31">
        <v>200</v>
      </c>
      <c r="I744" s="31">
        <v>0</v>
      </c>
      <c r="J744" s="31">
        <v>200</v>
      </c>
      <c r="K744" s="32">
        <v>1</v>
      </c>
      <c r="L744" s="29" t="s">
        <v>76</v>
      </c>
      <c r="M744" s="33" t="s">
        <v>106</v>
      </c>
      <c r="N744" s="34" t="s">
        <v>76</v>
      </c>
      <c r="O744" s="35">
        <v>1</v>
      </c>
    </row>
    <row r="745" spans="1:15" x14ac:dyDescent="0.2">
      <c r="A745" s="29" t="s">
        <v>858</v>
      </c>
      <c r="B745" s="30">
        <v>45898</v>
      </c>
      <c r="C745" s="29" t="s">
        <v>850</v>
      </c>
      <c r="D745" s="29" t="s">
        <v>234</v>
      </c>
      <c r="E745" s="29" t="s">
        <v>199</v>
      </c>
      <c r="F745" s="31">
        <v>200</v>
      </c>
      <c r="G745" s="31">
        <v>0</v>
      </c>
      <c r="H745" s="31">
        <v>200</v>
      </c>
      <c r="I745" s="31">
        <v>0</v>
      </c>
      <c r="J745" s="31">
        <v>200</v>
      </c>
      <c r="K745" s="32">
        <v>1</v>
      </c>
      <c r="L745" s="29" t="s">
        <v>76</v>
      </c>
      <c r="M745" s="33" t="s">
        <v>106</v>
      </c>
      <c r="N745" s="34" t="s">
        <v>76</v>
      </c>
      <c r="O745" s="35">
        <v>1</v>
      </c>
    </row>
    <row r="746" spans="1:15" x14ac:dyDescent="0.2">
      <c r="A746" s="29" t="s">
        <v>859</v>
      </c>
      <c r="B746" s="30">
        <v>45897</v>
      </c>
      <c r="C746" s="29" t="s">
        <v>860</v>
      </c>
      <c r="D746" s="29" t="s">
        <v>46</v>
      </c>
      <c r="E746" s="29" t="s">
        <v>192</v>
      </c>
      <c r="F746" s="31">
        <v>45706.55</v>
      </c>
      <c r="G746" s="31">
        <v>0</v>
      </c>
      <c r="H746" s="31">
        <v>45706.55</v>
      </c>
      <c r="I746" s="31">
        <v>36155.660000000003</v>
      </c>
      <c r="J746" s="31">
        <v>9550.89</v>
      </c>
      <c r="K746" s="32">
        <v>0.20896107999999999</v>
      </c>
      <c r="L746" s="29" t="s">
        <v>120</v>
      </c>
      <c r="M746" s="33" t="s">
        <v>46</v>
      </c>
      <c r="N746" s="34" t="s">
        <v>120</v>
      </c>
      <c r="O746" s="35">
        <v>1</v>
      </c>
    </row>
    <row r="747" spans="1:15" x14ac:dyDescent="0.2">
      <c r="A747" s="29" t="s">
        <v>859</v>
      </c>
      <c r="B747" s="30">
        <v>45898</v>
      </c>
      <c r="C747" s="29" t="s">
        <v>860</v>
      </c>
      <c r="D747" s="29" t="s">
        <v>46</v>
      </c>
      <c r="E747" s="29" t="s">
        <v>192</v>
      </c>
      <c r="F747" s="31">
        <v>0</v>
      </c>
      <c r="G747" s="31">
        <v>-72.459999999999994</v>
      </c>
      <c r="H747" s="31">
        <v>-72.459999999999994</v>
      </c>
      <c r="I747" s="31">
        <v>-823.96</v>
      </c>
      <c r="J747" s="31">
        <v>751.5</v>
      </c>
      <c r="K747" s="32">
        <v>-10.371239299999999</v>
      </c>
      <c r="L747" s="29" t="s">
        <v>120</v>
      </c>
      <c r="M747" s="33" t="s">
        <v>46</v>
      </c>
      <c r="N747" s="34" t="s">
        <v>120</v>
      </c>
      <c r="O747" s="35">
        <v>0</v>
      </c>
    </row>
    <row r="748" spans="1:15" x14ac:dyDescent="0.2">
      <c r="A748" s="29" t="s">
        <v>861</v>
      </c>
      <c r="B748" s="30">
        <v>45898</v>
      </c>
      <c r="C748" s="29" t="s">
        <v>862</v>
      </c>
      <c r="D748" s="29" t="s">
        <v>106</v>
      </c>
      <c r="E748" s="29" t="s">
        <v>199</v>
      </c>
      <c r="F748" s="31">
        <v>49635.19</v>
      </c>
      <c r="G748" s="31">
        <v>0</v>
      </c>
      <c r="H748" s="31">
        <v>49635.19</v>
      </c>
      <c r="I748" s="31">
        <v>39179.660000000003</v>
      </c>
      <c r="J748" s="31">
        <v>10455.530000000001</v>
      </c>
      <c r="K748" s="32">
        <v>0.21064753</v>
      </c>
      <c r="L748" s="29" t="s">
        <v>856</v>
      </c>
      <c r="M748" s="33" t="s">
        <v>106</v>
      </c>
      <c r="N748" s="34" t="s">
        <v>43</v>
      </c>
      <c r="O748" s="35">
        <v>1</v>
      </c>
    </row>
    <row r="749" spans="1:15" x14ac:dyDescent="0.2">
      <c r="A749" s="29" t="s">
        <v>863</v>
      </c>
      <c r="B749" s="30">
        <v>45883</v>
      </c>
      <c r="C749" s="29" t="s">
        <v>864</v>
      </c>
      <c r="D749" s="29" t="s">
        <v>106</v>
      </c>
      <c r="E749" s="29" t="s">
        <v>199</v>
      </c>
      <c r="F749" s="31">
        <v>4090.84</v>
      </c>
      <c r="G749" s="31">
        <v>0</v>
      </c>
      <c r="H749" s="31">
        <v>4090.84</v>
      </c>
      <c r="I749" s="31">
        <v>3331.11</v>
      </c>
      <c r="J749" s="31">
        <v>759.73</v>
      </c>
      <c r="K749" s="32">
        <v>0.18571491000000001</v>
      </c>
      <c r="L749" s="29" t="s">
        <v>316</v>
      </c>
      <c r="M749" s="33" t="s">
        <v>106</v>
      </c>
      <c r="N749" s="34" t="s">
        <v>111</v>
      </c>
      <c r="O749" s="35">
        <v>1</v>
      </c>
    </row>
    <row r="750" spans="1:15" x14ac:dyDescent="0.2">
      <c r="A750" s="29" t="s">
        <v>863</v>
      </c>
      <c r="B750" s="30">
        <v>45887</v>
      </c>
      <c r="C750" s="29" t="s">
        <v>864</v>
      </c>
      <c r="D750" s="29" t="s">
        <v>106</v>
      </c>
      <c r="E750" s="29" t="s">
        <v>199</v>
      </c>
      <c r="F750" s="31">
        <v>0</v>
      </c>
      <c r="G750" s="31">
        <v>0</v>
      </c>
      <c r="H750" s="31">
        <v>0</v>
      </c>
      <c r="I750" s="31">
        <v>-104</v>
      </c>
      <c r="J750" s="31">
        <v>104</v>
      </c>
      <c r="K750" s="32">
        <v>0</v>
      </c>
      <c r="L750" s="29" t="s">
        <v>316</v>
      </c>
      <c r="M750" s="33" t="s">
        <v>106</v>
      </c>
      <c r="N750" s="34" t="s">
        <v>111</v>
      </c>
      <c r="O750" s="35">
        <v>0</v>
      </c>
    </row>
    <row r="751" spans="1:15" x14ac:dyDescent="0.2">
      <c r="A751" s="29" t="s">
        <v>865</v>
      </c>
      <c r="B751" s="30">
        <v>45876</v>
      </c>
      <c r="C751" s="29" t="s">
        <v>866</v>
      </c>
      <c r="D751" s="29" t="s">
        <v>48</v>
      </c>
      <c r="E751" s="29" t="s">
        <v>192</v>
      </c>
      <c r="F751" s="31">
        <v>0</v>
      </c>
      <c r="G751" s="31">
        <v>36465</v>
      </c>
      <c r="H751" s="31">
        <v>36465</v>
      </c>
      <c r="I751" s="31">
        <v>29500</v>
      </c>
      <c r="J751" s="31">
        <v>6965</v>
      </c>
      <c r="K751" s="32">
        <v>0.19100507</v>
      </c>
      <c r="L751" s="29" t="s">
        <v>257</v>
      </c>
      <c r="M751" s="33" t="s">
        <v>48</v>
      </c>
      <c r="N751" s="34" t="s">
        <v>257</v>
      </c>
      <c r="O751" s="35">
        <v>0</v>
      </c>
    </row>
    <row r="752" spans="1:15" x14ac:dyDescent="0.2">
      <c r="A752" s="29" t="s">
        <v>865</v>
      </c>
      <c r="B752" s="30">
        <v>45898</v>
      </c>
      <c r="C752" s="29" t="s">
        <v>866</v>
      </c>
      <c r="D752" s="29" t="s">
        <v>48</v>
      </c>
      <c r="E752" s="29" t="s">
        <v>192</v>
      </c>
      <c r="F752" s="31">
        <v>0</v>
      </c>
      <c r="G752" s="31">
        <v>-37000</v>
      </c>
      <c r="H752" s="31">
        <v>-37000</v>
      </c>
      <c r="I752" s="31">
        <v>5416.25</v>
      </c>
      <c r="J752" s="31">
        <v>-42416.25</v>
      </c>
      <c r="K752" s="32">
        <v>1.14638514</v>
      </c>
      <c r="L752" s="29" t="s">
        <v>257</v>
      </c>
      <c r="M752" s="33" t="s">
        <v>48</v>
      </c>
      <c r="N752" s="34" t="s">
        <v>257</v>
      </c>
      <c r="O752" s="35">
        <v>0</v>
      </c>
    </row>
    <row r="753" spans="1:15" x14ac:dyDescent="0.2">
      <c r="A753" s="29" t="s">
        <v>867</v>
      </c>
      <c r="B753" s="30">
        <v>45873</v>
      </c>
      <c r="C753" s="29" t="s">
        <v>868</v>
      </c>
      <c r="D753" s="29" t="s">
        <v>19</v>
      </c>
      <c r="E753" s="29" t="s">
        <v>192</v>
      </c>
      <c r="F753" s="31">
        <v>0</v>
      </c>
      <c r="G753" s="31">
        <v>0</v>
      </c>
      <c r="H753" s="31">
        <v>0</v>
      </c>
      <c r="I753" s="31">
        <v>-132.30000000000001</v>
      </c>
      <c r="J753" s="31">
        <v>132.30000000000001</v>
      </c>
      <c r="K753" s="32">
        <v>0</v>
      </c>
      <c r="L753" s="29" t="s">
        <v>16</v>
      </c>
      <c r="M753" s="33" t="s">
        <v>19</v>
      </c>
      <c r="N753" s="34" t="s">
        <v>16</v>
      </c>
      <c r="O753" s="35">
        <v>0</v>
      </c>
    </row>
    <row r="754" spans="1:15" x14ac:dyDescent="0.2">
      <c r="A754" s="29" t="s">
        <v>869</v>
      </c>
      <c r="B754" s="30">
        <v>45874</v>
      </c>
      <c r="C754" s="29" t="s">
        <v>868</v>
      </c>
      <c r="D754" s="29" t="s">
        <v>19</v>
      </c>
      <c r="E754" s="29" t="s">
        <v>192</v>
      </c>
      <c r="F754" s="31">
        <v>0</v>
      </c>
      <c r="G754" s="31">
        <v>0</v>
      </c>
      <c r="H754" s="31">
        <v>0</v>
      </c>
      <c r="I754" s="31">
        <v>3604.8</v>
      </c>
      <c r="J754" s="31">
        <v>-3604.8</v>
      </c>
      <c r="K754" s="32">
        <v>0</v>
      </c>
      <c r="L754" s="29" t="s">
        <v>16</v>
      </c>
      <c r="M754" s="33" t="s">
        <v>19</v>
      </c>
      <c r="N754" s="34" t="s">
        <v>16</v>
      </c>
      <c r="O754" s="35">
        <v>0</v>
      </c>
    </row>
    <row r="755" spans="1:15" x14ac:dyDescent="0.2">
      <c r="A755" s="29" t="s">
        <v>869</v>
      </c>
      <c r="B755" s="30">
        <v>45895</v>
      </c>
      <c r="C755" s="29" t="s">
        <v>868</v>
      </c>
      <c r="D755" s="29" t="s">
        <v>19</v>
      </c>
      <c r="E755" s="29" t="s">
        <v>192</v>
      </c>
      <c r="F755" s="31">
        <v>0</v>
      </c>
      <c r="G755" s="31">
        <v>0</v>
      </c>
      <c r="H755" s="31">
        <v>0</v>
      </c>
      <c r="I755" s="31">
        <v>109.55</v>
      </c>
      <c r="J755" s="31">
        <v>-109.55</v>
      </c>
      <c r="K755" s="32">
        <v>0</v>
      </c>
      <c r="L755" s="29" t="s">
        <v>16</v>
      </c>
      <c r="M755" s="33" t="s">
        <v>19</v>
      </c>
      <c r="N755" s="34" t="s">
        <v>16</v>
      </c>
      <c r="O755" s="35">
        <v>0</v>
      </c>
    </row>
    <row r="756" spans="1:15" x14ac:dyDescent="0.2">
      <c r="A756" s="29" t="s">
        <v>870</v>
      </c>
      <c r="B756" s="30">
        <v>45897</v>
      </c>
      <c r="C756" s="29" t="s">
        <v>868</v>
      </c>
      <c r="D756" s="29" t="s">
        <v>19</v>
      </c>
      <c r="E756" s="29" t="s">
        <v>192</v>
      </c>
      <c r="F756" s="31">
        <v>277.02</v>
      </c>
      <c r="G756" s="31">
        <v>0</v>
      </c>
      <c r="H756" s="31">
        <v>277.02</v>
      </c>
      <c r="I756" s="31">
        <v>243.79</v>
      </c>
      <c r="J756" s="31">
        <v>33.229999999999997</v>
      </c>
      <c r="K756" s="32">
        <v>0.11995524</v>
      </c>
      <c r="L756" s="29" t="s">
        <v>16</v>
      </c>
      <c r="M756" s="33" t="s">
        <v>19</v>
      </c>
      <c r="N756" s="34" t="s">
        <v>16</v>
      </c>
      <c r="O756" s="35">
        <v>1</v>
      </c>
    </row>
    <row r="757" spans="1:15" x14ac:dyDescent="0.2">
      <c r="A757" s="29" t="s">
        <v>869</v>
      </c>
      <c r="B757" s="30">
        <v>45898</v>
      </c>
      <c r="C757" s="29" t="s">
        <v>868</v>
      </c>
      <c r="D757" s="29" t="s">
        <v>19</v>
      </c>
      <c r="E757" s="29" t="s">
        <v>192</v>
      </c>
      <c r="F757" s="31">
        <v>0</v>
      </c>
      <c r="G757" s="31">
        <v>0</v>
      </c>
      <c r="H757" s="31">
        <v>0</v>
      </c>
      <c r="I757" s="31">
        <v>-9.4499999999999993</v>
      </c>
      <c r="J757" s="31">
        <v>9.4499999999999993</v>
      </c>
      <c r="K757" s="32">
        <v>0</v>
      </c>
      <c r="L757" s="29" t="s">
        <v>16</v>
      </c>
      <c r="M757" s="33" t="s">
        <v>19</v>
      </c>
      <c r="N757" s="34" t="s">
        <v>16</v>
      </c>
      <c r="O757" s="35">
        <v>0</v>
      </c>
    </row>
    <row r="758" spans="1:15" x14ac:dyDescent="0.2">
      <c r="A758" s="29" t="s">
        <v>871</v>
      </c>
      <c r="B758" s="30">
        <v>45899</v>
      </c>
      <c r="C758" s="29" t="s">
        <v>868</v>
      </c>
      <c r="D758" s="29" t="s">
        <v>19</v>
      </c>
      <c r="E758" s="29" t="s">
        <v>192</v>
      </c>
      <c r="F758" s="31">
        <v>0</v>
      </c>
      <c r="G758" s="31">
        <v>0</v>
      </c>
      <c r="H758" s="31">
        <v>0</v>
      </c>
      <c r="I758" s="31">
        <v>2025</v>
      </c>
      <c r="J758" s="31">
        <v>-2025</v>
      </c>
      <c r="K758" s="32">
        <v>0</v>
      </c>
      <c r="L758" s="29" t="s">
        <v>16</v>
      </c>
      <c r="M758" s="33" t="s">
        <v>19</v>
      </c>
      <c r="N758" s="34" t="s">
        <v>16</v>
      </c>
      <c r="O758" s="35">
        <v>0</v>
      </c>
    </row>
    <row r="759" spans="1:15" x14ac:dyDescent="0.2">
      <c r="A759" s="29" t="s">
        <v>872</v>
      </c>
      <c r="B759" s="30">
        <v>45875</v>
      </c>
      <c r="C759" s="29" t="s">
        <v>54</v>
      </c>
      <c r="D759" s="29" t="s">
        <v>873</v>
      </c>
      <c r="E759" s="29" t="s">
        <v>227</v>
      </c>
      <c r="F759" s="31">
        <v>7743.5</v>
      </c>
      <c r="G759" s="31">
        <v>0</v>
      </c>
      <c r="H759" s="31">
        <v>7743.5</v>
      </c>
      <c r="I759" s="31">
        <v>5523</v>
      </c>
      <c r="J759" s="31">
        <v>2220.5</v>
      </c>
      <c r="K759" s="32">
        <v>0.28675663000000001</v>
      </c>
      <c r="L759" s="29" t="s">
        <v>168</v>
      </c>
      <c r="M759" s="33" t="s">
        <v>65</v>
      </c>
      <c r="N759" s="34" t="s">
        <v>168</v>
      </c>
      <c r="O759" s="35">
        <v>1</v>
      </c>
    </row>
    <row r="760" spans="1:15" x14ac:dyDescent="0.2">
      <c r="A760" s="29" t="s">
        <v>874</v>
      </c>
      <c r="B760" s="30">
        <v>45877</v>
      </c>
      <c r="C760" s="29" t="s">
        <v>54</v>
      </c>
      <c r="D760" s="29" t="s">
        <v>873</v>
      </c>
      <c r="E760" s="29" t="s">
        <v>227</v>
      </c>
      <c r="F760" s="31">
        <v>35769.050000000003</v>
      </c>
      <c r="G760" s="31">
        <v>0</v>
      </c>
      <c r="H760" s="31">
        <v>35769.050000000003</v>
      </c>
      <c r="I760" s="31">
        <v>26382.14</v>
      </c>
      <c r="J760" s="31">
        <v>9386.91</v>
      </c>
      <c r="K760" s="32">
        <v>0.26243106999999999</v>
      </c>
      <c r="L760" s="29" t="s">
        <v>168</v>
      </c>
      <c r="M760" s="33" t="s">
        <v>65</v>
      </c>
      <c r="N760" s="34" t="s">
        <v>168</v>
      </c>
      <c r="O760" s="35">
        <v>1</v>
      </c>
    </row>
    <row r="761" spans="1:15" x14ac:dyDescent="0.2">
      <c r="A761" s="29" t="s">
        <v>875</v>
      </c>
      <c r="B761" s="30">
        <v>45894</v>
      </c>
      <c r="C761" s="29" t="s">
        <v>54</v>
      </c>
      <c r="D761" s="29" t="s">
        <v>873</v>
      </c>
      <c r="E761" s="29" t="s">
        <v>227</v>
      </c>
      <c r="F761" s="31">
        <v>6502.65</v>
      </c>
      <c r="G761" s="31">
        <v>0</v>
      </c>
      <c r="H761" s="31">
        <v>6502.65</v>
      </c>
      <c r="I761" s="31">
        <v>4611.8599999999997</v>
      </c>
      <c r="J761" s="31">
        <v>1890.79</v>
      </c>
      <c r="K761" s="32">
        <v>0.29077222000000003</v>
      </c>
      <c r="L761" s="29" t="s">
        <v>168</v>
      </c>
      <c r="M761" s="33" t="s">
        <v>65</v>
      </c>
      <c r="N761" s="34" t="s">
        <v>168</v>
      </c>
      <c r="O761" s="35">
        <v>1</v>
      </c>
    </row>
    <row r="762" spans="1:15" x14ac:dyDescent="0.2">
      <c r="A762" s="29" t="s">
        <v>876</v>
      </c>
      <c r="B762" s="30">
        <v>45894</v>
      </c>
      <c r="C762" s="29" t="s">
        <v>54</v>
      </c>
      <c r="D762" s="29" t="s">
        <v>873</v>
      </c>
      <c r="E762" s="29" t="s">
        <v>227</v>
      </c>
      <c r="F762" s="31">
        <v>0</v>
      </c>
      <c r="G762" s="31">
        <v>0</v>
      </c>
      <c r="H762" s="31">
        <v>0</v>
      </c>
      <c r="I762" s="31">
        <v>-9.41</v>
      </c>
      <c r="J762" s="31">
        <v>9.41</v>
      </c>
      <c r="K762" s="32">
        <v>0</v>
      </c>
      <c r="L762" s="29" t="s">
        <v>877</v>
      </c>
      <c r="M762" s="33" t="s">
        <v>65</v>
      </c>
      <c r="N762" s="34" t="s">
        <v>168</v>
      </c>
      <c r="O762" s="35">
        <v>0</v>
      </c>
    </row>
    <row r="763" spans="1:15" x14ac:dyDescent="0.2">
      <c r="A763" s="29" t="s">
        <v>878</v>
      </c>
      <c r="B763" s="30">
        <v>45873</v>
      </c>
      <c r="C763" s="29" t="s">
        <v>54</v>
      </c>
      <c r="D763" s="29" t="s">
        <v>15</v>
      </c>
      <c r="E763" s="29" t="s">
        <v>227</v>
      </c>
      <c r="F763" s="31">
        <v>0</v>
      </c>
      <c r="G763" s="31">
        <v>0</v>
      </c>
      <c r="H763" s="31">
        <v>0</v>
      </c>
      <c r="I763" s="31">
        <v>33.19</v>
      </c>
      <c r="J763" s="31">
        <v>-33.19</v>
      </c>
      <c r="K763" s="32">
        <v>0</v>
      </c>
      <c r="L763" s="29" t="s">
        <v>153</v>
      </c>
      <c r="M763" s="33" t="s">
        <v>15</v>
      </c>
      <c r="N763" s="34" t="s">
        <v>153</v>
      </c>
      <c r="O763" s="35">
        <v>0</v>
      </c>
    </row>
    <row r="764" spans="1:15" x14ac:dyDescent="0.2">
      <c r="A764" s="29" t="s">
        <v>879</v>
      </c>
      <c r="B764" s="30">
        <v>45882</v>
      </c>
      <c r="C764" s="29" t="s">
        <v>54</v>
      </c>
      <c r="D764" s="29" t="s">
        <v>15</v>
      </c>
      <c r="E764" s="29" t="s">
        <v>227</v>
      </c>
      <c r="F764" s="31">
        <v>0</v>
      </c>
      <c r="G764" s="31">
        <v>0</v>
      </c>
      <c r="H764" s="31">
        <v>0</v>
      </c>
      <c r="I764" s="31">
        <v>661</v>
      </c>
      <c r="J764" s="31">
        <v>-661</v>
      </c>
      <c r="K764" s="32">
        <v>0</v>
      </c>
      <c r="L764" s="29" t="s">
        <v>153</v>
      </c>
      <c r="M764" s="33" t="s">
        <v>15</v>
      </c>
      <c r="N764" s="34" t="s">
        <v>153</v>
      </c>
      <c r="O764" s="35">
        <v>0</v>
      </c>
    </row>
    <row r="765" spans="1:15" x14ac:dyDescent="0.2">
      <c r="A765" s="29" t="s">
        <v>880</v>
      </c>
      <c r="B765" s="30">
        <v>45896</v>
      </c>
      <c r="C765" s="29" t="s">
        <v>54</v>
      </c>
      <c r="D765" s="29" t="s">
        <v>15</v>
      </c>
      <c r="E765" s="29" t="s">
        <v>227</v>
      </c>
      <c r="F765" s="31">
        <v>1462.41</v>
      </c>
      <c r="G765" s="31">
        <v>0</v>
      </c>
      <c r="H765" s="31">
        <v>1462.41</v>
      </c>
      <c r="I765" s="31">
        <v>1195.1400000000001</v>
      </c>
      <c r="J765" s="31">
        <v>267.27</v>
      </c>
      <c r="K765" s="32">
        <v>0.18275996</v>
      </c>
      <c r="L765" s="29" t="s">
        <v>153</v>
      </c>
      <c r="M765" s="33" t="s">
        <v>15</v>
      </c>
      <c r="N765" s="34" t="s">
        <v>153</v>
      </c>
      <c r="O765" s="35">
        <v>1</v>
      </c>
    </row>
    <row r="766" spans="1:15" x14ac:dyDescent="0.2">
      <c r="A766" s="29" t="s">
        <v>879</v>
      </c>
      <c r="B766" s="30">
        <v>45897</v>
      </c>
      <c r="C766" s="29" t="s">
        <v>54</v>
      </c>
      <c r="D766" s="29" t="s">
        <v>15</v>
      </c>
      <c r="E766" s="29" t="s">
        <v>227</v>
      </c>
      <c r="F766" s="31">
        <v>0</v>
      </c>
      <c r="G766" s="31">
        <v>0</v>
      </c>
      <c r="H766" s="31">
        <v>0</v>
      </c>
      <c r="I766" s="31">
        <v>304</v>
      </c>
      <c r="J766" s="31">
        <v>-304</v>
      </c>
      <c r="K766" s="32">
        <v>0</v>
      </c>
      <c r="L766" s="29" t="s">
        <v>153</v>
      </c>
      <c r="M766" s="33" t="s">
        <v>15</v>
      </c>
      <c r="N766" s="34" t="s">
        <v>153</v>
      </c>
      <c r="O766" s="35">
        <v>0</v>
      </c>
    </row>
    <row r="767" spans="1:15" x14ac:dyDescent="0.2">
      <c r="A767" s="29" t="s">
        <v>880</v>
      </c>
      <c r="B767" s="30">
        <v>45898</v>
      </c>
      <c r="C767" s="29" t="s">
        <v>54</v>
      </c>
      <c r="D767" s="29" t="s">
        <v>15</v>
      </c>
      <c r="E767" s="29" t="s">
        <v>227</v>
      </c>
      <c r="F767" s="31">
        <v>0</v>
      </c>
      <c r="G767" s="31">
        <v>0</v>
      </c>
      <c r="H767" s="31">
        <v>0</v>
      </c>
      <c r="I767" s="31">
        <v>-26.8</v>
      </c>
      <c r="J767" s="31">
        <v>26.8</v>
      </c>
      <c r="K767" s="32">
        <v>0</v>
      </c>
      <c r="L767" s="29" t="s">
        <v>153</v>
      </c>
      <c r="M767" s="33" t="s">
        <v>15</v>
      </c>
      <c r="N767" s="34" t="s">
        <v>153</v>
      </c>
      <c r="O767" s="35">
        <v>0</v>
      </c>
    </row>
    <row r="768" spans="1:15" x14ac:dyDescent="0.2">
      <c r="A768" s="29" t="s">
        <v>881</v>
      </c>
      <c r="B768" s="30">
        <v>45870</v>
      </c>
      <c r="C768" s="29" t="s">
        <v>882</v>
      </c>
      <c r="D768" s="29" t="s">
        <v>15</v>
      </c>
      <c r="E768" s="29" t="s">
        <v>227</v>
      </c>
      <c r="F768" s="31">
        <v>0</v>
      </c>
      <c r="G768" s="31">
        <v>0</v>
      </c>
      <c r="H768" s="31">
        <v>0</v>
      </c>
      <c r="I768" s="31">
        <v>0</v>
      </c>
      <c r="J768" s="31">
        <v>0</v>
      </c>
      <c r="K768" s="32">
        <v>0</v>
      </c>
      <c r="L768" s="29" t="s">
        <v>153</v>
      </c>
      <c r="M768" s="33" t="s">
        <v>15</v>
      </c>
      <c r="N768" s="34" t="s">
        <v>153</v>
      </c>
      <c r="O768" s="35">
        <v>0</v>
      </c>
    </row>
    <row r="769" spans="1:15" x14ac:dyDescent="0.2">
      <c r="A769" s="29" t="s">
        <v>883</v>
      </c>
      <c r="B769" s="30">
        <v>45881</v>
      </c>
      <c r="C769" s="29" t="s">
        <v>884</v>
      </c>
      <c r="D769" s="29" t="s">
        <v>9</v>
      </c>
      <c r="E769" s="29" t="s">
        <v>227</v>
      </c>
      <c r="F769" s="31">
        <v>12365.85</v>
      </c>
      <c r="G769" s="31">
        <v>0</v>
      </c>
      <c r="H769" s="31">
        <v>12365.85</v>
      </c>
      <c r="I769" s="31">
        <v>9646.9500000000007</v>
      </c>
      <c r="J769" s="31">
        <v>2718.9</v>
      </c>
      <c r="K769" s="32">
        <v>0.21987166</v>
      </c>
      <c r="L769" s="29" t="s">
        <v>122</v>
      </c>
      <c r="M769" s="33" t="s">
        <v>9</v>
      </c>
      <c r="N769" s="34" t="s">
        <v>122</v>
      </c>
      <c r="O769" s="35">
        <v>1</v>
      </c>
    </row>
    <row r="770" spans="1:15" x14ac:dyDescent="0.2">
      <c r="A770" s="29" t="s">
        <v>883</v>
      </c>
      <c r="B770" s="30">
        <v>45883</v>
      </c>
      <c r="C770" s="29" t="s">
        <v>884</v>
      </c>
      <c r="D770" s="29" t="s">
        <v>9</v>
      </c>
      <c r="E770" s="29" t="s">
        <v>227</v>
      </c>
      <c r="F770" s="31">
        <v>0</v>
      </c>
      <c r="G770" s="31">
        <v>0</v>
      </c>
      <c r="H770" s="31">
        <v>0</v>
      </c>
      <c r="I770" s="31">
        <v>-95</v>
      </c>
      <c r="J770" s="31">
        <v>95</v>
      </c>
      <c r="K770" s="32">
        <v>0</v>
      </c>
      <c r="L770" s="29" t="s">
        <v>122</v>
      </c>
      <c r="M770" s="33" t="s">
        <v>9</v>
      </c>
      <c r="N770" s="34" t="s">
        <v>122</v>
      </c>
      <c r="O770" s="35">
        <v>0</v>
      </c>
    </row>
    <row r="771" spans="1:15" x14ac:dyDescent="0.2">
      <c r="A771" s="29" t="s">
        <v>883</v>
      </c>
      <c r="B771" s="30">
        <v>45896</v>
      </c>
      <c r="C771" s="29" t="s">
        <v>884</v>
      </c>
      <c r="D771" s="29" t="s">
        <v>9</v>
      </c>
      <c r="E771" s="29" t="s">
        <v>227</v>
      </c>
      <c r="F771" s="31">
        <v>0</v>
      </c>
      <c r="G771" s="31">
        <v>0</v>
      </c>
      <c r="H771" s="31">
        <v>0</v>
      </c>
      <c r="I771" s="31">
        <v>-75</v>
      </c>
      <c r="J771" s="31">
        <v>75</v>
      </c>
      <c r="K771" s="32">
        <v>0</v>
      </c>
      <c r="L771" s="29" t="s">
        <v>122</v>
      </c>
      <c r="M771" s="33" t="s">
        <v>9</v>
      </c>
      <c r="N771" s="34" t="s">
        <v>122</v>
      </c>
      <c r="O771" s="35">
        <v>0</v>
      </c>
    </row>
    <row r="772" spans="1:15" x14ac:dyDescent="0.2">
      <c r="A772" s="29" t="s">
        <v>885</v>
      </c>
      <c r="B772" s="30">
        <v>45897</v>
      </c>
      <c r="C772" s="29" t="s">
        <v>886</v>
      </c>
      <c r="D772" s="29" t="s">
        <v>15</v>
      </c>
      <c r="E772" s="29" t="s">
        <v>227</v>
      </c>
      <c r="F772" s="31">
        <v>0</v>
      </c>
      <c r="G772" s="31">
        <v>0</v>
      </c>
      <c r="H772" s="31">
        <v>0</v>
      </c>
      <c r="I772" s="31">
        <v>119.42</v>
      </c>
      <c r="J772" s="31">
        <v>-119.42</v>
      </c>
      <c r="K772" s="32">
        <v>0</v>
      </c>
      <c r="L772" s="29" t="s">
        <v>153</v>
      </c>
      <c r="M772" s="33" t="s">
        <v>15</v>
      </c>
      <c r="N772" s="34" t="s">
        <v>153</v>
      </c>
      <c r="O772" s="35">
        <v>0</v>
      </c>
    </row>
    <row r="773" spans="1:15" x14ac:dyDescent="0.2">
      <c r="A773" s="29" t="s">
        <v>887</v>
      </c>
      <c r="B773" s="30">
        <v>45897</v>
      </c>
      <c r="C773" s="29" t="s">
        <v>886</v>
      </c>
      <c r="D773" s="29" t="s">
        <v>15</v>
      </c>
      <c r="E773" s="29" t="s">
        <v>227</v>
      </c>
      <c r="F773" s="31">
        <v>0</v>
      </c>
      <c r="G773" s="31">
        <v>260</v>
      </c>
      <c r="H773" s="31">
        <v>260</v>
      </c>
      <c r="I773" s="31">
        <v>200</v>
      </c>
      <c r="J773" s="31">
        <v>60</v>
      </c>
      <c r="K773" s="32">
        <v>0.23076922999999999</v>
      </c>
      <c r="L773" s="29" t="s">
        <v>153</v>
      </c>
      <c r="M773" s="33" t="s">
        <v>15</v>
      </c>
      <c r="N773" s="34" t="s">
        <v>153</v>
      </c>
      <c r="O773" s="35">
        <v>0</v>
      </c>
    </row>
    <row r="774" spans="1:15" x14ac:dyDescent="0.2">
      <c r="A774" s="29" t="s">
        <v>887</v>
      </c>
      <c r="B774" s="30">
        <v>45898</v>
      </c>
      <c r="C774" s="29" t="s">
        <v>886</v>
      </c>
      <c r="D774" s="29" t="s">
        <v>15</v>
      </c>
      <c r="E774" s="29" t="s">
        <v>227</v>
      </c>
      <c r="F774" s="31">
        <v>0</v>
      </c>
      <c r="G774" s="31">
        <v>-260</v>
      </c>
      <c r="H774" s="31">
        <v>-260</v>
      </c>
      <c r="I774" s="31">
        <v>-200</v>
      </c>
      <c r="J774" s="31">
        <v>-60</v>
      </c>
      <c r="K774" s="32">
        <v>0.23076922999999999</v>
      </c>
      <c r="L774" s="29" t="s">
        <v>153</v>
      </c>
      <c r="M774" s="33" t="s">
        <v>15</v>
      </c>
      <c r="N774" s="34" t="s">
        <v>153</v>
      </c>
      <c r="O774" s="35">
        <v>0</v>
      </c>
    </row>
    <row r="775" spans="1:15" x14ac:dyDescent="0.2">
      <c r="A775" s="29" t="s">
        <v>888</v>
      </c>
      <c r="B775" s="30">
        <v>45898</v>
      </c>
      <c r="C775" s="29" t="s">
        <v>889</v>
      </c>
      <c r="D775" s="29" t="s">
        <v>15</v>
      </c>
      <c r="E775" s="29" t="s">
        <v>227</v>
      </c>
      <c r="F775" s="31">
        <v>0</v>
      </c>
      <c r="G775" s="31">
        <v>0</v>
      </c>
      <c r="H775" s="31">
        <v>0</v>
      </c>
      <c r="I775" s="31">
        <v>593.1</v>
      </c>
      <c r="J775" s="31">
        <v>-593.1</v>
      </c>
      <c r="K775" s="32">
        <v>0</v>
      </c>
      <c r="L775" s="29" t="s">
        <v>153</v>
      </c>
      <c r="M775" s="33" t="s">
        <v>15</v>
      </c>
      <c r="N775" s="34" t="s">
        <v>153</v>
      </c>
      <c r="O775" s="35">
        <v>0</v>
      </c>
    </row>
    <row r="776" spans="1:15" x14ac:dyDescent="0.2">
      <c r="A776" s="29" t="s">
        <v>890</v>
      </c>
      <c r="B776" s="30">
        <v>45898</v>
      </c>
      <c r="C776" s="29" t="s">
        <v>889</v>
      </c>
      <c r="D776" s="29" t="s">
        <v>15</v>
      </c>
      <c r="E776" s="29" t="s">
        <v>227</v>
      </c>
      <c r="F776" s="31">
        <v>268.23</v>
      </c>
      <c r="G776" s="31">
        <v>0</v>
      </c>
      <c r="H776" s="31">
        <v>268.23</v>
      </c>
      <c r="I776" s="31">
        <v>0</v>
      </c>
      <c r="J776" s="31">
        <v>268.23</v>
      </c>
      <c r="K776" s="32">
        <v>1</v>
      </c>
      <c r="L776" s="29" t="s">
        <v>153</v>
      </c>
      <c r="M776" s="33" t="s">
        <v>15</v>
      </c>
      <c r="N776" s="34" t="s">
        <v>153</v>
      </c>
      <c r="O776" s="35">
        <v>1</v>
      </c>
    </row>
    <row r="777" spans="1:15" x14ac:dyDescent="0.2">
      <c r="A777" s="29" t="s">
        <v>891</v>
      </c>
      <c r="B777" s="30">
        <v>45889</v>
      </c>
      <c r="C777" s="29" t="s">
        <v>892</v>
      </c>
      <c r="D777" s="29" t="s">
        <v>106</v>
      </c>
      <c r="E777" s="29" t="s">
        <v>199</v>
      </c>
      <c r="F777" s="31">
        <v>2186.08</v>
      </c>
      <c r="G777" s="31">
        <v>0</v>
      </c>
      <c r="H777" s="31">
        <v>2186.08</v>
      </c>
      <c r="I777" s="31">
        <v>1761.07</v>
      </c>
      <c r="J777" s="31">
        <v>425.01</v>
      </c>
      <c r="K777" s="32">
        <v>0.19441649</v>
      </c>
      <c r="L777" s="29" t="s">
        <v>109</v>
      </c>
      <c r="M777" s="33" t="s">
        <v>106</v>
      </c>
      <c r="N777" s="34" t="s">
        <v>109</v>
      </c>
      <c r="O777" s="35">
        <v>1</v>
      </c>
    </row>
    <row r="778" spans="1:15" x14ac:dyDescent="0.2">
      <c r="A778" s="29" t="s">
        <v>893</v>
      </c>
      <c r="B778" s="30">
        <v>45895</v>
      </c>
      <c r="C778" s="29" t="s">
        <v>894</v>
      </c>
      <c r="D778" s="29" t="s">
        <v>19</v>
      </c>
      <c r="E778" s="29" t="s">
        <v>192</v>
      </c>
      <c r="F778" s="31">
        <v>0</v>
      </c>
      <c r="G778" s="31">
        <v>0</v>
      </c>
      <c r="H778" s="31">
        <v>0</v>
      </c>
      <c r="I778" s="31">
        <v>100</v>
      </c>
      <c r="J778" s="31">
        <v>-100</v>
      </c>
      <c r="K778" s="32">
        <v>0</v>
      </c>
      <c r="L778" s="29" t="s">
        <v>131</v>
      </c>
      <c r="M778" s="33" t="s">
        <v>19</v>
      </c>
      <c r="N778" s="34" t="s">
        <v>131</v>
      </c>
      <c r="O778" s="35">
        <v>0</v>
      </c>
    </row>
    <row r="779" spans="1:15" x14ac:dyDescent="0.2">
      <c r="A779" s="29" t="s">
        <v>895</v>
      </c>
      <c r="B779" s="30">
        <v>45897</v>
      </c>
      <c r="C779" s="29" t="s">
        <v>896</v>
      </c>
      <c r="D779" s="29" t="s">
        <v>19</v>
      </c>
      <c r="E779" s="29" t="s">
        <v>192</v>
      </c>
      <c r="F779" s="31">
        <v>4430.76</v>
      </c>
      <c r="G779" s="31">
        <v>0</v>
      </c>
      <c r="H779" s="31">
        <v>4430.76</v>
      </c>
      <c r="I779" s="31">
        <v>2880</v>
      </c>
      <c r="J779" s="31">
        <v>1550.76</v>
      </c>
      <c r="K779" s="32">
        <v>0.34999865000000002</v>
      </c>
      <c r="L779" s="29" t="s">
        <v>85</v>
      </c>
      <c r="M779" s="33" t="s">
        <v>19</v>
      </c>
      <c r="N779" s="34" t="s">
        <v>85</v>
      </c>
      <c r="O779" s="35">
        <v>1</v>
      </c>
    </row>
    <row r="780" spans="1:15" x14ac:dyDescent="0.2">
      <c r="A780" s="29" t="s">
        <v>897</v>
      </c>
      <c r="B780" s="30">
        <v>45870</v>
      </c>
      <c r="C780" s="29" t="s">
        <v>898</v>
      </c>
      <c r="D780" s="29" t="s">
        <v>19</v>
      </c>
      <c r="E780" s="29" t="s">
        <v>192</v>
      </c>
      <c r="F780" s="31">
        <v>0</v>
      </c>
      <c r="G780" s="31">
        <v>0</v>
      </c>
      <c r="H780" s="31">
        <v>0</v>
      </c>
      <c r="I780" s="31">
        <v>74.59</v>
      </c>
      <c r="J780" s="31">
        <v>-74.59</v>
      </c>
      <c r="K780" s="32">
        <v>0</v>
      </c>
      <c r="L780" s="29" t="s">
        <v>144</v>
      </c>
      <c r="M780" s="33" t="s">
        <v>19</v>
      </c>
      <c r="N780" s="34" t="s">
        <v>144</v>
      </c>
      <c r="O780" s="35">
        <v>0</v>
      </c>
    </row>
    <row r="781" spans="1:15" x14ac:dyDescent="0.2">
      <c r="A781" s="29" t="s">
        <v>897</v>
      </c>
      <c r="B781" s="30">
        <v>45873</v>
      </c>
      <c r="C781" s="29" t="s">
        <v>898</v>
      </c>
      <c r="D781" s="29" t="s">
        <v>19</v>
      </c>
      <c r="E781" s="29" t="s">
        <v>192</v>
      </c>
      <c r="F781" s="31">
        <v>0</v>
      </c>
      <c r="G781" s="31">
        <v>0</v>
      </c>
      <c r="H781" s="31">
        <v>0</v>
      </c>
      <c r="I781" s="31">
        <v>5.48</v>
      </c>
      <c r="J781" s="31">
        <v>-5.48</v>
      </c>
      <c r="K781" s="32">
        <v>0</v>
      </c>
      <c r="L781" s="29" t="s">
        <v>144</v>
      </c>
      <c r="M781" s="33" t="s">
        <v>19</v>
      </c>
      <c r="N781" s="34" t="s">
        <v>144</v>
      </c>
      <c r="O781" s="35">
        <v>0</v>
      </c>
    </row>
    <row r="782" spans="1:15" x14ac:dyDescent="0.2">
      <c r="A782" s="29" t="s">
        <v>897</v>
      </c>
      <c r="B782" s="30">
        <v>45875</v>
      </c>
      <c r="C782" s="29" t="s">
        <v>898</v>
      </c>
      <c r="D782" s="29" t="s">
        <v>19</v>
      </c>
      <c r="E782" s="29" t="s">
        <v>192</v>
      </c>
      <c r="F782" s="31">
        <v>0</v>
      </c>
      <c r="G782" s="31">
        <v>0</v>
      </c>
      <c r="H782" s="31">
        <v>0</v>
      </c>
      <c r="I782" s="31">
        <v>0.27</v>
      </c>
      <c r="J782" s="31">
        <v>-0.27</v>
      </c>
      <c r="K782" s="32">
        <v>0</v>
      </c>
      <c r="L782" s="29" t="s">
        <v>144</v>
      </c>
      <c r="M782" s="33" t="s">
        <v>19</v>
      </c>
      <c r="N782" s="34" t="s">
        <v>144</v>
      </c>
      <c r="O782" s="35">
        <v>0</v>
      </c>
    </row>
    <row r="783" spans="1:15" x14ac:dyDescent="0.2">
      <c r="A783" s="29" t="s">
        <v>899</v>
      </c>
      <c r="B783" s="30">
        <v>45885</v>
      </c>
      <c r="C783" s="29" t="s">
        <v>898</v>
      </c>
      <c r="D783" s="29" t="s">
        <v>19</v>
      </c>
      <c r="E783" s="29" t="s">
        <v>192</v>
      </c>
      <c r="F783" s="31">
        <v>0</v>
      </c>
      <c r="G783" s="31">
        <v>0</v>
      </c>
      <c r="H783" s="31">
        <v>0</v>
      </c>
      <c r="I783" s="31">
        <v>99929.87</v>
      </c>
      <c r="J783" s="31">
        <v>-99929.87</v>
      </c>
      <c r="K783" s="32">
        <v>0</v>
      </c>
      <c r="L783" s="29" t="s">
        <v>144</v>
      </c>
      <c r="M783" s="33" t="s">
        <v>19</v>
      </c>
      <c r="N783" s="34" t="s">
        <v>144</v>
      </c>
      <c r="O783" s="35">
        <v>0</v>
      </c>
    </row>
    <row r="784" spans="1:15" x14ac:dyDescent="0.2">
      <c r="A784" s="29" t="s">
        <v>899</v>
      </c>
      <c r="B784" s="30">
        <v>45891</v>
      </c>
      <c r="C784" s="29" t="s">
        <v>898</v>
      </c>
      <c r="D784" s="29" t="s">
        <v>19</v>
      </c>
      <c r="E784" s="29" t="s">
        <v>192</v>
      </c>
      <c r="F784" s="31">
        <v>0</v>
      </c>
      <c r="G784" s="31">
        <v>0</v>
      </c>
      <c r="H784" s="31">
        <v>0</v>
      </c>
      <c r="I784" s="31">
        <v>341.98</v>
      </c>
      <c r="J784" s="31">
        <v>-341.98</v>
      </c>
      <c r="K784" s="32">
        <v>0</v>
      </c>
      <c r="L784" s="29" t="s">
        <v>144</v>
      </c>
      <c r="M784" s="33" t="s">
        <v>19</v>
      </c>
      <c r="N784" s="34" t="s">
        <v>144</v>
      </c>
      <c r="O784" s="35">
        <v>0</v>
      </c>
    </row>
    <row r="785" spans="1:15" x14ac:dyDescent="0.2">
      <c r="A785" s="29" t="s">
        <v>900</v>
      </c>
      <c r="B785" s="30">
        <v>45896</v>
      </c>
      <c r="C785" s="29" t="s">
        <v>898</v>
      </c>
      <c r="D785" s="29" t="s">
        <v>19</v>
      </c>
      <c r="E785" s="29" t="s">
        <v>192</v>
      </c>
      <c r="F785" s="31">
        <v>0</v>
      </c>
      <c r="G785" s="31">
        <v>21827.14</v>
      </c>
      <c r="H785" s="31">
        <v>21827.14</v>
      </c>
      <c r="I785" s="31">
        <v>16370.36</v>
      </c>
      <c r="J785" s="31">
        <v>5456.78</v>
      </c>
      <c r="K785" s="32">
        <v>0.24999977000000001</v>
      </c>
      <c r="L785" s="29" t="s">
        <v>144</v>
      </c>
      <c r="M785" s="33" t="s">
        <v>19</v>
      </c>
      <c r="N785" s="34" t="s">
        <v>144</v>
      </c>
      <c r="O785" s="35">
        <v>0</v>
      </c>
    </row>
    <row r="786" spans="1:15" x14ac:dyDescent="0.2">
      <c r="A786" s="29" t="s">
        <v>900</v>
      </c>
      <c r="B786" s="30">
        <v>45897</v>
      </c>
      <c r="C786" s="29" t="s">
        <v>898</v>
      </c>
      <c r="D786" s="29" t="s">
        <v>19</v>
      </c>
      <c r="E786" s="29" t="s">
        <v>192</v>
      </c>
      <c r="F786" s="31">
        <v>0</v>
      </c>
      <c r="G786" s="31">
        <v>28.17</v>
      </c>
      <c r="H786" s="31">
        <v>28.17</v>
      </c>
      <c r="I786" s="31">
        <v>20</v>
      </c>
      <c r="J786" s="31">
        <v>8.17</v>
      </c>
      <c r="K786" s="32">
        <v>0.29002485</v>
      </c>
      <c r="L786" s="29" t="s">
        <v>144</v>
      </c>
      <c r="M786" s="33" t="s">
        <v>19</v>
      </c>
      <c r="N786" s="34" t="s">
        <v>144</v>
      </c>
      <c r="O786" s="35">
        <v>0</v>
      </c>
    </row>
    <row r="787" spans="1:15" x14ac:dyDescent="0.2">
      <c r="A787" s="29" t="s">
        <v>901</v>
      </c>
      <c r="B787" s="30">
        <v>45873</v>
      </c>
      <c r="C787" s="29" t="s">
        <v>898</v>
      </c>
      <c r="D787" s="29" t="s">
        <v>19</v>
      </c>
      <c r="E787" s="29" t="s">
        <v>192</v>
      </c>
      <c r="F787" s="31">
        <v>2617</v>
      </c>
      <c r="G787" s="31">
        <v>0</v>
      </c>
      <c r="H787" s="31">
        <v>2617</v>
      </c>
      <c r="I787" s="31">
        <v>1844.41</v>
      </c>
      <c r="J787" s="31">
        <v>772.59</v>
      </c>
      <c r="K787" s="32">
        <v>0.29521972000000002</v>
      </c>
      <c r="L787" s="29" t="s">
        <v>822</v>
      </c>
      <c r="M787" s="33" t="s">
        <v>19</v>
      </c>
      <c r="N787" s="34" t="s">
        <v>144</v>
      </c>
      <c r="O787" s="35">
        <v>1</v>
      </c>
    </row>
    <row r="788" spans="1:15" x14ac:dyDescent="0.2">
      <c r="A788" s="29" t="s">
        <v>902</v>
      </c>
      <c r="B788" s="30">
        <v>45874</v>
      </c>
      <c r="C788" s="29" t="s">
        <v>898</v>
      </c>
      <c r="D788" s="29" t="s">
        <v>19</v>
      </c>
      <c r="E788" s="29" t="s">
        <v>192</v>
      </c>
      <c r="F788" s="31">
        <v>2570</v>
      </c>
      <c r="G788" s="31">
        <v>0</v>
      </c>
      <c r="H788" s="31">
        <v>2570</v>
      </c>
      <c r="I788" s="31">
        <v>1812.99</v>
      </c>
      <c r="J788" s="31">
        <v>757.01</v>
      </c>
      <c r="K788" s="32">
        <v>0.29455641999999999</v>
      </c>
      <c r="L788" s="29" t="s">
        <v>822</v>
      </c>
      <c r="M788" s="33" t="s">
        <v>19</v>
      </c>
      <c r="N788" s="34" t="s">
        <v>144</v>
      </c>
      <c r="O788" s="35">
        <v>1</v>
      </c>
    </row>
    <row r="789" spans="1:15" x14ac:dyDescent="0.2">
      <c r="A789" s="29" t="s">
        <v>903</v>
      </c>
      <c r="B789" s="30">
        <v>45876</v>
      </c>
      <c r="C789" s="29" t="s">
        <v>898</v>
      </c>
      <c r="D789" s="29" t="s">
        <v>19</v>
      </c>
      <c r="E789" s="29" t="s">
        <v>192</v>
      </c>
      <c r="F789" s="31">
        <v>3567</v>
      </c>
      <c r="G789" s="31">
        <v>0</v>
      </c>
      <c r="H789" s="31">
        <v>3567</v>
      </c>
      <c r="I789" s="31">
        <v>1937.06</v>
      </c>
      <c r="J789" s="31">
        <v>1629.94</v>
      </c>
      <c r="K789" s="32">
        <v>0.45694982000000001</v>
      </c>
      <c r="L789" s="29" t="s">
        <v>822</v>
      </c>
      <c r="M789" s="33" t="s">
        <v>19</v>
      </c>
      <c r="N789" s="34" t="s">
        <v>144</v>
      </c>
      <c r="O789" s="35">
        <v>1</v>
      </c>
    </row>
    <row r="790" spans="1:15" x14ac:dyDescent="0.2">
      <c r="A790" s="29" t="s">
        <v>904</v>
      </c>
      <c r="B790" s="30">
        <v>45877</v>
      </c>
      <c r="C790" s="29" t="s">
        <v>898</v>
      </c>
      <c r="D790" s="29" t="s">
        <v>19</v>
      </c>
      <c r="E790" s="29" t="s">
        <v>192</v>
      </c>
      <c r="F790" s="31">
        <v>0</v>
      </c>
      <c r="G790" s="31">
        <v>0</v>
      </c>
      <c r="H790" s="31">
        <v>0</v>
      </c>
      <c r="I790" s="31">
        <v>76.47</v>
      </c>
      <c r="J790" s="31">
        <v>-76.47</v>
      </c>
      <c r="K790" s="32">
        <v>0</v>
      </c>
      <c r="L790" s="29" t="s">
        <v>822</v>
      </c>
      <c r="M790" s="33" t="s">
        <v>19</v>
      </c>
      <c r="N790" s="34" t="s">
        <v>144</v>
      </c>
      <c r="O790" s="35">
        <v>0</v>
      </c>
    </row>
    <row r="791" spans="1:15" x14ac:dyDescent="0.2">
      <c r="A791" s="29" t="s">
        <v>905</v>
      </c>
      <c r="B791" s="30">
        <v>45881</v>
      </c>
      <c r="C791" s="29" t="s">
        <v>898</v>
      </c>
      <c r="D791" s="29" t="s">
        <v>19</v>
      </c>
      <c r="E791" s="29" t="s">
        <v>192</v>
      </c>
      <c r="F791" s="31">
        <v>0</v>
      </c>
      <c r="G791" s="31">
        <v>0</v>
      </c>
      <c r="H791" s="31">
        <v>0</v>
      </c>
      <c r="I791" s="31">
        <v>14.32</v>
      </c>
      <c r="J791" s="31">
        <v>-14.32</v>
      </c>
      <c r="K791" s="32">
        <v>0</v>
      </c>
      <c r="L791" s="29" t="s">
        <v>822</v>
      </c>
      <c r="M791" s="33" t="s">
        <v>19</v>
      </c>
      <c r="N791" s="34" t="s">
        <v>144</v>
      </c>
      <c r="O791" s="35">
        <v>0</v>
      </c>
    </row>
    <row r="792" spans="1:15" x14ac:dyDescent="0.2">
      <c r="A792" s="29" t="s">
        <v>906</v>
      </c>
      <c r="B792" s="30">
        <v>45882</v>
      </c>
      <c r="C792" s="29" t="s">
        <v>898</v>
      </c>
      <c r="D792" s="29" t="s">
        <v>19</v>
      </c>
      <c r="E792" s="29" t="s">
        <v>192</v>
      </c>
      <c r="F792" s="31">
        <v>0</v>
      </c>
      <c r="G792" s="31">
        <v>-5.04</v>
      </c>
      <c r="H792" s="31">
        <v>-5.04</v>
      </c>
      <c r="I792" s="31">
        <v>0</v>
      </c>
      <c r="J792" s="31">
        <v>-5.04</v>
      </c>
      <c r="K792" s="32">
        <v>1</v>
      </c>
      <c r="L792" s="29" t="s">
        <v>822</v>
      </c>
      <c r="M792" s="33" t="s">
        <v>19</v>
      </c>
      <c r="N792" s="34" t="s">
        <v>144</v>
      </c>
      <c r="O792" s="35">
        <v>0</v>
      </c>
    </row>
    <row r="793" spans="1:15" x14ac:dyDescent="0.2">
      <c r="A793" s="29" t="s">
        <v>907</v>
      </c>
      <c r="B793" s="30">
        <v>45887</v>
      </c>
      <c r="C793" s="29" t="s">
        <v>898</v>
      </c>
      <c r="D793" s="29" t="s">
        <v>19</v>
      </c>
      <c r="E793" s="29" t="s">
        <v>192</v>
      </c>
      <c r="F793" s="31">
        <v>5574</v>
      </c>
      <c r="G793" s="31">
        <v>0</v>
      </c>
      <c r="H793" s="31">
        <v>5574</v>
      </c>
      <c r="I793" s="31">
        <v>4176.6000000000004</v>
      </c>
      <c r="J793" s="31">
        <v>1397.4</v>
      </c>
      <c r="K793" s="32">
        <v>0.25069967999999998</v>
      </c>
      <c r="L793" s="29" t="s">
        <v>822</v>
      </c>
      <c r="M793" s="33" t="s">
        <v>19</v>
      </c>
      <c r="N793" s="34" t="s">
        <v>144</v>
      </c>
      <c r="O793" s="35">
        <v>1</v>
      </c>
    </row>
    <row r="794" spans="1:15" x14ac:dyDescent="0.2">
      <c r="A794" s="29" t="s">
        <v>905</v>
      </c>
      <c r="B794" s="30">
        <v>45889</v>
      </c>
      <c r="C794" s="29" t="s">
        <v>898</v>
      </c>
      <c r="D794" s="29" t="s">
        <v>19</v>
      </c>
      <c r="E794" s="29" t="s">
        <v>192</v>
      </c>
      <c r="F794" s="31">
        <v>0</v>
      </c>
      <c r="G794" s="31">
        <v>0</v>
      </c>
      <c r="H794" s="31">
        <v>0</v>
      </c>
      <c r="I794" s="31">
        <v>91.42</v>
      </c>
      <c r="J794" s="31">
        <v>-91.42</v>
      </c>
      <c r="K794" s="32">
        <v>0</v>
      </c>
      <c r="L794" s="29" t="s">
        <v>822</v>
      </c>
      <c r="M794" s="33" t="s">
        <v>19</v>
      </c>
      <c r="N794" s="34" t="s">
        <v>144</v>
      </c>
      <c r="O794" s="35">
        <v>0</v>
      </c>
    </row>
    <row r="795" spans="1:15" x14ac:dyDescent="0.2">
      <c r="A795" s="29" t="s">
        <v>908</v>
      </c>
      <c r="B795" s="30">
        <v>45890</v>
      </c>
      <c r="C795" s="29" t="s">
        <v>898</v>
      </c>
      <c r="D795" s="29" t="s">
        <v>19</v>
      </c>
      <c r="E795" s="29" t="s">
        <v>192</v>
      </c>
      <c r="F795" s="31">
        <v>1375</v>
      </c>
      <c r="G795" s="31">
        <v>0</v>
      </c>
      <c r="H795" s="31">
        <v>1375</v>
      </c>
      <c r="I795" s="31">
        <v>970.61</v>
      </c>
      <c r="J795" s="31">
        <v>404.39</v>
      </c>
      <c r="K795" s="32">
        <v>0.29410182000000001</v>
      </c>
      <c r="L795" s="29" t="s">
        <v>822</v>
      </c>
      <c r="M795" s="33" t="s">
        <v>19</v>
      </c>
      <c r="N795" s="34" t="s">
        <v>144</v>
      </c>
      <c r="O795" s="35">
        <v>1</v>
      </c>
    </row>
    <row r="796" spans="1:15" x14ac:dyDescent="0.2">
      <c r="A796" s="29" t="s">
        <v>909</v>
      </c>
      <c r="B796" s="30">
        <v>45884</v>
      </c>
      <c r="C796" s="29" t="s">
        <v>910</v>
      </c>
      <c r="D796" s="29" t="s">
        <v>384</v>
      </c>
      <c r="E796" s="29" t="s">
        <v>192</v>
      </c>
      <c r="F796" s="31">
        <v>1427.43</v>
      </c>
      <c r="G796" s="31">
        <v>0</v>
      </c>
      <c r="H796" s="31">
        <v>1427.43</v>
      </c>
      <c r="I796" s="31">
        <v>1427.43</v>
      </c>
      <c r="J796" s="31">
        <v>0</v>
      </c>
      <c r="K796" s="32">
        <v>0</v>
      </c>
      <c r="L796" s="29" t="s">
        <v>120</v>
      </c>
      <c r="M796" s="33" t="s">
        <v>48</v>
      </c>
      <c r="N796" s="34" t="s">
        <v>120</v>
      </c>
      <c r="O796" s="35">
        <v>1</v>
      </c>
    </row>
    <row r="797" spans="1:15" x14ac:dyDescent="0.2">
      <c r="A797" s="29" t="s">
        <v>911</v>
      </c>
      <c r="B797" s="30">
        <v>45895</v>
      </c>
      <c r="C797" s="29" t="s">
        <v>910</v>
      </c>
      <c r="D797" s="29" t="s">
        <v>384</v>
      </c>
      <c r="E797" s="29" t="s">
        <v>192</v>
      </c>
      <c r="F797" s="31">
        <v>0</v>
      </c>
      <c r="G797" s="31">
        <v>0</v>
      </c>
      <c r="H797" s="31">
        <v>0</v>
      </c>
      <c r="I797" s="31">
        <v>0.03</v>
      </c>
      <c r="J797" s="31">
        <v>-0.03</v>
      </c>
      <c r="K797" s="32">
        <v>0</v>
      </c>
      <c r="L797" s="29" t="s">
        <v>120</v>
      </c>
      <c r="M797" s="33" t="s">
        <v>48</v>
      </c>
      <c r="N797" s="34" t="s">
        <v>120</v>
      </c>
      <c r="O797" s="35">
        <v>0</v>
      </c>
    </row>
    <row r="798" spans="1:15" x14ac:dyDescent="0.2">
      <c r="A798" s="29" t="s">
        <v>912</v>
      </c>
      <c r="B798" s="30">
        <v>45876</v>
      </c>
      <c r="C798" s="29" t="s">
        <v>913</v>
      </c>
      <c r="D798" s="29" t="s">
        <v>48</v>
      </c>
      <c r="E798" s="29" t="s">
        <v>192</v>
      </c>
      <c r="F798" s="31">
        <v>8225.35</v>
      </c>
      <c r="G798" s="31">
        <v>0</v>
      </c>
      <c r="H798" s="31">
        <v>8225.35</v>
      </c>
      <c r="I798" s="31">
        <v>6829.38</v>
      </c>
      <c r="J798" s="31">
        <v>1395.97</v>
      </c>
      <c r="K798" s="32">
        <v>0.16971557000000001</v>
      </c>
      <c r="L798" s="29" t="s">
        <v>276</v>
      </c>
      <c r="M798" s="33" t="s">
        <v>48</v>
      </c>
      <c r="N798" s="34" t="s">
        <v>276</v>
      </c>
      <c r="O798" s="35">
        <v>1</v>
      </c>
    </row>
    <row r="799" spans="1:15" x14ac:dyDescent="0.2">
      <c r="A799" s="29" t="s">
        <v>914</v>
      </c>
      <c r="B799" s="30">
        <v>45876</v>
      </c>
      <c r="C799" s="29" t="s">
        <v>913</v>
      </c>
      <c r="D799" s="29" t="s">
        <v>48</v>
      </c>
      <c r="E799" s="29" t="s">
        <v>192</v>
      </c>
      <c r="F799" s="31">
        <v>0</v>
      </c>
      <c r="G799" s="31">
        <v>0</v>
      </c>
      <c r="H799" s="31">
        <v>0</v>
      </c>
      <c r="I799" s="31">
        <v>-4323.09</v>
      </c>
      <c r="J799" s="31">
        <v>4323.09</v>
      </c>
      <c r="K799" s="32">
        <v>0</v>
      </c>
      <c r="L799" s="29" t="s">
        <v>276</v>
      </c>
      <c r="M799" s="33" t="s">
        <v>48</v>
      </c>
      <c r="N799" s="34" t="s">
        <v>276</v>
      </c>
      <c r="O799" s="35">
        <v>0</v>
      </c>
    </row>
    <row r="800" spans="1:15" x14ac:dyDescent="0.2">
      <c r="A800" s="29" t="s">
        <v>915</v>
      </c>
      <c r="B800" s="30">
        <v>45877</v>
      </c>
      <c r="C800" s="29" t="s">
        <v>913</v>
      </c>
      <c r="D800" s="29" t="s">
        <v>48</v>
      </c>
      <c r="E800" s="29" t="s">
        <v>192</v>
      </c>
      <c r="F800" s="31">
        <v>0</v>
      </c>
      <c r="G800" s="31">
        <v>0</v>
      </c>
      <c r="H800" s="31">
        <v>0</v>
      </c>
      <c r="I800" s="31">
        <v>4.9400000000000004</v>
      </c>
      <c r="J800" s="31">
        <v>-4.9400000000000004</v>
      </c>
      <c r="K800" s="32">
        <v>0</v>
      </c>
      <c r="L800" s="29" t="s">
        <v>276</v>
      </c>
      <c r="M800" s="33" t="s">
        <v>48</v>
      </c>
      <c r="N800" s="34" t="s">
        <v>276</v>
      </c>
      <c r="O800" s="35">
        <v>0</v>
      </c>
    </row>
    <row r="801" spans="1:15" x14ac:dyDescent="0.2">
      <c r="A801" s="29" t="s">
        <v>912</v>
      </c>
      <c r="B801" s="30">
        <v>45880</v>
      </c>
      <c r="C801" s="29" t="s">
        <v>913</v>
      </c>
      <c r="D801" s="29" t="s">
        <v>48</v>
      </c>
      <c r="E801" s="29" t="s">
        <v>192</v>
      </c>
      <c r="F801" s="31">
        <v>0</v>
      </c>
      <c r="G801" s="31">
        <v>0</v>
      </c>
      <c r="H801" s="31">
        <v>0</v>
      </c>
      <c r="I801" s="31">
        <v>73.739999999999995</v>
      </c>
      <c r="J801" s="31">
        <v>-73.739999999999995</v>
      </c>
      <c r="K801" s="32">
        <v>0</v>
      </c>
      <c r="L801" s="29" t="s">
        <v>276</v>
      </c>
      <c r="M801" s="33" t="s">
        <v>48</v>
      </c>
      <c r="N801" s="34" t="s">
        <v>276</v>
      </c>
      <c r="O801" s="35">
        <v>0</v>
      </c>
    </row>
    <row r="802" spans="1:15" x14ac:dyDescent="0.2">
      <c r="A802" s="29" t="s">
        <v>912</v>
      </c>
      <c r="B802" s="30">
        <v>45882</v>
      </c>
      <c r="C802" s="29" t="s">
        <v>913</v>
      </c>
      <c r="D802" s="29" t="s">
        <v>48</v>
      </c>
      <c r="E802" s="29" t="s">
        <v>192</v>
      </c>
      <c r="F802" s="31">
        <v>0</v>
      </c>
      <c r="G802" s="31">
        <v>53.03</v>
      </c>
      <c r="H802" s="31">
        <v>53.03</v>
      </c>
      <c r="I802" s="31">
        <v>82.44</v>
      </c>
      <c r="J802" s="31">
        <v>-29.41</v>
      </c>
      <c r="K802" s="32">
        <v>-0.55459174</v>
      </c>
      <c r="L802" s="29" t="s">
        <v>276</v>
      </c>
      <c r="M802" s="33" t="s">
        <v>48</v>
      </c>
      <c r="N802" s="34" t="s">
        <v>276</v>
      </c>
      <c r="O802" s="35">
        <v>0</v>
      </c>
    </row>
    <row r="803" spans="1:15" x14ac:dyDescent="0.2">
      <c r="A803" s="29" t="s">
        <v>916</v>
      </c>
      <c r="B803" s="30">
        <v>45890</v>
      </c>
      <c r="C803" s="29" t="s">
        <v>913</v>
      </c>
      <c r="D803" s="29" t="s">
        <v>48</v>
      </c>
      <c r="E803" s="29" t="s">
        <v>192</v>
      </c>
      <c r="F803" s="31">
        <v>10468.25</v>
      </c>
      <c r="G803" s="31">
        <v>0</v>
      </c>
      <c r="H803" s="31">
        <v>10468.25</v>
      </c>
      <c r="I803" s="31">
        <v>7759.02</v>
      </c>
      <c r="J803" s="31">
        <v>2709.23</v>
      </c>
      <c r="K803" s="32">
        <v>0.25880448</v>
      </c>
      <c r="L803" s="29" t="s">
        <v>276</v>
      </c>
      <c r="M803" s="33" t="s">
        <v>48</v>
      </c>
      <c r="N803" s="34" t="s">
        <v>276</v>
      </c>
      <c r="O803" s="35">
        <v>1</v>
      </c>
    </row>
    <row r="804" spans="1:15" x14ac:dyDescent="0.2">
      <c r="A804" s="29" t="s">
        <v>917</v>
      </c>
      <c r="B804" s="30">
        <v>45870</v>
      </c>
      <c r="C804" s="29" t="s">
        <v>913</v>
      </c>
      <c r="D804" s="29" t="s">
        <v>48</v>
      </c>
      <c r="E804" s="29" t="s">
        <v>192</v>
      </c>
      <c r="F804" s="31">
        <v>0</v>
      </c>
      <c r="G804" s="31">
        <v>0</v>
      </c>
      <c r="H804" s="31">
        <v>0</v>
      </c>
      <c r="I804" s="31">
        <v>31.5</v>
      </c>
      <c r="J804" s="31">
        <v>-31.5</v>
      </c>
      <c r="K804" s="32">
        <v>0</v>
      </c>
      <c r="L804" s="29" t="s">
        <v>918</v>
      </c>
      <c r="M804" s="33" t="s">
        <v>48</v>
      </c>
      <c r="N804" s="34" t="s">
        <v>276</v>
      </c>
      <c r="O804" s="35">
        <v>0</v>
      </c>
    </row>
    <row r="805" spans="1:15" x14ac:dyDescent="0.2">
      <c r="A805" s="29" t="s">
        <v>919</v>
      </c>
      <c r="B805" s="30">
        <v>45894</v>
      </c>
      <c r="C805" s="29" t="s">
        <v>913</v>
      </c>
      <c r="D805" s="29" t="s">
        <v>48</v>
      </c>
      <c r="E805" s="29" t="s">
        <v>192</v>
      </c>
      <c r="F805" s="31">
        <v>0</v>
      </c>
      <c r="G805" s="31">
        <v>0</v>
      </c>
      <c r="H805" s="31">
        <v>0</v>
      </c>
      <c r="I805" s="31">
        <v>1217.67</v>
      </c>
      <c r="J805" s="31">
        <v>-1217.67</v>
      </c>
      <c r="K805" s="32">
        <v>0</v>
      </c>
      <c r="L805" s="29" t="s">
        <v>918</v>
      </c>
      <c r="M805" s="33" t="s">
        <v>48</v>
      </c>
      <c r="N805" s="34" t="s">
        <v>276</v>
      </c>
      <c r="O805" s="35">
        <v>0</v>
      </c>
    </row>
    <row r="806" spans="1:15" x14ac:dyDescent="0.2">
      <c r="A806" s="29" t="s">
        <v>920</v>
      </c>
      <c r="B806" s="30">
        <v>45897</v>
      </c>
      <c r="C806" s="29" t="s">
        <v>913</v>
      </c>
      <c r="D806" s="29" t="s">
        <v>48</v>
      </c>
      <c r="E806" s="29" t="s">
        <v>192</v>
      </c>
      <c r="F806" s="31">
        <v>0</v>
      </c>
      <c r="G806" s="31">
        <v>3925.36</v>
      </c>
      <c r="H806" s="31">
        <v>3925.36</v>
      </c>
      <c r="I806" s="31">
        <v>3361.68</v>
      </c>
      <c r="J806" s="31">
        <v>563.67999999999995</v>
      </c>
      <c r="K806" s="32">
        <v>0.14359957000000001</v>
      </c>
      <c r="L806" s="29" t="s">
        <v>257</v>
      </c>
      <c r="M806" s="33" t="s">
        <v>48</v>
      </c>
      <c r="N806" s="34" t="s">
        <v>257</v>
      </c>
      <c r="O806" s="35">
        <v>0</v>
      </c>
    </row>
    <row r="807" spans="1:15" x14ac:dyDescent="0.2">
      <c r="A807" s="29" t="s">
        <v>921</v>
      </c>
      <c r="B807" s="30">
        <v>45897</v>
      </c>
      <c r="C807" s="29" t="s">
        <v>913</v>
      </c>
      <c r="D807" s="29" t="s">
        <v>268</v>
      </c>
      <c r="E807" s="29" t="s">
        <v>199</v>
      </c>
      <c r="F807" s="31">
        <v>74.2</v>
      </c>
      <c r="G807" s="31">
        <v>0</v>
      </c>
      <c r="H807" s="31">
        <v>74.2</v>
      </c>
      <c r="I807" s="31">
        <v>74.2</v>
      </c>
      <c r="J807" s="31">
        <v>0</v>
      </c>
      <c r="K807" s="32">
        <v>0</v>
      </c>
      <c r="L807" s="29" t="s">
        <v>76</v>
      </c>
      <c r="M807" s="33" t="s">
        <v>268</v>
      </c>
      <c r="N807" s="34" t="s">
        <v>76</v>
      </c>
      <c r="O807" s="35">
        <v>1</v>
      </c>
    </row>
    <row r="808" spans="1:15" x14ac:dyDescent="0.2">
      <c r="A808" s="29" t="s">
        <v>922</v>
      </c>
      <c r="B808" s="30">
        <v>45876</v>
      </c>
      <c r="C808" s="29" t="s">
        <v>923</v>
      </c>
      <c r="D808" s="29" t="s">
        <v>46</v>
      </c>
      <c r="E808" s="29" t="s">
        <v>192</v>
      </c>
      <c r="F808" s="31">
        <v>922700.95</v>
      </c>
      <c r="G808" s="31">
        <v>0</v>
      </c>
      <c r="H808" s="31">
        <v>922700.95</v>
      </c>
      <c r="I808" s="31">
        <v>807819.15</v>
      </c>
      <c r="J808" s="31">
        <v>114881.8</v>
      </c>
      <c r="K808" s="32">
        <v>0.12450600000000001</v>
      </c>
      <c r="L808" s="29" t="s">
        <v>481</v>
      </c>
      <c r="M808" s="33" t="s">
        <v>46</v>
      </c>
      <c r="N808" s="34" t="s">
        <v>380</v>
      </c>
      <c r="O808" s="35">
        <v>1</v>
      </c>
    </row>
    <row r="809" spans="1:15" x14ac:dyDescent="0.2">
      <c r="A809" s="29" t="s">
        <v>922</v>
      </c>
      <c r="B809" s="30">
        <v>45877</v>
      </c>
      <c r="C809" s="29" t="s">
        <v>923</v>
      </c>
      <c r="D809" s="29" t="s">
        <v>46</v>
      </c>
      <c r="E809" s="29" t="s">
        <v>192</v>
      </c>
      <c r="F809" s="31">
        <v>0</v>
      </c>
      <c r="G809" s="31">
        <v>0</v>
      </c>
      <c r="H809" s="31">
        <v>0</v>
      </c>
      <c r="I809" s="31">
        <v>0</v>
      </c>
      <c r="J809" s="31">
        <v>0</v>
      </c>
      <c r="K809" s="32">
        <v>0</v>
      </c>
      <c r="L809" s="29" t="s">
        <v>481</v>
      </c>
      <c r="M809" s="33" t="s">
        <v>46</v>
      </c>
      <c r="N809" s="34" t="s">
        <v>380</v>
      </c>
      <c r="O809" s="35">
        <v>0</v>
      </c>
    </row>
    <row r="810" spans="1:15" x14ac:dyDescent="0.2">
      <c r="A810" s="29" t="s">
        <v>924</v>
      </c>
      <c r="B810" s="30">
        <v>45878</v>
      </c>
      <c r="C810" s="29" t="s">
        <v>923</v>
      </c>
      <c r="D810" s="29" t="s">
        <v>46</v>
      </c>
      <c r="E810" s="29" t="s">
        <v>192</v>
      </c>
      <c r="F810" s="31">
        <v>1461527.12</v>
      </c>
      <c r="G810" s="31">
        <v>0</v>
      </c>
      <c r="H810" s="31">
        <v>1461527.12</v>
      </c>
      <c r="I810" s="31">
        <v>1313268.3600000001</v>
      </c>
      <c r="J810" s="31">
        <v>148258.76</v>
      </c>
      <c r="K810" s="32">
        <v>0.10144098999999999</v>
      </c>
      <c r="L810" s="29" t="s">
        <v>481</v>
      </c>
      <c r="M810" s="33" t="s">
        <v>46</v>
      </c>
      <c r="N810" s="34" t="s">
        <v>380</v>
      </c>
      <c r="O810" s="35">
        <v>1</v>
      </c>
    </row>
    <row r="811" spans="1:15" x14ac:dyDescent="0.2">
      <c r="A811" s="29" t="s">
        <v>925</v>
      </c>
      <c r="B811" s="30">
        <v>45878</v>
      </c>
      <c r="C811" s="29" t="s">
        <v>923</v>
      </c>
      <c r="D811" s="29" t="s">
        <v>46</v>
      </c>
      <c r="E811" s="29" t="s">
        <v>192</v>
      </c>
      <c r="F811" s="31">
        <v>847992.85</v>
      </c>
      <c r="G811" s="31">
        <v>0</v>
      </c>
      <c r="H811" s="31">
        <v>847992.85</v>
      </c>
      <c r="I811" s="31">
        <v>761291.09</v>
      </c>
      <c r="J811" s="31">
        <v>86701.759999999995</v>
      </c>
      <c r="K811" s="32">
        <v>0.1022435</v>
      </c>
      <c r="L811" s="29" t="s">
        <v>481</v>
      </c>
      <c r="M811" s="33" t="s">
        <v>46</v>
      </c>
      <c r="N811" s="34" t="s">
        <v>380</v>
      </c>
      <c r="O811" s="35">
        <v>1</v>
      </c>
    </row>
    <row r="812" spans="1:15" x14ac:dyDescent="0.2">
      <c r="A812" s="29" t="s">
        <v>926</v>
      </c>
      <c r="B812" s="30">
        <v>45878</v>
      </c>
      <c r="C812" s="29" t="s">
        <v>923</v>
      </c>
      <c r="D812" s="29" t="s">
        <v>46</v>
      </c>
      <c r="E812" s="29" t="s">
        <v>192</v>
      </c>
      <c r="F812" s="31">
        <v>600551.06000000006</v>
      </c>
      <c r="G812" s="31">
        <v>0</v>
      </c>
      <c r="H812" s="31">
        <v>600551.06000000006</v>
      </c>
      <c r="I812" s="31">
        <v>540262.75</v>
      </c>
      <c r="J812" s="31">
        <v>60288.31</v>
      </c>
      <c r="K812" s="32">
        <v>0.10038832</v>
      </c>
      <c r="L812" s="29" t="s">
        <v>481</v>
      </c>
      <c r="M812" s="33" t="s">
        <v>46</v>
      </c>
      <c r="N812" s="34" t="s">
        <v>380</v>
      </c>
      <c r="O812" s="35">
        <v>1</v>
      </c>
    </row>
    <row r="813" spans="1:15" x14ac:dyDescent="0.2">
      <c r="A813" s="29" t="s">
        <v>922</v>
      </c>
      <c r="B813" s="30">
        <v>45880</v>
      </c>
      <c r="C813" s="29" t="s">
        <v>923</v>
      </c>
      <c r="D813" s="29" t="s">
        <v>46</v>
      </c>
      <c r="E813" s="29" t="s">
        <v>192</v>
      </c>
      <c r="F813" s="31">
        <v>0</v>
      </c>
      <c r="G813" s="31">
        <v>0</v>
      </c>
      <c r="H813" s="31">
        <v>0</v>
      </c>
      <c r="I813" s="31">
        <v>94</v>
      </c>
      <c r="J813" s="31">
        <v>-94</v>
      </c>
      <c r="K813" s="32">
        <v>0</v>
      </c>
      <c r="L813" s="29" t="s">
        <v>481</v>
      </c>
      <c r="M813" s="33" t="s">
        <v>46</v>
      </c>
      <c r="N813" s="34" t="s">
        <v>380</v>
      </c>
      <c r="O813" s="35">
        <v>0</v>
      </c>
    </row>
    <row r="814" spans="1:15" x14ac:dyDescent="0.2">
      <c r="A814" s="29" t="s">
        <v>922</v>
      </c>
      <c r="B814" s="30">
        <v>45881</v>
      </c>
      <c r="C814" s="29" t="s">
        <v>923</v>
      </c>
      <c r="D814" s="29" t="s">
        <v>46</v>
      </c>
      <c r="E814" s="29" t="s">
        <v>192</v>
      </c>
      <c r="F814" s="31">
        <v>0</v>
      </c>
      <c r="G814" s="31">
        <v>0</v>
      </c>
      <c r="H814" s="31">
        <v>0</v>
      </c>
      <c r="I814" s="31">
        <v>-3588.25</v>
      </c>
      <c r="J814" s="31">
        <v>3588.25</v>
      </c>
      <c r="K814" s="32">
        <v>0</v>
      </c>
      <c r="L814" s="29" t="s">
        <v>481</v>
      </c>
      <c r="M814" s="33" t="s">
        <v>46</v>
      </c>
      <c r="N814" s="34" t="s">
        <v>380</v>
      </c>
      <c r="O814" s="35">
        <v>0</v>
      </c>
    </row>
    <row r="815" spans="1:15" x14ac:dyDescent="0.2">
      <c r="A815" s="29" t="s">
        <v>924</v>
      </c>
      <c r="B815" s="30">
        <v>45881</v>
      </c>
      <c r="C815" s="29" t="s">
        <v>923</v>
      </c>
      <c r="D815" s="29" t="s">
        <v>46</v>
      </c>
      <c r="E815" s="29" t="s">
        <v>192</v>
      </c>
      <c r="F815" s="31">
        <v>0</v>
      </c>
      <c r="G815" s="31">
        <v>0</v>
      </c>
      <c r="H815" s="31">
        <v>0</v>
      </c>
      <c r="I815" s="31">
        <v>763.85</v>
      </c>
      <c r="J815" s="31">
        <v>-763.85</v>
      </c>
      <c r="K815" s="32">
        <v>0</v>
      </c>
      <c r="L815" s="29" t="s">
        <v>481</v>
      </c>
      <c r="M815" s="33" t="s">
        <v>46</v>
      </c>
      <c r="N815" s="34" t="s">
        <v>380</v>
      </c>
      <c r="O815" s="35">
        <v>0</v>
      </c>
    </row>
    <row r="816" spans="1:15" x14ac:dyDescent="0.2">
      <c r="A816" s="29" t="s">
        <v>925</v>
      </c>
      <c r="B816" s="30">
        <v>45881</v>
      </c>
      <c r="C816" s="29" t="s">
        <v>923</v>
      </c>
      <c r="D816" s="29" t="s">
        <v>46</v>
      </c>
      <c r="E816" s="29" t="s">
        <v>192</v>
      </c>
      <c r="F816" s="31">
        <v>0</v>
      </c>
      <c r="G816" s="31">
        <v>0</v>
      </c>
      <c r="H816" s="31">
        <v>0</v>
      </c>
      <c r="I816" s="31">
        <v>-481.99</v>
      </c>
      <c r="J816" s="31">
        <v>481.99</v>
      </c>
      <c r="K816" s="32">
        <v>0</v>
      </c>
      <c r="L816" s="29" t="s">
        <v>481</v>
      </c>
      <c r="M816" s="33" t="s">
        <v>46</v>
      </c>
      <c r="N816" s="34" t="s">
        <v>380</v>
      </c>
      <c r="O816" s="35">
        <v>0</v>
      </c>
    </row>
    <row r="817" spans="1:15" x14ac:dyDescent="0.2">
      <c r="A817" s="29" t="s">
        <v>922</v>
      </c>
      <c r="B817" s="30">
        <v>45882</v>
      </c>
      <c r="C817" s="29" t="s">
        <v>923</v>
      </c>
      <c r="D817" s="29" t="s">
        <v>46</v>
      </c>
      <c r="E817" s="29" t="s">
        <v>192</v>
      </c>
      <c r="F817" s="31">
        <v>0</v>
      </c>
      <c r="G817" s="31">
        <v>0</v>
      </c>
      <c r="H817" s="31">
        <v>0</v>
      </c>
      <c r="I817" s="31">
        <v>-331.77</v>
      </c>
      <c r="J817" s="31">
        <v>331.77</v>
      </c>
      <c r="K817" s="32">
        <v>0</v>
      </c>
      <c r="L817" s="29" t="s">
        <v>481</v>
      </c>
      <c r="M817" s="33" t="s">
        <v>46</v>
      </c>
      <c r="N817" s="34" t="s">
        <v>380</v>
      </c>
      <c r="O817" s="35">
        <v>0</v>
      </c>
    </row>
    <row r="818" spans="1:15" x14ac:dyDescent="0.2">
      <c r="A818" s="29" t="s">
        <v>924</v>
      </c>
      <c r="B818" s="30">
        <v>45884</v>
      </c>
      <c r="C818" s="29" t="s">
        <v>923</v>
      </c>
      <c r="D818" s="29" t="s">
        <v>46</v>
      </c>
      <c r="E818" s="29" t="s">
        <v>192</v>
      </c>
      <c r="F818" s="31">
        <v>0</v>
      </c>
      <c r="G818" s="31">
        <v>0</v>
      </c>
      <c r="H818" s="31">
        <v>0</v>
      </c>
      <c r="I818" s="31">
        <v>0.06</v>
      </c>
      <c r="J818" s="31">
        <v>-0.06</v>
      </c>
      <c r="K818" s="32">
        <v>0</v>
      </c>
      <c r="L818" s="29" t="s">
        <v>481</v>
      </c>
      <c r="M818" s="33" t="s">
        <v>46</v>
      </c>
      <c r="N818" s="34" t="s">
        <v>380</v>
      </c>
      <c r="O818" s="35">
        <v>0</v>
      </c>
    </row>
    <row r="819" spans="1:15" x14ac:dyDescent="0.2">
      <c r="A819" s="29" t="s">
        <v>927</v>
      </c>
      <c r="B819" s="30">
        <v>45884</v>
      </c>
      <c r="C819" s="29" t="s">
        <v>923</v>
      </c>
      <c r="D819" s="29" t="s">
        <v>46</v>
      </c>
      <c r="E819" s="29" t="s">
        <v>192</v>
      </c>
      <c r="F819" s="31">
        <v>377780</v>
      </c>
      <c r="G819" s="31">
        <v>0</v>
      </c>
      <c r="H819" s="31">
        <v>377780</v>
      </c>
      <c r="I819" s="31">
        <v>324148.93</v>
      </c>
      <c r="J819" s="31">
        <v>53631.07</v>
      </c>
      <c r="K819" s="32">
        <v>0.14196375999999999</v>
      </c>
      <c r="L819" s="29" t="s">
        <v>481</v>
      </c>
      <c r="M819" s="33" t="s">
        <v>46</v>
      </c>
      <c r="N819" s="34" t="s">
        <v>380</v>
      </c>
      <c r="O819" s="35">
        <v>1</v>
      </c>
    </row>
    <row r="820" spans="1:15" x14ac:dyDescent="0.2">
      <c r="A820" s="29" t="s">
        <v>926</v>
      </c>
      <c r="B820" s="30">
        <v>45885</v>
      </c>
      <c r="C820" s="29" t="s">
        <v>923</v>
      </c>
      <c r="D820" s="29" t="s">
        <v>46</v>
      </c>
      <c r="E820" s="29" t="s">
        <v>192</v>
      </c>
      <c r="F820" s="31">
        <v>0</v>
      </c>
      <c r="G820" s="31">
        <v>0</v>
      </c>
      <c r="H820" s="31">
        <v>0</v>
      </c>
      <c r="I820" s="31">
        <v>-472.92</v>
      </c>
      <c r="J820" s="31">
        <v>472.92</v>
      </c>
      <c r="K820" s="32">
        <v>0</v>
      </c>
      <c r="L820" s="29" t="s">
        <v>481</v>
      </c>
      <c r="M820" s="33" t="s">
        <v>46</v>
      </c>
      <c r="N820" s="34" t="s">
        <v>380</v>
      </c>
      <c r="O820" s="35">
        <v>0</v>
      </c>
    </row>
    <row r="821" spans="1:15" x14ac:dyDescent="0.2">
      <c r="A821" s="29" t="s">
        <v>922</v>
      </c>
      <c r="B821" s="30">
        <v>45887</v>
      </c>
      <c r="C821" s="29" t="s">
        <v>923</v>
      </c>
      <c r="D821" s="29" t="s">
        <v>46</v>
      </c>
      <c r="E821" s="29" t="s">
        <v>192</v>
      </c>
      <c r="F821" s="31">
        <v>0</v>
      </c>
      <c r="G821" s="31">
        <v>0</v>
      </c>
      <c r="H821" s="31">
        <v>0</v>
      </c>
      <c r="I821" s="31">
        <v>1243</v>
      </c>
      <c r="J821" s="31">
        <v>-1243</v>
      </c>
      <c r="K821" s="32">
        <v>0</v>
      </c>
      <c r="L821" s="29" t="s">
        <v>481</v>
      </c>
      <c r="M821" s="33" t="s">
        <v>46</v>
      </c>
      <c r="N821" s="34" t="s">
        <v>380</v>
      </c>
      <c r="O821" s="35">
        <v>0</v>
      </c>
    </row>
    <row r="822" spans="1:15" x14ac:dyDescent="0.2">
      <c r="A822" s="29" t="s">
        <v>927</v>
      </c>
      <c r="B822" s="30">
        <v>45890</v>
      </c>
      <c r="C822" s="29" t="s">
        <v>923</v>
      </c>
      <c r="D822" s="29" t="s">
        <v>46</v>
      </c>
      <c r="E822" s="29" t="s">
        <v>192</v>
      </c>
      <c r="F822" s="31">
        <v>0</v>
      </c>
      <c r="G822" s="31">
        <v>0</v>
      </c>
      <c r="H822" s="31">
        <v>0</v>
      </c>
      <c r="I822" s="31">
        <v>-135.97999999999999</v>
      </c>
      <c r="J822" s="31">
        <v>135.97999999999999</v>
      </c>
      <c r="K822" s="32">
        <v>0</v>
      </c>
      <c r="L822" s="29" t="s">
        <v>481</v>
      </c>
      <c r="M822" s="33" t="s">
        <v>46</v>
      </c>
      <c r="N822" s="34" t="s">
        <v>380</v>
      </c>
      <c r="O822" s="35">
        <v>0</v>
      </c>
    </row>
    <row r="823" spans="1:15" x14ac:dyDescent="0.2">
      <c r="A823" s="29" t="s">
        <v>922</v>
      </c>
      <c r="B823" s="30">
        <v>45891</v>
      </c>
      <c r="C823" s="29" t="s">
        <v>923</v>
      </c>
      <c r="D823" s="29" t="s">
        <v>46</v>
      </c>
      <c r="E823" s="29" t="s">
        <v>192</v>
      </c>
      <c r="F823" s="31">
        <v>0</v>
      </c>
      <c r="G823" s="31">
        <v>-2139.96</v>
      </c>
      <c r="H823" s="31">
        <v>-2139.96</v>
      </c>
      <c r="I823" s="31">
        <v>-5991.89</v>
      </c>
      <c r="J823" s="31">
        <v>3851.93</v>
      </c>
      <c r="K823" s="32">
        <v>-1.8000009299999999</v>
      </c>
      <c r="L823" s="29" t="s">
        <v>481</v>
      </c>
      <c r="M823" s="33" t="s">
        <v>46</v>
      </c>
      <c r="N823" s="34" t="s">
        <v>380</v>
      </c>
      <c r="O823" s="35">
        <v>0</v>
      </c>
    </row>
    <row r="824" spans="1:15" x14ac:dyDescent="0.2">
      <c r="A824" s="29" t="s">
        <v>928</v>
      </c>
      <c r="B824" s="30">
        <v>45874</v>
      </c>
      <c r="C824" s="29" t="s">
        <v>929</v>
      </c>
      <c r="D824" s="29" t="s">
        <v>65</v>
      </c>
      <c r="E824" s="29" t="s">
        <v>227</v>
      </c>
      <c r="F824" s="31">
        <v>0</v>
      </c>
      <c r="G824" s="31">
        <v>0</v>
      </c>
      <c r="H824" s="31">
        <v>0</v>
      </c>
      <c r="I824" s="31">
        <v>764.34</v>
      </c>
      <c r="J824" s="31">
        <v>-764.34</v>
      </c>
      <c r="K824" s="32">
        <v>0</v>
      </c>
      <c r="L824" s="29" t="s">
        <v>125</v>
      </c>
      <c r="M824" s="33" t="s">
        <v>65</v>
      </c>
      <c r="N824" s="34" t="s">
        <v>125</v>
      </c>
      <c r="O824" s="35">
        <v>0</v>
      </c>
    </row>
    <row r="825" spans="1:15" x14ac:dyDescent="0.2">
      <c r="A825" s="29" t="s">
        <v>930</v>
      </c>
      <c r="B825" s="30">
        <v>45881</v>
      </c>
      <c r="C825" s="29" t="s">
        <v>929</v>
      </c>
      <c r="D825" s="29" t="s">
        <v>65</v>
      </c>
      <c r="E825" s="29" t="s">
        <v>227</v>
      </c>
      <c r="F825" s="31">
        <v>0</v>
      </c>
      <c r="G825" s="31">
        <v>67.92</v>
      </c>
      <c r="H825" s="31">
        <v>67.92</v>
      </c>
      <c r="I825" s="31">
        <v>50.93</v>
      </c>
      <c r="J825" s="31">
        <v>16.989999999999998</v>
      </c>
      <c r="K825" s="32">
        <v>0.25014723</v>
      </c>
      <c r="L825" s="29" t="s">
        <v>125</v>
      </c>
      <c r="M825" s="33" t="s">
        <v>65</v>
      </c>
      <c r="N825" s="34" t="s">
        <v>125</v>
      </c>
      <c r="O825" s="35">
        <v>0</v>
      </c>
    </row>
    <row r="826" spans="1:15" x14ac:dyDescent="0.2">
      <c r="A826" s="29" t="s">
        <v>928</v>
      </c>
      <c r="B826" s="30">
        <v>45883</v>
      </c>
      <c r="C826" s="29" t="s">
        <v>929</v>
      </c>
      <c r="D826" s="29" t="s">
        <v>65</v>
      </c>
      <c r="E826" s="29" t="s">
        <v>227</v>
      </c>
      <c r="F826" s="31">
        <v>0</v>
      </c>
      <c r="G826" s="31">
        <v>0</v>
      </c>
      <c r="H826" s="31">
        <v>0</v>
      </c>
      <c r="I826" s="31">
        <v>1588.28</v>
      </c>
      <c r="J826" s="31">
        <v>-1588.28</v>
      </c>
      <c r="K826" s="32">
        <v>0</v>
      </c>
      <c r="L826" s="29" t="s">
        <v>125</v>
      </c>
      <c r="M826" s="33" t="s">
        <v>65</v>
      </c>
      <c r="N826" s="34" t="s">
        <v>125</v>
      </c>
      <c r="O826" s="35">
        <v>0</v>
      </c>
    </row>
    <row r="827" spans="1:15" x14ac:dyDescent="0.2">
      <c r="A827" s="29" t="s">
        <v>931</v>
      </c>
      <c r="B827" s="30">
        <v>45887</v>
      </c>
      <c r="C827" s="29" t="s">
        <v>929</v>
      </c>
      <c r="D827" s="29" t="s">
        <v>65</v>
      </c>
      <c r="E827" s="29" t="s">
        <v>227</v>
      </c>
      <c r="F827" s="31">
        <v>6750.92</v>
      </c>
      <c r="G827" s="31">
        <v>0</v>
      </c>
      <c r="H827" s="31">
        <v>6750.92</v>
      </c>
      <c r="I827" s="31">
        <v>4690.4399999999996</v>
      </c>
      <c r="J827" s="31">
        <v>2060.48</v>
      </c>
      <c r="K827" s="32">
        <v>0.30521470000000001</v>
      </c>
      <c r="L827" s="29" t="s">
        <v>125</v>
      </c>
      <c r="M827" s="33" t="s">
        <v>65</v>
      </c>
      <c r="N827" s="34" t="s">
        <v>125</v>
      </c>
      <c r="O827" s="35">
        <v>1</v>
      </c>
    </row>
    <row r="828" spans="1:15" x14ac:dyDescent="0.2">
      <c r="A828" s="29" t="s">
        <v>932</v>
      </c>
      <c r="B828" s="30">
        <v>45888</v>
      </c>
      <c r="C828" s="29" t="s">
        <v>929</v>
      </c>
      <c r="D828" s="29" t="s">
        <v>65</v>
      </c>
      <c r="E828" s="29" t="s">
        <v>227</v>
      </c>
      <c r="F828" s="31">
        <v>12904.52</v>
      </c>
      <c r="G828" s="31">
        <v>0</v>
      </c>
      <c r="H828" s="31">
        <v>12904.52</v>
      </c>
      <c r="I828" s="31">
        <v>8593.48</v>
      </c>
      <c r="J828" s="31">
        <v>4311.04</v>
      </c>
      <c r="K828" s="32">
        <v>0.33407208999999999</v>
      </c>
      <c r="L828" s="29" t="s">
        <v>125</v>
      </c>
      <c r="M828" s="33" t="s">
        <v>65</v>
      </c>
      <c r="N828" s="34" t="s">
        <v>125</v>
      </c>
      <c r="O828" s="35">
        <v>1</v>
      </c>
    </row>
    <row r="829" spans="1:15" x14ac:dyDescent="0.2">
      <c r="A829" s="29" t="s">
        <v>931</v>
      </c>
      <c r="B829" s="30">
        <v>45889</v>
      </c>
      <c r="C829" s="29" t="s">
        <v>929</v>
      </c>
      <c r="D829" s="29" t="s">
        <v>65</v>
      </c>
      <c r="E829" s="29" t="s">
        <v>227</v>
      </c>
      <c r="F829" s="31">
        <v>0</v>
      </c>
      <c r="G829" s="31">
        <v>33.96</v>
      </c>
      <c r="H829" s="31">
        <v>33.96</v>
      </c>
      <c r="I829" s="31">
        <v>25.47</v>
      </c>
      <c r="J829" s="31">
        <v>8.49</v>
      </c>
      <c r="K829" s="32">
        <v>0.25</v>
      </c>
      <c r="L829" s="29" t="s">
        <v>125</v>
      </c>
      <c r="M829" s="33" t="s">
        <v>65</v>
      </c>
      <c r="N829" s="34" t="s">
        <v>125</v>
      </c>
      <c r="O829" s="35">
        <v>0</v>
      </c>
    </row>
    <row r="830" spans="1:15" x14ac:dyDescent="0.2">
      <c r="A830" s="29" t="s">
        <v>932</v>
      </c>
      <c r="B830" s="30">
        <v>45891</v>
      </c>
      <c r="C830" s="29" t="s">
        <v>929</v>
      </c>
      <c r="D830" s="29" t="s">
        <v>65</v>
      </c>
      <c r="E830" s="29" t="s">
        <v>227</v>
      </c>
      <c r="F830" s="31">
        <v>298</v>
      </c>
      <c r="G830" s="31">
        <v>-298</v>
      </c>
      <c r="H830" s="31">
        <v>0</v>
      </c>
      <c r="I830" s="31">
        <v>-25.84</v>
      </c>
      <c r="J830" s="31">
        <v>25.84</v>
      </c>
      <c r="K830" s="32">
        <v>0</v>
      </c>
      <c r="L830" s="29" t="s">
        <v>125</v>
      </c>
      <c r="M830" s="33" t="s">
        <v>65</v>
      </c>
      <c r="N830" s="34" t="s">
        <v>125</v>
      </c>
      <c r="O830" s="35">
        <v>1</v>
      </c>
    </row>
    <row r="831" spans="1:15" x14ac:dyDescent="0.2">
      <c r="A831" s="29" t="s">
        <v>932</v>
      </c>
      <c r="B831" s="30">
        <v>45893</v>
      </c>
      <c r="C831" s="29" t="s">
        <v>929</v>
      </c>
      <c r="D831" s="29" t="s">
        <v>65</v>
      </c>
      <c r="E831" s="29" t="s">
        <v>227</v>
      </c>
      <c r="F831" s="31">
        <v>0</v>
      </c>
      <c r="G831" s="31">
        <v>342.31</v>
      </c>
      <c r="H831" s="31">
        <v>342.31</v>
      </c>
      <c r="I831" s="31">
        <v>256.73</v>
      </c>
      <c r="J831" s="31">
        <v>85.58</v>
      </c>
      <c r="K831" s="32">
        <v>0.25000729999999999</v>
      </c>
      <c r="L831" s="29" t="s">
        <v>125</v>
      </c>
      <c r="M831" s="33" t="s">
        <v>65</v>
      </c>
      <c r="N831" s="34" t="s">
        <v>125</v>
      </c>
      <c r="O831" s="35">
        <v>0</v>
      </c>
    </row>
    <row r="832" spans="1:15" x14ac:dyDescent="0.2">
      <c r="A832" s="29" t="s">
        <v>931</v>
      </c>
      <c r="B832" s="30">
        <v>45894</v>
      </c>
      <c r="C832" s="29" t="s">
        <v>929</v>
      </c>
      <c r="D832" s="29" t="s">
        <v>65</v>
      </c>
      <c r="E832" s="29" t="s">
        <v>227</v>
      </c>
      <c r="F832" s="31">
        <v>0</v>
      </c>
      <c r="G832" s="31">
        <v>0</v>
      </c>
      <c r="H832" s="31">
        <v>0</v>
      </c>
      <c r="I832" s="31">
        <v>214.94</v>
      </c>
      <c r="J832" s="31">
        <v>-214.94</v>
      </c>
      <c r="K832" s="32">
        <v>0</v>
      </c>
      <c r="L832" s="29" t="s">
        <v>125</v>
      </c>
      <c r="M832" s="33" t="s">
        <v>65</v>
      </c>
      <c r="N832" s="34" t="s">
        <v>125</v>
      </c>
      <c r="O832" s="35">
        <v>0</v>
      </c>
    </row>
    <row r="833" spans="1:15" x14ac:dyDescent="0.2">
      <c r="A833" s="29" t="s">
        <v>933</v>
      </c>
      <c r="B833" s="30">
        <v>45870</v>
      </c>
      <c r="C833" s="29" t="s">
        <v>68</v>
      </c>
      <c r="D833" s="29" t="s">
        <v>46</v>
      </c>
      <c r="E833" s="29" t="s">
        <v>192</v>
      </c>
      <c r="F833" s="31">
        <v>0</v>
      </c>
      <c r="G833" s="31">
        <v>0</v>
      </c>
      <c r="H833" s="31">
        <v>0</v>
      </c>
      <c r="I833" s="31">
        <v>0</v>
      </c>
      <c r="J833" s="31">
        <v>0</v>
      </c>
      <c r="K833" s="32">
        <v>0</v>
      </c>
      <c r="L833" s="29" t="s">
        <v>120</v>
      </c>
      <c r="M833" s="33" t="s">
        <v>46</v>
      </c>
      <c r="N833" s="34" t="s">
        <v>120</v>
      </c>
      <c r="O833" s="35">
        <v>0</v>
      </c>
    </row>
    <row r="834" spans="1:15" x14ac:dyDescent="0.2">
      <c r="A834" s="29" t="s">
        <v>933</v>
      </c>
      <c r="B834" s="30">
        <v>45873</v>
      </c>
      <c r="C834" s="29" t="s">
        <v>68</v>
      </c>
      <c r="D834" s="29" t="s">
        <v>46</v>
      </c>
      <c r="E834" s="29" t="s">
        <v>192</v>
      </c>
      <c r="F834" s="31">
        <v>0</v>
      </c>
      <c r="G834" s="31">
        <v>0</v>
      </c>
      <c r="H834" s="31">
        <v>0</v>
      </c>
      <c r="I834" s="31">
        <v>-3.15</v>
      </c>
      <c r="J834" s="31">
        <v>3.15</v>
      </c>
      <c r="K834" s="32">
        <v>0</v>
      </c>
      <c r="L834" s="29" t="s">
        <v>120</v>
      </c>
      <c r="M834" s="33" t="s">
        <v>46</v>
      </c>
      <c r="N834" s="34" t="s">
        <v>120</v>
      </c>
      <c r="O834" s="35">
        <v>0</v>
      </c>
    </row>
    <row r="835" spans="1:15" x14ac:dyDescent="0.2">
      <c r="A835" s="29" t="s">
        <v>933</v>
      </c>
      <c r="B835" s="30">
        <v>45874</v>
      </c>
      <c r="C835" s="29" t="s">
        <v>68</v>
      </c>
      <c r="D835" s="29" t="s">
        <v>46</v>
      </c>
      <c r="E835" s="29" t="s">
        <v>192</v>
      </c>
      <c r="F835" s="31">
        <v>0</v>
      </c>
      <c r="G835" s="31">
        <v>0</v>
      </c>
      <c r="H835" s="31">
        <v>0</v>
      </c>
      <c r="I835" s="31">
        <v>-0.01</v>
      </c>
      <c r="J835" s="31">
        <v>0.01</v>
      </c>
      <c r="K835" s="32">
        <v>0</v>
      </c>
      <c r="L835" s="29" t="s">
        <v>120</v>
      </c>
      <c r="M835" s="33" t="s">
        <v>46</v>
      </c>
      <c r="N835" s="34" t="s">
        <v>120</v>
      </c>
      <c r="O835" s="35">
        <v>0</v>
      </c>
    </row>
    <row r="836" spans="1:15" x14ac:dyDescent="0.2">
      <c r="A836" s="29" t="s">
        <v>933</v>
      </c>
      <c r="B836" s="30">
        <v>45876</v>
      </c>
      <c r="C836" s="29" t="s">
        <v>68</v>
      </c>
      <c r="D836" s="29" t="s">
        <v>46</v>
      </c>
      <c r="E836" s="29" t="s">
        <v>192</v>
      </c>
      <c r="F836" s="31">
        <v>0</v>
      </c>
      <c r="G836" s="31">
        <v>0</v>
      </c>
      <c r="H836" s="31">
        <v>0</v>
      </c>
      <c r="I836" s="31">
        <v>-18.600000000000001</v>
      </c>
      <c r="J836" s="31">
        <v>18.600000000000001</v>
      </c>
      <c r="K836" s="32">
        <v>0</v>
      </c>
      <c r="L836" s="29" t="s">
        <v>120</v>
      </c>
      <c r="M836" s="33" t="s">
        <v>46</v>
      </c>
      <c r="N836" s="34" t="s">
        <v>120</v>
      </c>
      <c r="O836" s="35">
        <v>0</v>
      </c>
    </row>
    <row r="837" spans="1:15" x14ac:dyDescent="0.2">
      <c r="A837" s="29" t="s">
        <v>933</v>
      </c>
      <c r="B837" s="30">
        <v>45877</v>
      </c>
      <c r="C837" s="29" t="s">
        <v>68</v>
      </c>
      <c r="D837" s="29" t="s">
        <v>46</v>
      </c>
      <c r="E837" s="29" t="s">
        <v>192</v>
      </c>
      <c r="F837" s="31">
        <v>0</v>
      </c>
      <c r="G837" s="31">
        <v>0</v>
      </c>
      <c r="H837" s="31">
        <v>0</v>
      </c>
      <c r="I837" s="31">
        <v>-365.38</v>
      </c>
      <c r="J837" s="31">
        <v>365.38</v>
      </c>
      <c r="K837" s="32">
        <v>0</v>
      </c>
      <c r="L837" s="29" t="s">
        <v>120</v>
      </c>
      <c r="M837" s="33" t="s">
        <v>46</v>
      </c>
      <c r="N837" s="34" t="s">
        <v>120</v>
      </c>
      <c r="O837" s="35">
        <v>0</v>
      </c>
    </row>
    <row r="838" spans="1:15" x14ac:dyDescent="0.2">
      <c r="A838" s="29" t="s">
        <v>933</v>
      </c>
      <c r="B838" s="30">
        <v>45878</v>
      </c>
      <c r="C838" s="29" t="s">
        <v>68</v>
      </c>
      <c r="D838" s="29" t="s">
        <v>46</v>
      </c>
      <c r="E838" s="29" t="s">
        <v>192</v>
      </c>
      <c r="F838" s="31">
        <v>0</v>
      </c>
      <c r="G838" s="31">
        <v>0</v>
      </c>
      <c r="H838" s="31">
        <v>0</v>
      </c>
      <c r="I838" s="31">
        <v>-26.93</v>
      </c>
      <c r="J838" s="31">
        <v>26.93</v>
      </c>
      <c r="K838" s="32">
        <v>0</v>
      </c>
      <c r="L838" s="29" t="s">
        <v>120</v>
      </c>
      <c r="M838" s="33" t="s">
        <v>46</v>
      </c>
      <c r="N838" s="34" t="s">
        <v>120</v>
      </c>
      <c r="O838" s="35">
        <v>0</v>
      </c>
    </row>
    <row r="839" spans="1:15" x14ac:dyDescent="0.2">
      <c r="A839" s="29" t="s">
        <v>933</v>
      </c>
      <c r="B839" s="30">
        <v>45883</v>
      </c>
      <c r="C839" s="29" t="s">
        <v>68</v>
      </c>
      <c r="D839" s="29" t="s">
        <v>46</v>
      </c>
      <c r="E839" s="29" t="s">
        <v>192</v>
      </c>
      <c r="F839" s="31">
        <v>0</v>
      </c>
      <c r="G839" s="31">
        <v>0</v>
      </c>
      <c r="H839" s="31">
        <v>0</v>
      </c>
      <c r="I839" s="31">
        <v>-1255.78</v>
      </c>
      <c r="J839" s="31">
        <v>1255.78</v>
      </c>
      <c r="K839" s="32">
        <v>0</v>
      </c>
      <c r="L839" s="29" t="s">
        <v>120</v>
      </c>
      <c r="M839" s="33" t="s">
        <v>46</v>
      </c>
      <c r="N839" s="34" t="s">
        <v>120</v>
      </c>
      <c r="O839" s="35">
        <v>0</v>
      </c>
    </row>
    <row r="840" spans="1:15" x14ac:dyDescent="0.2">
      <c r="A840" s="29" t="s">
        <v>933</v>
      </c>
      <c r="B840" s="30">
        <v>45890</v>
      </c>
      <c r="C840" s="29" t="s">
        <v>68</v>
      </c>
      <c r="D840" s="29" t="s">
        <v>46</v>
      </c>
      <c r="E840" s="29" t="s">
        <v>192</v>
      </c>
      <c r="F840" s="31">
        <v>0</v>
      </c>
      <c r="G840" s="31">
        <v>0</v>
      </c>
      <c r="H840" s="31">
        <v>0</v>
      </c>
      <c r="I840" s="31">
        <v>399</v>
      </c>
      <c r="J840" s="31">
        <v>-399</v>
      </c>
      <c r="K840" s="32">
        <v>0</v>
      </c>
      <c r="L840" s="29" t="s">
        <v>120</v>
      </c>
      <c r="M840" s="33" t="s">
        <v>46</v>
      </c>
      <c r="N840" s="34" t="s">
        <v>120</v>
      </c>
      <c r="O840" s="35">
        <v>0</v>
      </c>
    </row>
    <row r="841" spans="1:15" x14ac:dyDescent="0.2">
      <c r="A841" s="29" t="s">
        <v>933</v>
      </c>
      <c r="B841" s="30">
        <v>45895</v>
      </c>
      <c r="C841" s="29" t="s">
        <v>68</v>
      </c>
      <c r="D841" s="29" t="s">
        <v>46</v>
      </c>
      <c r="E841" s="29" t="s">
        <v>192</v>
      </c>
      <c r="F841" s="31">
        <v>0</v>
      </c>
      <c r="G841" s="31">
        <v>0</v>
      </c>
      <c r="H841" s="31">
        <v>0</v>
      </c>
      <c r="I841" s="31">
        <v>-7.0000000000000007E-2</v>
      </c>
      <c r="J841" s="31">
        <v>7.0000000000000007E-2</v>
      </c>
      <c r="K841" s="32">
        <v>0</v>
      </c>
      <c r="L841" s="29" t="s">
        <v>120</v>
      </c>
      <c r="M841" s="33" t="s">
        <v>46</v>
      </c>
      <c r="N841" s="34" t="s">
        <v>120</v>
      </c>
      <c r="O841" s="35">
        <v>0</v>
      </c>
    </row>
    <row r="842" spans="1:15" x14ac:dyDescent="0.2">
      <c r="A842" s="29" t="s">
        <v>933</v>
      </c>
      <c r="B842" s="30">
        <v>45898</v>
      </c>
      <c r="C842" s="29" t="s">
        <v>68</v>
      </c>
      <c r="D842" s="29" t="s">
        <v>46</v>
      </c>
      <c r="E842" s="29" t="s">
        <v>192</v>
      </c>
      <c r="F842" s="31">
        <v>0</v>
      </c>
      <c r="G842" s="31">
        <v>0</v>
      </c>
      <c r="H842" s="31">
        <v>0</v>
      </c>
      <c r="I842" s="31">
        <v>-2154.59</v>
      </c>
      <c r="J842" s="31">
        <v>2154.59</v>
      </c>
      <c r="K842" s="32">
        <v>0</v>
      </c>
      <c r="L842" s="29" t="s">
        <v>120</v>
      </c>
      <c r="M842" s="33" t="s">
        <v>46</v>
      </c>
      <c r="N842" s="34" t="s">
        <v>120</v>
      </c>
      <c r="O842" s="35">
        <v>0</v>
      </c>
    </row>
    <row r="843" spans="1:15" x14ac:dyDescent="0.2">
      <c r="A843" s="29" t="s">
        <v>934</v>
      </c>
      <c r="B843" s="30">
        <v>45898</v>
      </c>
      <c r="C843" s="29" t="s">
        <v>68</v>
      </c>
      <c r="D843" s="29" t="s">
        <v>46</v>
      </c>
      <c r="E843" s="29" t="s">
        <v>192</v>
      </c>
      <c r="F843" s="31">
        <v>3494718.72</v>
      </c>
      <c r="G843" s="31">
        <v>0</v>
      </c>
      <c r="H843" s="31">
        <v>3494718.72</v>
      </c>
      <c r="I843" s="31">
        <v>2821110.1</v>
      </c>
      <c r="J843" s="31">
        <v>673608.62</v>
      </c>
      <c r="K843" s="32">
        <v>0.19275044999999999</v>
      </c>
      <c r="L843" s="29" t="s">
        <v>120</v>
      </c>
      <c r="M843" s="33" t="s">
        <v>46</v>
      </c>
      <c r="N843" s="34" t="s">
        <v>120</v>
      </c>
      <c r="O843" s="35">
        <v>1</v>
      </c>
    </row>
    <row r="844" spans="1:15" x14ac:dyDescent="0.2">
      <c r="A844" s="29" t="s">
        <v>935</v>
      </c>
      <c r="B844" s="30">
        <v>45896</v>
      </c>
      <c r="C844" s="29" t="s">
        <v>936</v>
      </c>
      <c r="D844" s="29" t="s">
        <v>384</v>
      </c>
      <c r="E844" s="29" t="s">
        <v>192</v>
      </c>
      <c r="F844" s="31">
        <v>3578.73</v>
      </c>
      <c r="G844" s="31">
        <v>0</v>
      </c>
      <c r="H844" s="31">
        <v>3578.73</v>
      </c>
      <c r="I844" s="31">
        <v>3041.91</v>
      </c>
      <c r="J844" s="31">
        <v>536.82000000000005</v>
      </c>
      <c r="K844" s="32">
        <v>0.15000293000000001</v>
      </c>
      <c r="L844" s="29" t="s">
        <v>384</v>
      </c>
      <c r="M844" s="33" t="s">
        <v>48</v>
      </c>
      <c r="N844" s="34" t="s">
        <v>251</v>
      </c>
      <c r="O844" s="35">
        <v>1</v>
      </c>
    </row>
    <row r="845" spans="1:15" x14ac:dyDescent="0.2">
      <c r="A845" s="29" t="s">
        <v>937</v>
      </c>
      <c r="B845" s="30">
        <v>45873</v>
      </c>
      <c r="C845" s="29" t="s">
        <v>938</v>
      </c>
      <c r="D845" s="29" t="s">
        <v>9</v>
      </c>
      <c r="E845" s="29" t="s">
        <v>227</v>
      </c>
      <c r="F845" s="31">
        <v>0</v>
      </c>
      <c r="G845" s="31">
        <v>0</v>
      </c>
      <c r="H845" s="31">
        <v>0</v>
      </c>
      <c r="I845" s="31">
        <v>3053.02</v>
      </c>
      <c r="J845" s="31">
        <v>-3053.02</v>
      </c>
      <c r="K845" s="32">
        <v>0</v>
      </c>
      <c r="L845" s="29" t="s">
        <v>122</v>
      </c>
      <c r="M845" s="33" t="s">
        <v>9</v>
      </c>
      <c r="N845" s="34" t="s">
        <v>122</v>
      </c>
      <c r="O845" s="35">
        <v>0</v>
      </c>
    </row>
    <row r="846" spans="1:15" x14ac:dyDescent="0.2">
      <c r="A846" s="29" t="s">
        <v>939</v>
      </c>
      <c r="B846" s="30">
        <v>45875</v>
      </c>
      <c r="C846" s="29" t="s">
        <v>142</v>
      </c>
      <c r="D846" s="29" t="s">
        <v>48</v>
      </c>
      <c r="E846" s="29" t="s">
        <v>192</v>
      </c>
      <c r="F846" s="31">
        <v>11922</v>
      </c>
      <c r="G846" s="31">
        <v>0</v>
      </c>
      <c r="H846" s="31">
        <v>11922</v>
      </c>
      <c r="I846" s="31">
        <v>9117.7000000000007</v>
      </c>
      <c r="J846" s="31">
        <v>2804.3</v>
      </c>
      <c r="K846" s="32">
        <v>0.2352206</v>
      </c>
      <c r="L846" s="29" t="s">
        <v>85</v>
      </c>
      <c r="M846" s="33" t="s">
        <v>48</v>
      </c>
      <c r="N846" s="34" t="s">
        <v>85</v>
      </c>
      <c r="O846" s="35">
        <v>1</v>
      </c>
    </row>
    <row r="847" spans="1:15" x14ac:dyDescent="0.2">
      <c r="A847" s="29" t="s">
        <v>940</v>
      </c>
      <c r="B847" s="30">
        <v>45882</v>
      </c>
      <c r="C847" s="29" t="s">
        <v>941</v>
      </c>
      <c r="D847" s="29" t="s">
        <v>48</v>
      </c>
      <c r="E847" s="29" t="s">
        <v>192</v>
      </c>
      <c r="F847" s="31">
        <v>0</v>
      </c>
      <c r="G847" s="31">
        <v>0</v>
      </c>
      <c r="H847" s="31">
        <v>0</v>
      </c>
      <c r="I847" s="31">
        <v>11.75</v>
      </c>
      <c r="J847" s="31">
        <v>-11.75</v>
      </c>
      <c r="K847" s="32">
        <v>0</v>
      </c>
      <c r="L847" s="29" t="s">
        <v>85</v>
      </c>
      <c r="M847" s="33" t="s">
        <v>48</v>
      </c>
      <c r="N847" s="34" t="s">
        <v>85</v>
      </c>
      <c r="O847" s="35">
        <v>0</v>
      </c>
    </row>
    <row r="848" spans="1:15" x14ac:dyDescent="0.2">
      <c r="A848" s="29" t="s">
        <v>942</v>
      </c>
      <c r="B848" s="30">
        <v>45890</v>
      </c>
      <c r="C848" s="29" t="s">
        <v>943</v>
      </c>
      <c r="D848" s="29" t="s">
        <v>48</v>
      </c>
      <c r="E848" s="29" t="s">
        <v>192</v>
      </c>
      <c r="F848" s="31">
        <v>420</v>
      </c>
      <c r="G848" s="31">
        <v>0</v>
      </c>
      <c r="H848" s="31">
        <v>420</v>
      </c>
      <c r="I848" s="31">
        <v>189</v>
      </c>
      <c r="J848" s="31">
        <v>231</v>
      </c>
      <c r="K848" s="32">
        <v>0.55000000000000004</v>
      </c>
      <c r="L848" s="29" t="s">
        <v>85</v>
      </c>
      <c r="M848" s="33" t="s">
        <v>48</v>
      </c>
      <c r="N848" s="34" t="s">
        <v>85</v>
      </c>
      <c r="O848" s="35">
        <v>1</v>
      </c>
    </row>
    <row r="849" spans="1:15" x14ac:dyDescent="0.2">
      <c r="A849" s="29" t="s">
        <v>942</v>
      </c>
      <c r="B849" s="30">
        <v>45898</v>
      </c>
      <c r="C849" s="29" t="s">
        <v>943</v>
      </c>
      <c r="D849" s="29" t="s">
        <v>48</v>
      </c>
      <c r="E849" s="29" t="s">
        <v>192</v>
      </c>
      <c r="F849" s="31">
        <v>0</v>
      </c>
      <c r="G849" s="31">
        <v>0</v>
      </c>
      <c r="H849" s="31">
        <v>0</v>
      </c>
      <c r="I849" s="31">
        <v>12.6</v>
      </c>
      <c r="J849" s="31">
        <v>-12.6</v>
      </c>
      <c r="K849" s="32">
        <v>0</v>
      </c>
      <c r="L849" s="29" t="s">
        <v>85</v>
      </c>
      <c r="M849" s="33" t="s">
        <v>48</v>
      </c>
      <c r="N849" s="34" t="s">
        <v>85</v>
      </c>
      <c r="O849" s="35">
        <v>0</v>
      </c>
    </row>
    <row r="850" spans="1:15" x14ac:dyDescent="0.2">
      <c r="A850" s="29" t="s">
        <v>944</v>
      </c>
      <c r="B850" s="30">
        <v>45883</v>
      </c>
      <c r="C850" s="29" t="s">
        <v>36</v>
      </c>
      <c r="D850" s="29" t="s">
        <v>48</v>
      </c>
      <c r="E850" s="29" t="s">
        <v>192</v>
      </c>
      <c r="F850" s="31">
        <v>161</v>
      </c>
      <c r="G850" s="31">
        <v>0</v>
      </c>
      <c r="H850" s="31">
        <v>161</v>
      </c>
      <c r="I850" s="31">
        <v>147.06</v>
      </c>
      <c r="J850" s="31">
        <v>13.94</v>
      </c>
      <c r="K850" s="32">
        <v>8.6583850000000004E-2</v>
      </c>
      <c r="L850" s="29" t="s">
        <v>16</v>
      </c>
      <c r="M850" s="33" t="s">
        <v>48</v>
      </c>
      <c r="N850" s="34" t="s">
        <v>16</v>
      </c>
      <c r="O850" s="35">
        <v>1</v>
      </c>
    </row>
    <row r="851" spans="1:15" x14ac:dyDescent="0.2">
      <c r="A851" s="29" t="s">
        <v>945</v>
      </c>
      <c r="B851" s="30">
        <v>45894</v>
      </c>
      <c r="C851" s="29" t="s">
        <v>36</v>
      </c>
      <c r="D851" s="29" t="s">
        <v>48</v>
      </c>
      <c r="E851" s="29" t="s">
        <v>192</v>
      </c>
      <c r="F851" s="31">
        <v>0</v>
      </c>
      <c r="G851" s="31">
        <v>0</v>
      </c>
      <c r="H851" s="31">
        <v>0</v>
      </c>
      <c r="I851" s="31">
        <v>294.13</v>
      </c>
      <c r="J851" s="31">
        <v>-294.13</v>
      </c>
      <c r="K851" s="32">
        <v>0</v>
      </c>
      <c r="L851" s="29" t="s">
        <v>16</v>
      </c>
      <c r="M851" s="33" t="s">
        <v>48</v>
      </c>
      <c r="N851" s="34" t="s">
        <v>16</v>
      </c>
      <c r="O851" s="35">
        <v>0</v>
      </c>
    </row>
    <row r="852" spans="1:15" x14ac:dyDescent="0.2">
      <c r="A852" s="29" t="s">
        <v>946</v>
      </c>
      <c r="B852" s="30">
        <v>45873</v>
      </c>
      <c r="C852" s="29" t="s">
        <v>17</v>
      </c>
      <c r="D852" s="29" t="s">
        <v>48</v>
      </c>
      <c r="E852" s="29" t="s">
        <v>192</v>
      </c>
      <c r="F852" s="31">
        <v>17044.77</v>
      </c>
      <c r="G852" s="31">
        <v>0</v>
      </c>
      <c r="H852" s="31">
        <v>17044.77</v>
      </c>
      <c r="I852" s="31">
        <v>13861.25</v>
      </c>
      <c r="J852" s="31">
        <v>3183.52</v>
      </c>
      <c r="K852" s="32">
        <v>0.18677400999999999</v>
      </c>
      <c r="L852" s="29" t="s">
        <v>16</v>
      </c>
      <c r="M852" s="33" t="s">
        <v>48</v>
      </c>
      <c r="N852" s="34" t="s">
        <v>16</v>
      </c>
      <c r="O852" s="35">
        <v>1</v>
      </c>
    </row>
    <row r="853" spans="1:15" x14ac:dyDescent="0.2">
      <c r="A853" s="29" t="s">
        <v>946</v>
      </c>
      <c r="B853" s="30">
        <v>45875</v>
      </c>
      <c r="C853" s="29" t="s">
        <v>17</v>
      </c>
      <c r="D853" s="29" t="s">
        <v>48</v>
      </c>
      <c r="E853" s="29" t="s">
        <v>192</v>
      </c>
      <c r="F853" s="31">
        <v>0</v>
      </c>
      <c r="G853" s="31">
        <v>0</v>
      </c>
      <c r="H853" s="31">
        <v>0</v>
      </c>
      <c r="I853" s="31">
        <v>-458.09</v>
      </c>
      <c r="J853" s="31">
        <v>458.09</v>
      </c>
      <c r="K853" s="32">
        <v>0</v>
      </c>
      <c r="L853" s="29" t="s">
        <v>16</v>
      </c>
      <c r="M853" s="33" t="s">
        <v>48</v>
      </c>
      <c r="N853" s="34" t="s">
        <v>16</v>
      </c>
      <c r="O853" s="35">
        <v>0</v>
      </c>
    </row>
    <row r="854" spans="1:15" x14ac:dyDescent="0.2">
      <c r="A854" s="29" t="s">
        <v>947</v>
      </c>
      <c r="B854" s="30">
        <v>45882</v>
      </c>
      <c r="C854" s="29" t="s">
        <v>17</v>
      </c>
      <c r="D854" s="29" t="s">
        <v>48</v>
      </c>
      <c r="E854" s="29" t="s">
        <v>192</v>
      </c>
      <c r="F854" s="31">
        <v>6768.46</v>
      </c>
      <c r="G854" s="31">
        <v>0</v>
      </c>
      <c r="H854" s="31">
        <v>6768.46</v>
      </c>
      <c r="I854" s="31">
        <v>5240.6000000000004</v>
      </c>
      <c r="J854" s="31">
        <v>1527.86</v>
      </c>
      <c r="K854" s="32">
        <v>0.22573229</v>
      </c>
      <c r="L854" s="29" t="s">
        <v>16</v>
      </c>
      <c r="M854" s="33" t="s">
        <v>48</v>
      </c>
      <c r="N854" s="34" t="s">
        <v>16</v>
      </c>
      <c r="O854" s="35">
        <v>1</v>
      </c>
    </row>
    <row r="855" spans="1:15" x14ac:dyDescent="0.2">
      <c r="A855" s="29" t="s">
        <v>948</v>
      </c>
      <c r="B855" s="30">
        <v>45883</v>
      </c>
      <c r="C855" s="29" t="s">
        <v>17</v>
      </c>
      <c r="D855" s="29" t="s">
        <v>48</v>
      </c>
      <c r="E855" s="29" t="s">
        <v>192</v>
      </c>
      <c r="F855" s="31">
        <v>5554.22</v>
      </c>
      <c r="G855" s="31">
        <v>0</v>
      </c>
      <c r="H855" s="31">
        <v>5554.22</v>
      </c>
      <c r="I855" s="31">
        <v>4389.9799999999996</v>
      </c>
      <c r="J855" s="31">
        <v>1164.24</v>
      </c>
      <c r="K855" s="32">
        <v>0.20961358999999999</v>
      </c>
      <c r="L855" s="29" t="s">
        <v>16</v>
      </c>
      <c r="M855" s="33" t="s">
        <v>48</v>
      </c>
      <c r="N855" s="34" t="s">
        <v>16</v>
      </c>
      <c r="O855" s="35">
        <v>1</v>
      </c>
    </row>
    <row r="856" spans="1:15" x14ac:dyDescent="0.2">
      <c r="A856" s="29" t="s">
        <v>949</v>
      </c>
      <c r="B856" s="30">
        <v>45894</v>
      </c>
      <c r="C856" s="29" t="s">
        <v>17</v>
      </c>
      <c r="D856" s="29" t="s">
        <v>48</v>
      </c>
      <c r="E856" s="29" t="s">
        <v>192</v>
      </c>
      <c r="F856" s="31">
        <v>76800.09</v>
      </c>
      <c r="G856" s="31">
        <v>0</v>
      </c>
      <c r="H856" s="31">
        <v>76800.09</v>
      </c>
      <c r="I856" s="31">
        <v>58529.1</v>
      </c>
      <c r="J856" s="31">
        <v>18270.990000000002</v>
      </c>
      <c r="K856" s="32">
        <v>0.23790323999999999</v>
      </c>
      <c r="L856" s="29" t="s">
        <v>16</v>
      </c>
      <c r="M856" s="33" t="s">
        <v>48</v>
      </c>
      <c r="N856" s="34" t="s">
        <v>16</v>
      </c>
      <c r="O856" s="35">
        <v>1</v>
      </c>
    </row>
    <row r="857" spans="1:15" x14ac:dyDescent="0.2">
      <c r="A857" s="29" t="s">
        <v>949</v>
      </c>
      <c r="B857" s="30">
        <v>45897</v>
      </c>
      <c r="C857" s="29" t="s">
        <v>17</v>
      </c>
      <c r="D857" s="29" t="s">
        <v>48</v>
      </c>
      <c r="E857" s="29" t="s">
        <v>192</v>
      </c>
      <c r="F857" s="31">
        <v>0</v>
      </c>
      <c r="G857" s="31">
        <v>0</v>
      </c>
      <c r="H857" s="31">
        <v>0</v>
      </c>
      <c r="I857" s="31">
        <v>561.70000000000005</v>
      </c>
      <c r="J857" s="31">
        <v>-561.70000000000005</v>
      </c>
      <c r="K857" s="32">
        <v>0</v>
      </c>
      <c r="L857" s="29" t="s">
        <v>16</v>
      </c>
      <c r="M857" s="33" t="s">
        <v>48</v>
      </c>
      <c r="N857" s="34" t="s">
        <v>16</v>
      </c>
      <c r="O857" s="35">
        <v>0</v>
      </c>
    </row>
    <row r="858" spans="1:15" x14ac:dyDescent="0.2">
      <c r="A858" s="29" t="s">
        <v>949</v>
      </c>
      <c r="B858" s="30">
        <v>45898</v>
      </c>
      <c r="C858" s="29" t="s">
        <v>17</v>
      </c>
      <c r="D858" s="29" t="s">
        <v>48</v>
      </c>
      <c r="E858" s="29" t="s">
        <v>192</v>
      </c>
      <c r="F858" s="31">
        <v>0</v>
      </c>
      <c r="G858" s="31">
        <v>0</v>
      </c>
      <c r="H858" s="31">
        <v>0</v>
      </c>
      <c r="I858" s="31">
        <v>1045.6600000000001</v>
      </c>
      <c r="J858" s="31">
        <v>-1045.6600000000001</v>
      </c>
      <c r="K858" s="32">
        <v>0</v>
      </c>
      <c r="L858" s="29" t="s">
        <v>16</v>
      </c>
      <c r="M858" s="33" t="s">
        <v>48</v>
      </c>
      <c r="N858" s="34" t="s">
        <v>16</v>
      </c>
      <c r="O858" s="35">
        <v>0</v>
      </c>
    </row>
    <row r="859" spans="1:15" x14ac:dyDescent="0.2">
      <c r="A859" s="29" t="s">
        <v>946</v>
      </c>
      <c r="B859" s="30">
        <v>45899</v>
      </c>
      <c r="C859" s="29" t="s">
        <v>17</v>
      </c>
      <c r="D859" s="29" t="s">
        <v>48</v>
      </c>
      <c r="E859" s="29" t="s">
        <v>192</v>
      </c>
      <c r="F859" s="31">
        <v>0</v>
      </c>
      <c r="G859" s="31">
        <v>0</v>
      </c>
      <c r="H859" s="31">
        <v>0</v>
      </c>
      <c r="I859" s="31">
        <v>42.5</v>
      </c>
      <c r="J859" s="31">
        <v>-42.5</v>
      </c>
      <c r="K859" s="32">
        <v>0</v>
      </c>
      <c r="L859" s="29" t="s">
        <v>16</v>
      </c>
      <c r="M859" s="33" t="s">
        <v>48</v>
      </c>
      <c r="N859" s="34" t="s">
        <v>16</v>
      </c>
      <c r="O859" s="35">
        <v>0</v>
      </c>
    </row>
    <row r="860" spans="1:15" x14ac:dyDescent="0.2">
      <c r="A860" s="29" t="s">
        <v>950</v>
      </c>
      <c r="B860" s="30">
        <v>45890</v>
      </c>
      <c r="C860" s="29" t="s">
        <v>17</v>
      </c>
      <c r="D860" s="29" t="s">
        <v>48</v>
      </c>
      <c r="E860" s="29" t="s">
        <v>192</v>
      </c>
      <c r="F860" s="31">
        <v>0</v>
      </c>
      <c r="G860" s="31">
        <v>0</v>
      </c>
      <c r="H860" s="31">
        <v>0</v>
      </c>
      <c r="I860" s="31">
        <v>75</v>
      </c>
      <c r="J860" s="31">
        <v>-75</v>
      </c>
      <c r="K860" s="32">
        <v>0</v>
      </c>
      <c r="L860" s="29" t="s">
        <v>951</v>
      </c>
      <c r="M860" s="33" t="s">
        <v>48</v>
      </c>
      <c r="N860" s="34" t="s">
        <v>952</v>
      </c>
      <c r="O860" s="35">
        <v>0</v>
      </c>
    </row>
    <row r="861" spans="1:15" x14ac:dyDescent="0.2">
      <c r="A861" s="29" t="s">
        <v>953</v>
      </c>
      <c r="B861" s="30">
        <v>45873</v>
      </c>
      <c r="C861" s="29" t="s">
        <v>17</v>
      </c>
      <c r="D861" s="29" t="s">
        <v>48</v>
      </c>
      <c r="E861" s="29" t="s">
        <v>192</v>
      </c>
      <c r="F861" s="31">
        <v>0</v>
      </c>
      <c r="G861" s="31">
        <v>0</v>
      </c>
      <c r="H861" s="31">
        <v>0</v>
      </c>
      <c r="I861" s="31">
        <v>24.93</v>
      </c>
      <c r="J861" s="31">
        <v>-24.93</v>
      </c>
      <c r="K861" s="32">
        <v>0</v>
      </c>
      <c r="L861" s="29" t="s">
        <v>85</v>
      </c>
      <c r="M861" s="33" t="s">
        <v>48</v>
      </c>
      <c r="N861" s="34" t="s">
        <v>85</v>
      </c>
      <c r="O861" s="35">
        <v>0</v>
      </c>
    </row>
    <row r="862" spans="1:15" x14ac:dyDescent="0.2">
      <c r="A862" s="29" t="s">
        <v>954</v>
      </c>
      <c r="B862" s="30">
        <v>45874</v>
      </c>
      <c r="C862" s="29" t="s">
        <v>17</v>
      </c>
      <c r="D862" s="29" t="s">
        <v>48</v>
      </c>
      <c r="E862" s="29" t="s">
        <v>192</v>
      </c>
      <c r="F862" s="31">
        <v>0</v>
      </c>
      <c r="G862" s="31">
        <v>0</v>
      </c>
      <c r="H862" s="31">
        <v>0</v>
      </c>
      <c r="I862" s="31">
        <v>271.2</v>
      </c>
      <c r="J862" s="31">
        <v>-271.2</v>
      </c>
      <c r="K862" s="32">
        <v>0</v>
      </c>
      <c r="L862" s="29" t="s">
        <v>85</v>
      </c>
      <c r="M862" s="33" t="s">
        <v>48</v>
      </c>
      <c r="N862" s="34" t="s">
        <v>85</v>
      </c>
      <c r="O862" s="35">
        <v>0</v>
      </c>
    </row>
    <row r="863" spans="1:15" x14ac:dyDescent="0.2">
      <c r="A863" s="29" t="s">
        <v>955</v>
      </c>
      <c r="B863" s="30">
        <v>45875</v>
      </c>
      <c r="C863" s="29" t="s">
        <v>17</v>
      </c>
      <c r="D863" s="29" t="s">
        <v>48</v>
      </c>
      <c r="E863" s="29" t="s">
        <v>192</v>
      </c>
      <c r="F863" s="31">
        <v>0</v>
      </c>
      <c r="G863" s="31">
        <v>0</v>
      </c>
      <c r="H863" s="31">
        <v>0</v>
      </c>
      <c r="I863" s="31">
        <v>529.42999999999995</v>
      </c>
      <c r="J863" s="31">
        <v>-529.42999999999995</v>
      </c>
      <c r="K863" s="32">
        <v>0</v>
      </c>
      <c r="L863" s="29" t="s">
        <v>85</v>
      </c>
      <c r="M863" s="33" t="s">
        <v>48</v>
      </c>
      <c r="N863" s="34" t="s">
        <v>85</v>
      </c>
      <c r="O863" s="35">
        <v>0</v>
      </c>
    </row>
    <row r="864" spans="1:15" x14ac:dyDescent="0.2">
      <c r="A864" s="29" t="s">
        <v>956</v>
      </c>
      <c r="B864" s="30">
        <v>45876</v>
      </c>
      <c r="C864" s="29" t="s">
        <v>17</v>
      </c>
      <c r="D864" s="29" t="s">
        <v>48</v>
      </c>
      <c r="E864" s="29" t="s">
        <v>192</v>
      </c>
      <c r="F864" s="31">
        <v>0</v>
      </c>
      <c r="G864" s="31">
        <v>0</v>
      </c>
      <c r="H864" s="31">
        <v>0</v>
      </c>
      <c r="I864" s="31">
        <v>3476.56</v>
      </c>
      <c r="J864" s="31">
        <v>-3476.56</v>
      </c>
      <c r="K864" s="32">
        <v>0</v>
      </c>
      <c r="L864" s="29" t="s">
        <v>85</v>
      </c>
      <c r="M864" s="33" t="s">
        <v>48</v>
      </c>
      <c r="N864" s="34" t="s">
        <v>85</v>
      </c>
      <c r="O864" s="35">
        <v>0</v>
      </c>
    </row>
    <row r="865" spans="1:15" x14ac:dyDescent="0.2">
      <c r="A865" s="29" t="s">
        <v>957</v>
      </c>
      <c r="B865" s="30">
        <v>45876</v>
      </c>
      <c r="C865" s="29" t="s">
        <v>17</v>
      </c>
      <c r="D865" s="29" t="s">
        <v>48</v>
      </c>
      <c r="E865" s="29" t="s">
        <v>192</v>
      </c>
      <c r="F865" s="31">
        <v>0</v>
      </c>
      <c r="G865" s="31">
        <v>0</v>
      </c>
      <c r="H865" s="31">
        <v>0</v>
      </c>
      <c r="I865" s="31">
        <v>3215.52</v>
      </c>
      <c r="J865" s="31">
        <v>-3215.52</v>
      </c>
      <c r="K865" s="32">
        <v>0</v>
      </c>
      <c r="L865" s="29" t="s">
        <v>85</v>
      </c>
      <c r="M865" s="33" t="s">
        <v>48</v>
      </c>
      <c r="N865" s="34" t="s">
        <v>85</v>
      </c>
      <c r="O865" s="35">
        <v>0</v>
      </c>
    </row>
    <row r="866" spans="1:15" x14ac:dyDescent="0.2">
      <c r="A866" s="29" t="s">
        <v>954</v>
      </c>
      <c r="B866" s="30">
        <v>45876</v>
      </c>
      <c r="C866" s="29" t="s">
        <v>17</v>
      </c>
      <c r="D866" s="29" t="s">
        <v>48</v>
      </c>
      <c r="E866" s="29" t="s">
        <v>192</v>
      </c>
      <c r="F866" s="31">
        <v>0</v>
      </c>
      <c r="G866" s="31">
        <v>0</v>
      </c>
      <c r="H866" s="31">
        <v>0</v>
      </c>
      <c r="I866" s="31">
        <v>-0.99</v>
      </c>
      <c r="J866" s="31">
        <v>0.99</v>
      </c>
      <c r="K866" s="32">
        <v>0</v>
      </c>
      <c r="L866" s="29" t="s">
        <v>85</v>
      </c>
      <c r="M866" s="33" t="s">
        <v>48</v>
      </c>
      <c r="N866" s="34" t="s">
        <v>85</v>
      </c>
      <c r="O866" s="35">
        <v>0</v>
      </c>
    </row>
    <row r="867" spans="1:15" x14ac:dyDescent="0.2">
      <c r="A867" s="29" t="s">
        <v>958</v>
      </c>
      <c r="B867" s="30">
        <v>45876</v>
      </c>
      <c r="C867" s="29" t="s">
        <v>17</v>
      </c>
      <c r="D867" s="29" t="s">
        <v>48</v>
      </c>
      <c r="E867" s="29" t="s">
        <v>192</v>
      </c>
      <c r="F867" s="31">
        <v>0</v>
      </c>
      <c r="G867" s="31">
        <v>0</v>
      </c>
      <c r="H867" s="31">
        <v>0</v>
      </c>
      <c r="I867" s="31">
        <v>978.12</v>
      </c>
      <c r="J867" s="31">
        <v>-978.12</v>
      </c>
      <c r="K867" s="32">
        <v>0</v>
      </c>
      <c r="L867" s="29" t="s">
        <v>85</v>
      </c>
      <c r="M867" s="33" t="s">
        <v>48</v>
      </c>
      <c r="N867" s="34" t="s">
        <v>85</v>
      </c>
      <c r="O867" s="35">
        <v>0</v>
      </c>
    </row>
    <row r="868" spans="1:15" x14ac:dyDescent="0.2">
      <c r="A868" s="29" t="s">
        <v>959</v>
      </c>
      <c r="B868" s="30">
        <v>45881</v>
      </c>
      <c r="C868" s="29" t="s">
        <v>17</v>
      </c>
      <c r="D868" s="29" t="s">
        <v>48</v>
      </c>
      <c r="E868" s="29" t="s">
        <v>192</v>
      </c>
      <c r="F868" s="31">
        <v>0</v>
      </c>
      <c r="G868" s="31">
        <v>0</v>
      </c>
      <c r="H868" s="31">
        <v>0</v>
      </c>
      <c r="I868" s="31">
        <v>-2817.72</v>
      </c>
      <c r="J868" s="31">
        <v>2817.72</v>
      </c>
      <c r="K868" s="32">
        <v>0</v>
      </c>
      <c r="L868" s="29" t="s">
        <v>85</v>
      </c>
      <c r="M868" s="33" t="s">
        <v>48</v>
      </c>
      <c r="N868" s="34" t="s">
        <v>85</v>
      </c>
      <c r="O868" s="35">
        <v>0</v>
      </c>
    </row>
    <row r="869" spans="1:15" x14ac:dyDescent="0.2">
      <c r="A869" s="29" t="s">
        <v>960</v>
      </c>
      <c r="B869" s="30">
        <v>45881</v>
      </c>
      <c r="C869" s="29" t="s">
        <v>17</v>
      </c>
      <c r="D869" s="29" t="s">
        <v>48</v>
      </c>
      <c r="E869" s="29" t="s">
        <v>192</v>
      </c>
      <c r="F869" s="31">
        <v>2800</v>
      </c>
      <c r="G869" s="31">
        <v>0</v>
      </c>
      <c r="H869" s="31">
        <v>2800</v>
      </c>
      <c r="I869" s="31">
        <v>3294.2</v>
      </c>
      <c r="J869" s="31">
        <v>-494.2</v>
      </c>
      <c r="K869" s="32">
        <v>-0.17649999999999999</v>
      </c>
      <c r="L869" s="29" t="s">
        <v>85</v>
      </c>
      <c r="M869" s="33" t="s">
        <v>48</v>
      </c>
      <c r="N869" s="34" t="s">
        <v>85</v>
      </c>
      <c r="O869" s="35">
        <v>1</v>
      </c>
    </row>
    <row r="870" spans="1:15" x14ac:dyDescent="0.2">
      <c r="A870" s="29" t="s">
        <v>961</v>
      </c>
      <c r="B870" s="30">
        <v>45882</v>
      </c>
      <c r="C870" s="29" t="s">
        <v>17</v>
      </c>
      <c r="D870" s="29" t="s">
        <v>48</v>
      </c>
      <c r="E870" s="29" t="s">
        <v>192</v>
      </c>
      <c r="F870" s="31">
        <v>425</v>
      </c>
      <c r="G870" s="31">
        <v>0</v>
      </c>
      <c r="H870" s="31">
        <v>425</v>
      </c>
      <c r="I870" s="31">
        <v>500.01</v>
      </c>
      <c r="J870" s="31">
        <v>-75.010000000000005</v>
      </c>
      <c r="K870" s="32">
        <v>-0.17649412</v>
      </c>
      <c r="L870" s="29" t="s">
        <v>85</v>
      </c>
      <c r="M870" s="33" t="s">
        <v>48</v>
      </c>
      <c r="N870" s="34" t="s">
        <v>85</v>
      </c>
      <c r="O870" s="35">
        <v>1</v>
      </c>
    </row>
    <row r="871" spans="1:15" x14ac:dyDescent="0.2">
      <c r="A871" s="29" t="s">
        <v>962</v>
      </c>
      <c r="B871" s="30">
        <v>45883</v>
      </c>
      <c r="C871" s="29" t="s">
        <v>17</v>
      </c>
      <c r="D871" s="29" t="s">
        <v>48</v>
      </c>
      <c r="E871" s="29" t="s">
        <v>192</v>
      </c>
      <c r="F871" s="31">
        <v>16055</v>
      </c>
      <c r="G871" s="31">
        <v>0</v>
      </c>
      <c r="H871" s="31">
        <v>16055</v>
      </c>
      <c r="I871" s="31">
        <v>12189.09</v>
      </c>
      <c r="J871" s="31">
        <v>3865.91</v>
      </c>
      <c r="K871" s="32">
        <v>0.24079165</v>
      </c>
      <c r="L871" s="29" t="s">
        <v>85</v>
      </c>
      <c r="M871" s="33" t="s">
        <v>48</v>
      </c>
      <c r="N871" s="34" t="s">
        <v>85</v>
      </c>
      <c r="O871" s="35">
        <v>1</v>
      </c>
    </row>
    <row r="872" spans="1:15" x14ac:dyDescent="0.2">
      <c r="A872" s="29" t="s">
        <v>959</v>
      </c>
      <c r="B872" s="30">
        <v>45883</v>
      </c>
      <c r="C872" s="29" t="s">
        <v>17</v>
      </c>
      <c r="D872" s="29" t="s">
        <v>48</v>
      </c>
      <c r="E872" s="29" t="s">
        <v>192</v>
      </c>
      <c r="F872" s="31">
        <v>0</v>
      </c>
      <c r="G872" s="31">
        <v>0</v>
      </c>
      <c r="H872" s="31">
        <v>0</v>
      </c>
      <c r="I872" s="31">
        <v>469.62</v>
      </c>
      <c r="J872" s="31">
        <v>-469.62</v>
      </c>
      <c r="K872" s="32">
        <v>0</v>
      </c>
      <c r="L872" s="29" t="s">
        <v>85</v>
      </c>
      <c r="M872" s="33" t="s">
        <v>48</v>
      </c>
      <c r="N872" s="34" t="s">
        <v>85</v>
      </c>
      <c r="O872" s="35">
        <v>0</v>
      </c>
    </row>
    <row r="873" spans="1:15" x14ac:dyDescent="0.2">
      <c r="A873" s="29" t="s">
        <v>959</v>
      </c>
      <c r="B873" s="30">
        <v>45884</v>
      </c>
      <c r="C873" s="29" t="s">
        <v>17</v>
      </c>
      <c r="D873" s="29" t="s">
        <v>48</v>
      </c>
      <c r="E873" s="29" t="s">
        <v>192</v>
      </c>
      <c r="F873" s="31">
        <v>0</v>
      </c>
      <c r="G873" s="31">
        <v>0</v>
      </c>
      <c r="H873" s="31">
        <v>0</v>
      </c>
      <c r="I873" s="31">
        <v>2348.1</v>
      </c>
      <c r="J873" s="31">
        <v>-2348.1</v>
      </c>
      <c r="K873" s="32">
        <v>0</v>
      </c>
      <c r="L873" s="29" t="s">
        <v>85</v>
      </c>
      <c r="M873" s="33" t="s">
        <v>48</v>
      </c>
      <c r="N873" s="34" t="s">
        <v>85</v>
      </c>
      <c r="O873" s="35">
        <v>0</v>
      </c>
    </row>
    <row r="874" spans="1:15" x14ac:dyDescent="0.2">
      <c r="A874" s="29" t="s">
        <v>963</v>
      </c>
      <c r="B874" s="30">
        <v>45888</v>
      </c>
      <c r="C874" s="29" t="s">
        <v>17</v>
      </c>
      <c r="D874" s="29" t="s">
        <v>48</v>
      </c>
      <c r="E874" s="29" t="s">
        <v>192</v>
      </c>
      <c r="F874" s="31">
        <v>0</v>
      </c>
      <c r="G874" s="31">
        <v>0</v>
      </c>
      <c r="H874" s="31">
        <v>0</v>
      </c>
      <c r="I874" s="31">
        <v>335</v>
      </c>
      <c r="J874" s="31">
        <v>-335</v>
      </c>
      <c r="K874" s="32">
        <v>0</v>
      </c>
      <c r="L874" s="29" t="s">
        <v>85</v>
      </c>
      <c r="M874" s="33" t="s">
        <v>48</v>
      </c>
      <c r="N874" s="34" t="s">
        <v>85</v>
      </c>
      <c r="O874" s="35">
        <v>0</v>
      </c>
    </row>
    <row r="875" spans="1:15" x14ac:dyDescent="0.2">
      <c r="A875" s="29" t="s">
        <v>954</v>
      </c>
      <c r="B875" s="30">
        <v>45888</v>
      </c>
      <c r="C875" s="29" t="s">
        <v>17</v>
      </c>
      <c r="D875" s="29" t="s">
        <v>48</v>
      </c>
      <c r="E875" s="29" t="s">
        <v>192</v>
      </c>
      <c r="F875" s="31">
        <v>0</v>
      </c>
      <c r="G875" s="31">
        <v>0</v>
      </c>
      <c r="H875" s="31">
        <v>0</v>
      </c>
      <c r="I875" s="31">
        <v>596.36</v>
      </c>
      <c r="J875" s="31">
        <v>-596.36</v>
      </c>
      <c r="K875" s="32">
        <v>0</v>
      </c>
      <c r="L875" s="29" t="s">
        <v>85</v>
      </c>
      <c r="M875" s="33" t="s">
        <v>48</v>
      </c>
      <c r="N875" s="34" t="s">
        <v>85</v>
      </c>
      <c r="O875" s="35">
        <v>0</v>
      </c>
    </row>
    <row r="876" spans="1:15" x14ac:dyDescent="0.2">
      <c r="A876" s="29" t="s">
        <v>954</v>
      </c>
      <c r="B876" s="30">
        <v>45896</v>
      </c>
      <c r="C876" s="29" t="s">
        <v>17</v>
      </c>
      <c r="D876" s="29" t="s">
        <v>48</v>
      </c>
      <c r="E876" s="29" t="s">
        <v>192</v>
      </c>
      <c r="F876" s="31">
        <v>0</v>
      </c>
      <c r="G876" s="31">
        <v>0</v>
      </c>
      <c r="H876" s="31">
        <v>0</v>
      </c>
      <c r="I876" s="31">
        <v>-73.14</v>
      </c>
      <c r="J876" s="31">
        <v>73.14</v>
      </c>
      <c r="K876" s="32">
        <v>0</v>
      </c>
      <c r="L876" s="29" t="s">
        <v>85</v>
      </c>
      <c r="M876" s="33" t="s">
        <v>48</v>
      </c>
      <c r="N876" s="34" t="s">
        <v>85</v>
      </c>
      <c r="O876" s="35">
        <v>0</v>
      </c>
    </row>
    <row r="877" spans="1:15" x14ac:dyDescent="0.2">
      <c r="A877" s="29" t="s">
        <v>964</v>
      </c>
      <c r="B877" s="30">
        <v>45894</v>
      </c>
      <c r="C877" s="29" t="s">
        <v>965</v>
      </c>
      <c r="D877" s="29" t="s">
        <v>76</v>
      </c>
      <c r="E877" s="29" t="s">
        <v>199</v>
      </c>
      <c r="F877" s="31">
        <v>63974.83</v>
      </c>
      <c r="G877" s="31">
        <v>0</v>
      </c>
      <c r="H877" s="31">
        <v>63974.83</v>
      </c>
      <c r="I877" s="31">
        <v>53420.72</v>
      </c>
      <c r="J877" s="31">
        <v>10554.11</v>
      </c>
      <c r="K877" s="32">
        <v>0.16497285</v>
      </c>
      <c r="L877" s="29" t="s">
        <v>76</v>
      </c>
      <c r="M877" s="33" t="s">
        <v>106</v>
      </c>
      <c r="N877" s="34" t="s">
        <v>76</v>
      </c>
      <c r="O877" s="35">
        <v>1</v>
      </c>
    </row>
    <row r="878" spans="1:15" x14ac:dyDescent="0.2">
      <c r="A878" s="29" t="s">
        <v>964</v>
      </c>
      <c r="B878" s="30">
        <v>45898</v>
      </c>
      <c r="C878" s="29" t="s">
        <v>965</v>
      </c>
      <c r="D878" s="29" t="s">
        <v>76</v>
      </c>
      <c r="E878" s="29" t="s">
        <v>199</v>
      </c>
      <c r="F878" s="31">
        <v>0</v>
      </c>
      <c r="G878" s="31">
        <v>0</v>
      </c>
      <c r="H878" s="31">
        <v>0</v>
      </c>
      <c r="I878" s="31">
        <v>24.13</v>
      </c>
      <c r="J878" s="31">
        <v>-24.13</v>
      </c>
      <c r="K878" s="32">
        <v>0</v>
      </c>
      <c r="L878" s="29" t="s">
        <v>76</v>
      </c>
      <c r="M878" s="33" t="s">
        <v>106</v>
      </c>
      <c r="N878" s="34" t="s">
        <v>76</v>
      </c>
      <c r="O878" s="35">
        <v>0</v>
      </c>
    </row>
    <row r="879" spans="1:15" x14ac:dyDescent="0.2">
      <c r="A879" s="29" t="s">
        <v>966</v>
      </c>
      <c r="B879" s="30">
        <v>45895</v>
      </c>
      <c r="C879" s="29" t="s">
        <v>967</v>
      </c>
      <c r="D879" s="29" t="s">
        <v>268</v>
      </c>
      <c r="E879" s="29" t="s">
        <v>199</v>
      </c>
      <c r="F879" s="31">
        <v>0</v>
      </c>
      <c r="G879" s="31">
        <v>0</v>
      </c>
      <c r="H879" s="31">
        <v>0</v>
      </c>
      <c r="I879" s="31">
        <v>750</v>
      </c>
      <c r="J879" s="31">
        <v>-750</v>
      </c>
      <c r="K879" s="32">
        <v>0</v>
      </c>
      <c r="L879" s="29" t="s">
        <v>111</v>
      </c>
      <c r="M879" s="33" t="s">
        <v>268</v>
      </c>
      <c r="N879" s="34" t="s">
        <v>111</v>
      </c>
      <c r="O879" s="35">
        <v>0</v>
      </c>
    </row>
    <row r="880" spans="1:15" x14ac:dyDescent="0.2">
      <c r="A880" s="29" t="s">
        <v>968</v>
      </c>
      <c r="B880" s="30">
        <v>45883</v>
      </c>
      <c r="C880" s="29" t="s">
        <v>969</v>
      </c>
      <c r="D880" s="29" t="s">
        <v>65</v>
      </c>
      <c r="E880" s="29" t="s">
        <v>227</v>
      </c>
      <c r="F880" s="31">
        <v>9633.56</v>
      </c>
      <c r="G880" s="31">
        <v>0</v>
      </c>
      <c r="H880" s="31">
        <v>9633.56</v>
      </c>
      <c r="I880" s="31">
        <v>7706.47</v>
      </c>
      <c r="J880" s="31">
        <v>1927.09</v>
      </c>
      <c r="K880" s="32">
        <v>0.20003924000000001</v>
      </c>
      <c r="L880" s="29" t="s">
        <v>168</v>
      </c>
      <c r="M880" s="33" t="s">
        <v>65</v>
      </c>
      <c r="N880" s="34" t="s">
        <v>168</v>
      </c>
      <c r="O880" s="35">
        <v>1</v>
      </c>
    </row>
    <row r="881" spans="1:15" x14ac:dyDescent="0.2">
      <c r="A881" s="29" t="s">
        <v>970</v>
      </c>
      <c r="B881" s="30">
        <v>45888</v>
      </c>
      <c r="C881" s="29" t="s">
        <v>971</v>
      </c>
      <c r="D881" s="29" t="s">
        <v>69</v>
      </c>
      <c r="E881" s="29" t="s">
        <v>199</v>
      </c>
      <c r="F881" s="31">
        <v>1594.3</v>
      </c>
      <c r="G881" s="31">
        <v>0</v>
      </c>
      <c r="H881" s="31">
        <v>1594.3</v>
      </c>
      <c r="I881" s="31">
        <v>1328.77</v>
      </c>
      <c r="J881" s="31">
        <v>265.52999999999997</v>
      </c>
      <c r="K881" s="32">
        <v>0.16654958</v>
      </c>
      <c r="L881" s="29" t="s">
        <v>76</v>
      </c>
      <c r="M881" s="33" t="s">
        <v>69</v>
      </c>
      <c r="N881" s="34" t="s">
        <v>76</v>
      </c>
      <c r="O881" s="35">
        <v>1</v>
      </c>
    </row>
    <row r="882" spans="1:15" x14ac:dyDescent="0.2">
      <c r="A882" s="29" t="s">
        <v>970</v>
      </c>
      <c r="B882" s="30">
        <v>45894</v>
      </c>
      <c r="C882" s="29" t="s">
        <v>971</v>
      </c>
      <c r="D882" s="29" t="s">
        <v>69</v>
      </c>
      <c r="E882" s="29" t="s">
        <v>199</v>
      </c>
      <c r="F882" s="31">
        <v>0</v>
      </c>
      <c r="G882" s="31">
        <v>0</v>
      </c>
      <c r="H882" s="31">
        <v>0</v>
      </c>
      <c r="I882" s="31">
        <v>-32.590000000000003</v>
      </c>
      <c r="J882" s="31">
        <v>32.590000000000003</v>
      </c>
      <c r="K882" s="32">
        <v>0</v>
      </c>
      <c r="L882" s="29" t="s">
        <v>76</v>
      </c>
      <c r="M882" s="33" t="s">
        <v>69</v>
      </c>
      <c r="N882" s="34" t="s">
        <v>76</v>
      </c>
      <c r="O882" s="35">
        <v>0</v>
      </c>
    </row>
    <row r="883" spans="1:15" x14ac:dyDescent="0.2">
      <c r="A883" s="29" t="s">
        <v>970</v>
      </c>
      <c r="B883" s="30">
        <v>45895</v>
      </c>
      <c r="C883" s="29" t="s">
        <v>971</v>
      </c>
      <c r="D883" s="29" t="s">
        <v>69</v>
      </c>
      <c r="E883" s="29" t="s">
        <v>199</v>
      </c>
      <c r="F883" s="31">
        <v>0</v>
      </c>
      <c r="G883" s="31">
        <v>0</v>
      </c>
      <c r="H883" s="31">
        <v>0</v>
      </c>
      <c r="I883" s="31">
        <v>21.5</v>
      </c>
      <c r="J883" s="31">
        <v>-21.5</v>
      </c>
      <c r="K883" s="32">
        <v>0</v>
      </c>
      <c r="L883" s="29" t="s">
        <v>76</v>
      </c>
      <c r="M883" s="33" t="s">
        <v>69</v>
      </c>
      <c r="N883" s="34" t="s">
        <v>76</v>
      </c>
      <c r="O883" s="35">
        <v>0</v>
      </c>
    </row>
    <row r="884" spans="1:15" x14ac:dyDescent="0.2">
      <c r="A884" s="29" t="s">
        <v>972</v>
      </c>
      <c r="B884" s="30">
        <v>45875</v>
      </c>
      <c r="C884" s="29" t="s">
        <v>973</v>
      </c>
      <c r="D884" s="29" t="s">
        <v>9</v>
      </c>
      <c r="E884" s="29" t="s">
        <v>227</v>
      </c>
      <c r="F884" s="31">
        <v>4233</v>
      </c>
      <c r="G884" s="31">
        <v>0</v>
      </c>
      <c r="H884" s="31">
        <v>4233</v>
      </c>
      <c r="I884" s="31">
        <v>3613.97</v>
      </c>
      <c r="J884" s="31">
        <v>619.03</v>
      </c>
      <c r="K884" s="32">
        <v>0.14623907</v>
      </c>
      <c r="L884" s="29" t="s">
        <v>122</v>
      </c>
      <c r="M884" s="33" t="s">
        <v>9</v>
      </c>
      <c r="N884" s="34" t="s">
        <v>122</v>
      </c>
      <c r="O884" s="35">
        <v>1</v>
      </c>
    </row>
    <row r="885" spans="1:15" x14ac:dyDescent="0.2">
      <c r="A885" s="29" t="s">
        <v>972</v>
      </c>
      <c r="B885" s="30">
        <v>45876</v>
      </c>
      <c r="C885" s="29" t="s">
        <v>973</v>
      </c>
      <c r="D885" s="29" t="s">
        <v>9</v>
      </c>
      <c r="E885" s="29" t="s">
        <v>227</v>
      </c>
      <c r="F885" s="31">
        <v>0</v>
      </c>
      <c r="G885" s="31">
        <v>0</v>
      </c>
      <c r="H885" s="31">
        <v>0</v>
      </c>
      <c r="I885" s="31">
        <v>1.6</v>
      </c>
      <c r="J885" s="31">
        <v>-1.6</v>
      </c>
      <c r="K885" s="32">
        <v>0</v>
      </c>
      <c r="L885" s="29" t="s">
        <v>122</v>
      </c>
      <c r="M885" s="33" t="s">
        <v>9</v>
      </c>
      <c r="N885" s="34" t="s">
        <v>122</v>
      </c>
      <c r="O885" s="35">
        <v>0</v>
      </c>
    </row>
    <row r="886" spans="1:15" x14ac:dyDescent="0.2">
      <c r="A886" s="29" t="s">
        <v>972</v>
      </c>
      <c r="B886" s="30">
        <v>45877</v>
      </c>
      <c r="C886" s="29" t="s">
        <v>973</v>
      </c>
      <c r="D886" s="29" t="s">
        <v>9</v>
      </c>
      <c r="E886" s="29" t="s">
        <v>227</v>
      </c>
      <c r="F886" s="31">
        <v>0</v>
      </c>
      <c r="G886" s="31">
        <v>0</v>
      </c>
      <c r="H886" s="31">
        <v>0</v>
      </c>
      <c r="I886" s="31">
        <v>0.34</v>
      </c>
      <c r="J886" s="31">
        <v>-0.34</v>
      </c>
      <c r="K886" s="32">
        <v>0</v>
      </c>
      <c r="L886" s="29" t="s">
        <v>122</v>
      </c>
      <c r="M886" s="33" t="s">
        <v>9</v>
      </c>
      <c r="N886" s="34" t="s">
        <v>122</v>
      </c>
      <c r="O886" s="35">
        <v>0</v>
      </c>
    </row>
    <row r="887" spans="1:15" x14ac:dyDescent="0.2">
      <c r="A887" s="29" t="s">
        <v>972</v>
      </c>
      <c r="B887" s="30">
        <v>45895</v>
      </c>
      <c r="C887" s="29" t="s">
        <v>973</v>
      </c>
      <c r="D887" s="29" t="s">
        <v>9</v>
      </c>
      <c r="E887" s="29" t="s">
        <v>227</v>
      </c>
      <c r="F887" s="31">
        <v>0</v>
      </c>
      <c r="G887" s="31">
        <v>0</v>
      </c>
      <c r="H887" s="31">
        <v>0</v>
      </c>
      <c r="I887" s="31">
        <v>-0.01</v>
      </c>
      <c r="J887" s="31">
        <v>0.01</v>
      </c>
      <c r="K887" s="32">
        <v>0</v>
      </c>
      <c r="L887" s="29" t="s">
        <v>122</v>
      </c>
      <c r="M887" s="33" t="s">
        <v>9</v>
      </c>
      <c r="N887" s="34" t="s">
        <v>122</v>
      </c>
      <c r="O887" s="35">
        <v>0</v>
      </c>
    </row>
    <row r="888" spans="1:15" x14ac:dyDescent="0.2">
      <c r="A888" s="29" t="s">
        <v>974</v>
      </c>
      <c r="B888" s="30">
        <v>45887</v>
      </c>
      <c r="C888" s="29" t="s">
        <v>975</v>
      </c>
      <c r="D888" s="29" t="s">
        <v>9</v>
      </c>
      <c r="E888" s="29" t="s">
        <v>227</v>
      </c>
      <c r="F888" s="31">
        <v>570</v>
      </c>
      <c r="G888" s="31">
        <v>0</v>
      </c>
      <c r="H888" s="31">
        <v>570</v>
      </c>
      <c r="I888" s="31">
        <v>513.54</v>
      </c>
      <c r="J888" s="31">
        <v>56.46</v>
      </c>
      <c r="K888" s="32">
        <v>9.9052630000000003E-2</v>
      </c>
      <c r="L888" s="29" t="s">
        <v>122</v>
      </c>
      <c r="M888" s="33" t="s">
        <v>9</v>
      </c>
      <c r="N888" s="34" t="s">
        <v>122</v>
      </c>
      <c r="O888" s="35">
        <v>1</v>
      </c>
    </row>
    <row r="889" spans="1:15" x14ac:dyDescent="0.2">
      <c r="A889" s="29" t="s">
        <v>976</v>
      </c>
      <c r="B889" s="30">
        <v>45884</v>
      </c>
      <c r="C889" s="29" t="s">
        <v>977</v>
      </c>
      <c r="D889" s="29" t="s">
        <v>122</v>
      </c>
      <c r="E889" s="29" t="s">
        <v>227</v>
      </c>
      <c r="F889" s="31">
        <v>92206.67</v>
      </c>
      <c r="G889" s="31">
        <v>0</v>
      </c>
      <c r="H889" s="31">
        <v>92206.67</v>
      </c>
      <c r="I889" s="31">
        <v>71896.320000000007</v>
      </c>
      <c r="J889" s="31">
        <v>20310.349999999999</v>
      </c>
      <c r="K889" s="32">
        <v>0.22026986000000001</v>
      </c>
      <c r="L889" s="29" t="s">
        <v>168</v>
      </c>
      <c r="M889" s="33" t="s">
        <v>65</v>
      </c>
      <c r="N889" s="34" t="s">
        <v>168</v>
      </c>
      <c r="O889" s="35">
        <v>1</v>
      </c>
    </row>
    <row r="890" spans="1:15" x14ac:dyDescent="0.2">
      <c r="A890" s="29" t="s">
        <v>976</v>
      </c>
      <c r="B890" s="30">
        <v>45887</v>
      </c>
      <c r="C890" s="29" t="s">
        <v>977</v>
      </c>
      <c r="D890" s="29" t="s">
        <v>122</v>
      </c>
      <c r="E890" s="29" t="s">
        <v>227</v>
      </c>
      <c r="F890" s="31">
        <v>0</v>
      </c>
      <c r="G890" s="31">
        <v>0</v>
      </c>
      <c r="H890" s="31">
        <v>0</v>
      </c>
      <c r="I890" s="31">
        <v>19.55</v>
      </c>
      <c r="J890" s="31">
        <v>-19.55</v>
      </c>
      <c r="K890" s="32">
        <v>0</v>
      </c>
      <c r="L890" s="29" t="s">
        <v>168</v>
      </c>
      <c r="M890" s="33" t="s">
        <v>65</v>
      </c>
      <c r="N890" s="34" t="s">
        <v>168</v>
      </c>
      <c r="O890" s="35">
        <v>0</v>
      </c>
    </row>
    <row r="891" spans="1:15" x14ac:dyDescent="0.2">
      <c r="A891" s="29" t="s">
        <v>976</v>
      </c>
      <c r="B891" s="30">
        <v>45888</v>
      </c>
      <c r="C891" s="29" t="s">
        <v>977</v>
      </c>
      <c r="D891" s="29" t="s">
        <v>122</v>
      </c>
      <c r="E891" s="29" t="s">
        <v>227</v>
      </c>
      <c r="F891" s="31">
        <v>0</v>
      </c>
      <c r="G891" s="31">
        <v>0</v>
      </c>
      <c r="H891" s="31">
        <v>0</v>
      </c>
      <c r="I891" s="31">
        <v>-344.44</v>
      </c>
      <c r="J891" s="31">
        <v>344.44</v>
      </c>
      <c r="K891" s="32">
        <v>0</v>
      </c>
      <c r="L891" s="29" t="s">
        <v>168</v>
      </c>
      <c r="M891" s="33" t="s">
        <v>65</v>
      </c>
      <c r="N891" s="34" t="s">
        <v>168</v>
      </c>
      <c r="O891" s="35">
        <v>0</v>
      </c>
    </row>
    <row r="892" spans="1:15" x14ac:dyDescent="0.2">
      <c r="A892" s="29" t="s">
        <v>976</v>
      </c>
      <c r="B892" s="30">
        <v>45894</v>
      </c>
      <c r="C892" s="29" t="s">
        <v>977</v>
      </c>
      <c r="D892" s="29" t="s">
        <v>122</v>
      </c>
      <c r="E892" s="29" t="s">
        <v>227</v>
      </c>
      <c r="F892" s="31">
        <v>0</v>
      </c>
      <c r="G892" s="31">
        <v>0</v>
      </c>
      <c r="H892" s="31">
        <v>0</v>
      </c>
      <c r="I892" s="31">
        <v>-315</v>
      </c>
      <c r="J892" s="31">
        <v>315</v>
      </c>
      <c r="K892" s="32">
        <v>0</v>
      </c>
      <c r="L892" s="29" t="s">
        <v>168</v>
      </c>
      <c r="M892" s="33" t="s">
        <v>65</v>
      </c>
      <c r="N892" s="34" t="s">
        <v>168</v>
      </c>
      <c r="O892" s="35">
        <v>0</v>
      </c>
    </row>
    <row r="893" spans="1:15" x14ac:dyDescent="0.2">
      <c r="A893" s="29" t="s">
        <v>978</v>
      </c>
      <c r="B893" s="30">
        <v>45890</v>
      </c>
      <c r="C893" s="29" t="s">
        <v>979</v>
      </c>
      <c r="D893" s="29" t="s">
        <v>268</v>
      </c>
      <c r="E893" s="29" t="s">
        <v>199</v>
      </c>
      <c r="F893" s="31">
        <v>0</v>
      </c>
      <c r="G893" s="31">
        <v>0</v>
      </c>
      <c r="H893" s="31">
        <v>0</v>
      </c>
      <c r="I893" s="31">
        <v>-187.5</v>
      </c>
      <c r="J893" s="31">
        <v>187.5</v>
      </c>
      <c r="K893" s="32">
        <v>0</v>
      </c>
      <c r="L893" s="29" t="s">
        <v>111</v>
      </c>
      <c r="M893" s="33" t="s">
        <v>268</v>
      </c>
      <c r="N893" s="34" t="s">
        <v>111</v>
      </c>
      <c r="O893" s="35">
        <v>0</v>
      </c>
    </row>
    <row r="894" spans="1:15" x14ac:dyDescent="0.2">
      <c r="A894" s="29" t="s">
        <v>980</v>
      </c>
      <c r="B894" s="30">
        <v>45890</v>
      </c>
      <c r="C894" s="29" t="s">
        <v>979</v>
      </c>
      <c r="D894" s="29" t="s">
        <v>268</v>
      </c>
      <c r="E894" s="29" t="s">
        <v>199</v>
      </c>
      <c r="F894" s="31">
        <v>0</v>
      </c>
      <c r="G894" s="31">
        <v>0</v>
      </c>
      <c r="H894" s="31">
        <v>0</v>
      </c>
      <c r="I894" s="31">
        <v>-712.5</v>
      </c>
      <c r="J894" s="31">
        <v>712.5</v>
      </c>
      <c r="K894" s="32">
        <v>0</v>
      </c>
      <c r="L894" s="29" t="s">
        <v>111</v>
      </c>
      <c r="M894" s="33" t="s">
        <v>268</v>
      </c>
      <c r="N894" s="34" t="s">
        <v>111</v>
      </c>
      <c r="O894" s="35">
        <v>0</v>
      </c>
    </row>
    <row r="895" spans="1:15" x14ac:dyDescent="0.2">
      <c r="A895" s="29" t="s">
        <v>981</v>
      </c>
      <c r="B895" s="30">
        <v>45891</v>
      </c>
      <c r="C895" s="29" t="s">
        <v>979</v>
      </c>
      <c r="D895" s="29" t="s">
        <v>268</v>
      </c>
      <c r="E895" s="29" t="s">
        <v>199</v>
      </c>
      <c r="F895" s="31">
        <v>0</v>
      </c>
      <c r="G895" s="31">
        <v>0</v>
      </c>
      <c r="H895" s="31">
        <v>0</v>
      </c>
      <c r="I895" s="31">
        <v>-487.5</v>
      </c>
      <c r="J895" s="31">
        <v>487.5</v>
      </c>
      <c r="K895" s="32">
        <v>0</v>
      </c>
      <c r="L895" s="29" t="s">
        <v>111</v>
      </c>
      <c r="M895" s="33" t="s">
        <v>268</v>
      </c>
      <c r="N895" s="34" t="s">
        <v>111</v>
      </c>
      <c r="O895" s="35">
        <v>0</v>
      </c>
    </row>
    <row r="896" spans="1:15" x14ac:dyDescent="0.2">
      <c r="A896" s="29" t="s">
        <v>982</v>
      </c>
      <c r="B896" s="30">
        <v>45891</v>
      </c>
      <c r="C896" s="29" t="s">
        <v>979</v>
      </c>
      <c r="D896" s="29" t="s">
        <v>268</v>
      </c>
      <c r="E896" s="29" t="s">
        <v>199</v>
      </c>
      <c r="F896" s="31">
        <v>0</v>
      </c>
      <c r="G896" s="31">
        <v>0</v>
      </c>
      <c r="H896" s="31">
        <v>0</v>
      </c>
      <c r="I896" s="31">
        <v>-450</v>
      </c>
      <c r="J896" s="31">
        <v>450</v>
      </c>
      <c r="K896" s="32">
        <v>0</v>
      </c>
      <c r="L896" s="29" t="s">
        <v>111</v>
      </c>
      <c r="M896" s="33" t="s">
        <v>268</v>
      </c>
      <c r="N896" s="34" t="s">
        <v>111</v>
      </c>
      <c r="O896" s="35">
        <v>0</v>
      </c>
    </row>
    <row r="897" spans="1:15" x14ac:dyDescent="0.2">
      <c r="A897" s="29" t="s">
        <v>983</v>
      </c>
      <c r="B897" s="30">
        <v>45895</v>
      </c>
      <c r="C897" s="29" t="s">
        <v>984</v>
      </c>
      <c r="D897" s="29" t="s">
        <v>47</v>
      </c>
      <c r="E897" s="29" t="s">
        <v>227</v>
      </c>
      <c r="F897" s="31">
        <v>249666.8</v>
      </c>
      <c r="G897" s="31">
        <v>0</v>
      </c>
      <c r="H897" s="31">
        <v>249666.8</v>
      </c>
      <c r="I897" s="31">
        <v>182894.52</v>
      </c>
      <c r="J897" s="31">
        <v>66772.28</v>
      </c>
      <c r="K897" s="32">
        <v>0.26744557000000002</v>
      </c>
      <c r="L897" s="29" t="s">
        <v>126</v>
      </c>
      <c r="M897" s="33" t="s">
        <v>65</v>
      </c>
      <c r="N897" s="34" t="s">
        <v>126</v>
      </c>
      <c r="O897" s="35">
        <v>1</v>
      </c>
    </row>
    <row r="898" spans="1:15" x14ac:dyDescent="0.2">
      <c r="A898" s="29" t="s">
        <v>983</v>
      </c>
      <c r="B898" s="30">
        <v>45897</v>
      </c>
      <c r="C898" s="29" t="s">
        <v>984</v>
      </c>
      <c r="D898" s="29" t="s">
        <v>47</v>
      </c>
      <c r="E898" s="29" t="s">
        <v>227</v>
      </c>
      <c r="F898" s="31">
        <v>0</v>
      </c>
      <c r="G898" s="31">
        <v>2439</v>
      </c>
      <c r="H898" s="31">
        <v>2439</v>
      </c>
      <c r="I898" s="31">
        <v>1714.62</v>
      </c>
      <c r="J898" s="31">
        <v>724.38</v>
      </c>
      <c r="K898" s="32">
        <v>0.29699877000000002</v>
      </c>
      <c r="L898" s="29" t="s">
        <v>126</v>
      </c>
      <c r="M898" s="33" t="s">
        <v>65</v>
      </c>
      <c r="N898" s="34" t="s">
        <v>126</v>
      </c>
      <c r="O898" s="35">
        <v>0</v>
      </c>
    </row>
    <row r="899" spans="1:15" x14ac:dyDescent="0.2">
      <c r="A899" s="29" t="s">
        <v>983</v>
      </c>
      <c r="B899" s="30">
        <v>45898</v>
      </c>
      <c r="C899" s="29" t="s">
        <v>984</v>
      </c>
      <c r="D899" s="29" t="s">
        <v>47</v>
      </c>
      <c r="E899" s="29" t="s">
        <v>227</v>
      </c>
      <c r="F899" s="31">
        <v>0</v>
      </c>
      <c r="G899" s="31">
        <v>0</v>
      </c>
      <c r="H899" s="31">
        <v>0</v>
      </c>
      <c r="I899" s="31">
        <v>161.47999999999999</v>
      </c>
      <c r="J899" s="31">
        <v>-161.47999999999999</v>
      </c>
      <c r="K899" s="32">
        <v>0</v>
      </c>
      <c r="L899" s="29" t="s">
        <v>126</v>
      </c>
      <c r="M899" s="33" t="s">
        <v>65</v>
      </c>
      <c r="N899" s="34" t="s">
        <v>126</v>
      </c>
      <c r="O899" s="35">
        <v>0</v>
      </c>
    </row>
    <row r="900" spans="1:15" x14ac:dyDescent="0.2">
      <c r="A900" s="29" t="s">
        <v>985</v>
      </c>
      <c r="B900" s="30">
        <v>45897</v>
      </c>
      <c r="C900" s="29" t="s">
        <v>986</v>
      </c>
      <c r="D900" s="29" t="s">
        <v>268</v>
      </c>
      <c r="E900" s="29" t="s">
        <v>199</v>
      </c>
      <c r="F900" s="31">
        <v>5104.28</v>
      </c>
      <c r="G900" s="31">
        <v>0</v>
      </c>
      <c r="H900" s="31">
        <v>5104.28</v>
      </c>
      <c r="I900" s="31">
        <v>4083.42</v>
      </c>
      <c r="J900" s="31">
        <v>1020.86</v>
      </c>
      <c r="K900" s="32">
        <v>0.20000077999999999</v>
      </c>
      <c r="L900" s="29" t="s">
        <v>43</v>
      </c>
      <c r="M900" s="33" t="s">
        <v>268</v>
      </c>
      <c r="N900" s="34" t="s">
        <v>43</v>
      </c>
      <c r="O900" s="35">
        <v>1</v>
      </c>
    </row>
    <row r="901" spans="1:15" x14ac:dyDescent="0.2">
      <c r="A901" s="29" t="s">
        <v>987</v>
      </c>
      <c r="B901" s="30">
        <v>45870</v>
      </c>
      <c r="C901" s="29" t="s">
        <v>988</v>
      </c>
      <c r="D901" s="29" t="s">
        <v>9</v>
      </c>
      <c r="E901" s="29" t="s">
        <v>199</v>
      </c>
      <c r="F901" s="31">
        <v>0</v>
      </c>
      <c r="G901" s="31">
        <v>0</v>
      </c>
      <c r="H901" s="31">
        <v>0</v>
      </c>
      <c r="I901" s="31">
        <v>68.209999999999994</v>
      </c>
      <c r="J901" s="31">
        <v>-68.209999999999994</v>
      </c>
      <c r="K901" s="32">
        <v>0</v>
      </c>
      <c r="L901" s="29" t="s">
        <v>111</v>
      </c>
      <c r="M901" s="33" t="s">
        <v>9</v>
      </c>
      <c r="N901" s="34" t="s">
        <v>111</v>
      </c>
      <c r="O901" s="35">
        <v>0</v>
      </c>
    </row>
    <row r="902" spans="1:15" x14ac:dyDescent="0.2">
      <c r="A902" s="29" t="s">
        <v>989</v>
      </c>
      <c r="B902" s="30">
        <v>45870</v>
      </c>
      <c r="C902" s="29" t="s">
        <v>988</v>
      </c>
      <c r="D902" s="29" t="s">
        <v>9</v>
      </c>
      <c r="E902" s="29" t="s">
        <v>199</v>
      </c>
      <c r="F902" s="31">
        <v>0</v>
      </c>
      <c r="G902" s="31">
        <v>0</v>
      </c>
      <c r="H902" s="31">
        <v>0</v>
      </c>
      <c r="I902" s="31">
        <v>-381.24</v>
      </c>
      <c r="J902" s="31">
        <v>381.24</v>
      </c>
      <c r="K902" s="32">
        <v>0</v>
      </c>
      <c r="L902" s="29" t="s">
        <v>111</v>
      </c>
      <c r="M902" s="33" t="s">
        <v>9</v>
      </c>
      <c r="N902" s="34" t="s">
        <v>111</v>
      </c>
      <c r="O902" s="35">
        <v>0</v>
      </c>
    </row>
    <row r="903" spans="1:15" x14ac:dyDescent="0.2">
      <c r="A903" s="29" t="s">
        <v>989</v>
      </c>
      <c r="B903" s="30">
        <v>45873</v>
      </c>
      <c r="C903" s="29" t="s">
        <v>988</v>
      </c>
      <c r="D903" s="29" t="s">
        <v>9</v>
      </c>
      <c r="E903" s="29" t="s">
        <v>199</v>
      </c>
      <c r="F903" s="31">
        <v>0</v>
      </c>
      <c r="G903" s="31">
        <v>-118.46</v>
      </c>
      <c r="H903" s="31">
        <v>-118.46</v>
      </c>
      <c r="I903" s="31">
        <v>2487.42</v>
      </c>
      <c r="J903" s="31">
        <v>-2605.88</v>
      </c>
      <c r="K903" s="32">
        <v>21.997973999999999</v>
      </c>
      <c r="L903" s="29" t="s">
        <v>111</v>
      </c>
      <c r="M903" s="33" t="s">
        <v>9</v>
      </c>
      <c r="N903" s="34" t="s">
        <v>111</v>
      </c>
      <c r="O903" s="35">
        <v>0</v>
      </c>
    </row>
    <row r="904" spans="1:15" x14ac:dyDescent="0.2">
      <c r="A904" s="29" t="s">
        <v>990</v>
      </c>
      <c r="B904" s="30">
        <v>45873</v>
      </c>
      <c r="C904" s="29" t="s">
        <v>988</v>
      </c>
      <c r="D904" s="29" t="s">
        <v>9</v>
      </c>
      <c r="E904" s="29" t="s">
        <v>199</v>
      </c>
      <c r="F904" s="31">
        <v>0</v>
      </c>
      <c r="G904" s="31">
        <v>0</v>
      </c>
      <c r="H904" s="31">
        <v>0</v>
      </c>
      <c r="I904" s="31">
        <v>-735</v>
      </c>
      <c r="J904" s="31">
        <v>735</v>
      </c>
      <c r="K904" s="32">
        <v>0</v>
      </c>
      <c r="L904" s="29" t="s">
        <v>111</v>
      </c>
      <c r="M904" s="33" t="s">
        <v>9</v>
      </c>
      <c r="N904" s="34" t="s">
        <v>111</v>
      </c>
      <c r="O904" s="35">
        <v>0</v>
      </c>
    </row>
    <row r="905" spans="1:15" x14ac:dyDescent="0.2">
      <c r="A905" s="29" t="s">
        <v>989</v>
      </c>
      <c r="B905" s="30">
        <v>45875</v>
      </c>
      <c r="C905" s="29" t="s">
        <v>988</v>
      </c>
      <c r="D905" s="29" t="s">
        <v>9</v>
      </c>
      <c r="E905" s="29" t="s">
        <v>199</v>
      </c>
      <c r="F905" s="31">
        <v>0</v>
      </c>
      <c r="G905" s="31">
        <v>-1115</v>
      </c>
      <c r="H905" s="31">
        <v>-1115</v>
      </c>
      <c r="I905" s="31">
        <v>-715.22</v>
      </c>
      <c r="J905" s="31">
        <v>-399.78</v>
      </c>
      <c r="K905" s="32">
        <v>0.35854709000000001</v>
      </c>
      <c r="L905" s="29" t="s">
        <v>111</v>
      </c>
      <c r="M905" s="33" t="s">
        <v>9</v>
      </c>
      <c r="N905" s="34" t="s">
        <v>111</v>
      </c>
      <c r="O905" s="35">
        <v>0</v>
      </c>
    </row>
    <row r="906" spans="1:15" x14ac:dyDescent="0.2">
      <c r="A906" s="29" t="s">
        <v>987</v>
      </c>
      <c r="B906" s="30">
        <v>45876</v>
      </c>
      <c r="C906" s="29" t="s">
        <v>988</v>
      </c>
      <c r="D906" s="29" t="s">
        <v>9</v>
      </c>
      <c r="E906" s="29" t="s">
        <v>199</v>
      </c>
      <c r="F906" s="31">
        <v>0</v>
      </c>
      <c r="G906" s="31">
        <v>0</v>
      </c>
      <c r="H906" s="31">
        <v>0</v>
      </c>
      <c r="I906" s="31">
        <v>-472.5</v>
      </c>
      <c r="J906" s="31">
        <v>472.5</v>
      </c>
      <c r="K906" s="32">
        <v>0</v>
      </c>
      <c r="L906" s="29" t="s">
        <v>111</v>
      </c>
      <c r="M906" s="33" t="s">
        <v>9</v>
      </c>
      <c r="N906" s="34" t="s">
        <v>111</v>
      </c>
      <c r="O906" s="35">
        <v>0</v>
      </c>
    </row>
    <row r="907" spans="1:15" x14ac:dyDescent="0.2">
      <c r="A907" s="29" t="s">
        <v>989</v>
      </c>
      <c r="B907" s="30">
        <v>45876</v>
      </c>
      <c r="C907" s="29" t="s">
        <v>988</v>
      </c>
      <c r="D907" s="29" t="s">
        <v>9</v>
      </c>
      <c r="E907" s="29" t="s">
        <v>199</v>
      </c>
      <c r="F907" s="31">
        <v>0</v>
      </c>
      <c r="G907" s="31">
        <v>0</v>
      </c>
      <c r="H907" s="31">
        <v>0</v>
      </c>
      <c r="I907" s="31">
        <v>-2581</v>
      </c>
      <c r="J907" s="31">
        <v>2581</v>
      </c>
      <c r="K907" s="32">
        <v>0</v>
      </c>
      <c r="L907" s="29" t="s">
        <v>111</v>
      </c>
      <c r="M907" s="33" t="s">
        <v>9</v>
      </c>
      <c r="N907" s="34" t="s">
        <v>111</v>
      </c>
      <c r="O907" s="35">
        <v>0</v>
      </c>
    </row>
    <row r="908" spans="1:15" x14ac:dyDescent="0.2">
      <c r="A908" s="29" t="s">
        <v>990</v>
      </c>
      <c r="B908" s="30">
        <v>45877</v>
      </c>
      <c r="C908" s="29" t="s">
        <v>988</v>
      </c>
      <c r="D908" s="29" t="s">
        <v>9</v>
      </c>
      <c r="E908" s="29" t="s">
        <v>199</v>
      </c>
      <c r="F908" s="31">
        <v>0</v>
      </c>
      <c r="G908" s="31">
        <v>161.94999999999999</v>
      </c>
      <c r="H908" s="31">
        <v>161.94999999999999</v>
      </c>
      <c r="I908" s="31">
        <v>121.51</v>
      </c>
      <c r="J908" s="31">
        <v>40.44</v>
      </c>
      <c r="K908" s="32">
        <v>0.2497067</v>
      </c>
      <c r="L908" s="29" t="s">
        <v>111</v>
      </c>
      <c r="M908" s="33" t="s">
        <v>9</v>
      </c>
      <c r="N908" s="34" t="s">
        <v>111</v>
      </c>
      <c r="O908" s="35">
        <v>0</v>
      </c>
    </row>
    <row r="909" spans="1:15" x14ac:dyDescent="0.2">
      <c r="A909" s="29" t="s">
        <v>990</v>
      </c>
      <c r="B909" s="30">
        <v>45883</v>
      </c>
      <c r="C909" s="29" t="s">
        <v>988</v>
      </c>
      <c r="D909" s="29" t="s">
        <v>9</v>
      </c>
      <c r="E909" s="29" t="s">
        <v>199</v>
      </c>
      <c r="F909" s="31">
        <v>0</v>
      </c>
      <c r="G909" s="31">
        <v>0</v>
      </c>
      <c r="H909" s="31">
        <v>0</v>
      </c>
      <c r="I909" s="31">
        <v>508.8</v>
      </c>
      <c r="J909" s="31">
        <v>-508.8</v>
      </c>
      <c r="K909" s="32">
        <v>0</v>
      </c>
      <c r="L909" s="29" t="s">
        <v>111</v>
      </c>
      <c r="M909" s="33" t="s">
        <v>9</v>
      </c>
      <c r="N909" s="34" t="s">
        <v>111</v>
      </c>
      <c r="O909" s="35">
        <v>0</v>
      </c>
    </row>
    <row r="910" spans="1:15" x14ac:dyDescent="0.2">
      <c r="A910" s="29" t="s">
        <v>991</v>
      </c>
      <c r="B910" s="30">
        <v>45897</v>
      </c>
      <c r="C910" s="29" t="s">
        <v>988</v>
      </c>
      <c r="D910" s="29" t="s">
        <v>9</v>
      </c>
      <c r="E910" s="29" t="s">
        <v>199</v>
      </c>
      <c r="F910" s="31">
        <v>0</v>
      </c>
      <c r="G910" s="31">
        <v>0</v>
      </c>
      <c r="H910" s="31">
        <v>0</v>
      </c>
      <c r="I910" s="31">
        <v>264.70999999999998</v>
      </c>
      <c r="J910" s="31">
        <v>-264.70999999999998</v>
      </c>
      <c r="K910" s="32">
        <v>0</v>
      </c>
      <c r="L910" s="29" t="s">
        <v>111</v>
      </c>
      <c r="M910" s="33" t="s">
        <v>9</v>
      </c>
      <c r="N910" s="34" t="s">
        <v>111</v>
      </c>
      <c r="O910" s="35">
        <v>0</v>
      </c>
    </row>
    <row r="911" spans="1:15" x14ac:dyDescent="0.2">
      <c r="A911" s="29" t="s">
        <v>987</v>
      </c>
      <c r="B911" s="30">
        <v>45899</v>
      </c>
      <c r="C911" s="29" t="s">
        <v>988</v>
      </c>
      <c r="D911" s="29" t="s">
        <v>9</v>
      </c>
      <c r="E911" s="29" t="s">
        <v>199</v>
      </c>
      <c r="F911" s="31">
        <v>0</v>
      </c>
      <c r="G911" s="31">
        <v>0</v>
      </c>
      <c r="H911" s="31">
        <v>0</v>
      </c>
      <c r="I911" s="31">
        <v>120</v>
      </c>
      <c r="J911" s="31">
        <v>-120</v>
      </c>
      <c r="K911" s="32">
        <v>0</v>
      </c>
      <c r="L911" s="29" t="s">
        <v>111</v>
      </c>
      <c r="M911" s="33" t="s">
        <v>9</v>
      </c>
      <c r="N911" s="34" t="s">
        <v>111</v>
      </c>
      <c r="O911" s="35">
        <v>0</v>
      </c>
    </row>
    <row r="912" spans="1:15" x14ac:dyDescent="0.2">
      <c r="A912" s="29" t="s">
        <v>992</v>
      </c>
      <c r="B912" s="30">
        <v>45899</v>
      </c>
      <c r="C912" s="29" t="s">
        <v>988</v>
      </c>
      <c r="D912" s="29" t="s">
        <v>9</v>
      </c>
      <c r="E912" s="29" t="s">
        <v>199</v>
      </c>
      <c r="F912" s="31">
        <v>0</v>
      </c>
      <c r="G912" s="31">
        <v>0</v>
      </c>
      <c r="H912" s="31">
        <v>0</v>
      </c>
      <c r="I912" s="31">
        <v>45</v>
      </c>
      <c r="J912" s="31">
        <v>-45</v>
      </c>
      <c r="K912" s="32">
        <v>0</v>
      </c>
      <c r="L912" s="29" t="s">
        <v>111</v>
      </c>
      <c r="M912" s="33" t="s">
        <v>9</v>
      </c>
      <c r="N912" s="34" t="s">
        <v>111</v>
      </c>
      <c r="O912" s="35">
        <v>0</v>
      </c>
    </row>
    <row r="913" spans="1:15" x14ac:dyDescent="0.2">
      <c r="A913" s="29" t="s">
        <v>993</v>
      </c>
      <c r="B913" s="30">
        <v>45887</v>
      </c>
      <c r="C913" s="29" t="s">
        <v>994</v>
      </c>
      <c r="D913" s="29" t="s">
        <v>268</v>
      </c>
      <c r="E913" s="29" t="s">
        <v>199</v>
      </c>
      <c r="F913" s="31">
        <v>3382.67</v>
      </c>
      <c r="G913" s="31">
        <v>0</v>
      </c>
      <c r="H913" s="31">
        <v>3382.67</v>
      </c>
      <c r="I913" s="31">
        <v>2608.9899999999998</v>
      </c>
      <c r="J913" s="31">
        <v>773.68</v>
      </c>
      <c r="K913" s="32">
        <v>0.22871873000000001</v>
      </c>
      <c r="L913" s="29" t="s">
        <v>76</v>
      </c>
      <c r="M913" s="33" t="s">
        <v>268</v>
      </c>
      <c r="N913" s="34" t="s">
        <v>76</v>
      </c>
      <c r="O913" s="35">
        <v>1</v>
      </c>
    </row>
    <row r="914" spans="1:15" x14ac:dyDescent="0.2">
      <c r="A914" s="29" t="s">
        <v>995</v>
      </c>
      <c r="B914" s="30">
        <v>45873</v>
      </c>
      <c r="C914" s="29" t="s">
        <v>996</v>
      </c>
      <c r="D914" s="29" t="s">
        <v>106</v>
      </c>
      <c r="E914" s="29" t="s">
        <v>199</v>
      </c>
      <c r="F914" s="31">
        <v>0</v>
      </c>
      <c r="G914" s="31">
        <v>0</v>
      </c>
      <c r="H914" s="31">
        <v>0</v>
      </c>
      <c r="I914" s="31">
        <v>-0.01</v>
      </c>
      <c r="J914" s="31">
        <v>0.01</v>
      </c>
      <c r="K914" s="32">
        <v>0</v>
      </c>
      <c r="L914" s="29" t="s">
        <v>111</v>
      </c>
      <c r="M914" s="33" t="s">
        <v>106</v>
      </c>
      <c r="N914" s="34" t="s">
        <v>111</v>
      </c>
      <c r="O914" s="35">
        <v>0</v>
      </c>
    </row>
    <row r="915" spans="1:15" x14ac:dyDescent="0.2">
      <c r="A915" s="29" t="s">
        <v>995</v>
      </c>
      <c r="B915" s="30">
        <v>45874</v>
      </c>
      <c r="C915" s="29" t="s">
        <v>996</v>
      </c>
      <c r="D915" s="29" t="s">
        <v>106</v>
      </c>
      <c r="E915" s="29" t="s">
        <v>199</v>
      </c>
      <c r="F915" s="31">
        <v>0</v>
      </c>
      <c r="G915" s="31">
        <v>-3350</v>
      </c>
      <c r="H915" s="31">
        <v>-3350</v>
      </c>
      <c r="I915" s="31">
        <v>-2680</v>
      </c>
      <c r="J915" s="31">
        <v>-670</v>
      </c>
      <c r="K915" s="32">
        <v>0.2</v>
      </c>
      <c r="L915" s="29" t="s">
        <v>111</v>
      </c>
      <c r="M915" s="33" t="s">
        <v>106</v>
      </c>
      <c r="N915" s="34" t="s">
        <v>111</v>
      </c>
      <c r="O915" s="35">
        <v>0</v>
      </c>
    </row>
    <row r="916" spans="1:15" x14ac:dyDescent="0.2">
      <c r="A916" s="29" t="s">
        <v>997</v>
      </c>
      <c r="B916" s="30">
        <v>45889</v>
      </c>
      <c r="C916" s="29" t="s">
        <v>996</v>
      </c>
      <c r="D916" s="29" t="s">
        <v>106</v>
      </c>
      <c r="E916" s="29" t="s">
        <v>199</v>
      </c>
      <c r="F916" s="31">
        <v>12321.25</v>
      </c>
      <c r="G916" s="31">
        <v>0</v>
      </c>
      <c r="H916" s="31">
        <v>12321.25</v>
      </c>
      <c r="I916" s="31">
        <v>10077.290000000001</v>
      </c>
      <c r="J916" s="31">
        <v>2243.96</v>
      </c>
      <c r="K916" s="32">
        <v>0.18212112999999999</v>
      </c>
      <c r="L916" s="29" t="s">
        <v>111</v>
      </c>
      <c r="M916" s="33" t="s">
        <v>106</v>
      </c>
      <c r="N916" s="34" t="s">
        <v>111</v>
      </c>
      <c r="O916" s="35">
        <v>1</v>
      </c>
    </row>
    <row r="917" spans="1:15" x14ac:dyDescent="0.2">
      <c r="A917" s="29" t="s">
        <v>995</v>
      </c>
      <c r="B917" s="30">
        <v>45896</v>
      </c>
      <c r="C917" s="29" t="s">
        <v>996</v>
      </c>
      <c r="D917" s="29" t="s">
        <v>106</v>
      </c>
      <c r="E917" s="29" t="s">
        <v>199</v>
      </c>
      <c r="F917" s="31">
        <v>0</v>
      </c>
      <c r="G917" s="31">
        <v>0</v>
      </c>
      <c r="H917" s="31">
        <v>0</v>
      </c>
      <c r="I917" s="31">
        <v>407.04</v>
      </c>
      <c r="J917" s="31">
        <v>-407.04</v>
      </c>
      <c r="K917" s="32">
        <v>0</v>
      </c>
      <c r="L917" s="29" t="s">
        <v>111</v>
      </c>
      <c r="M917" s="33" t="s">
        <v>106</v>
      </c>
      <c r="N917" s="34" t="s">
        <v>111</v>
      </c>
      <c r="O917" s="35">
        <v>0</v>
      </c>
    </row>
    <row r="918" spans="1:15" x14ac:dyDescent="0.2">
      <c r="A918" s="29" t="s">
        <v>997</v>
      </c>
      <c r="B918" s="30">
        <v>45896</v>
      </c>
      <c r="C918" s="29" t="s">
        <v>996</v>
      </c>
      <c r="D918" s="29" t="s">
        <v>106</v>
      </c>
      <c r="E918" s="29" t="s">
        <v>199</v>
      </c>
      <c r="F918" s="31">
        <v>0</v>
      </c>
      <c r="G918" s="31">
        <v>0</v>
      </c>
      <c r="H918" s="31">
        <v>0</v>
      </c>
      <c r="I918" s="31">
        <v>-13</v>
      </c>
      <c r="J918" s="31">
        <v>13</v>
      </c>
      <c r="K918" s="32">
        <v>0</v>
      </c>
      <c r="L918" s="29" t="s">
        <v>111</v>
      </c>
      <c r="M918" s="33" t="s">
        <v>106</v>
      </c>
      <c r="N918" s="34" t="s">
        <v>111</v>
      </c>
      <c r="O918" s="35">
        <v>0</v>
      </c>
    </row>
    <row r="919" spans="1:15" x14ac:dyDescent="0.2">
      <c r="A919" s="29" t="s">
        <v>997</v>
      </c>
      <c r="B919" s="30">
        <v>45897</v>
      </c>
      <c r="C919" s="29" t="s">
        <v>996</v>
      </c>
      <c r="D919" s="29" t="s">
        <v>106</v>
      </c>
      <c r="E919" s="29" t="s">
        <v>199</v>
      </c>
      <c r="F919" s="31">
        <v>0</v>
      </c>
      <c r="G919" s="31">
        <v>0</v>
      </c>
      <c r="H919" s="31">
        <v>0</v>
      </c>
      <c r="I919" s="31">
        <v>-710.25</v>
      </c>
      <c r="J919" s="31">
        <v>710.25</v>
      </c>
      <c r="K919" s="32">
        <v>0</v>
      </c>
      <c r="L919" s="29" t="s">
        <v>111</v>
      </c>
      <c r="M919" s="33" t="s">
        <v>106</v>
      </c>
      <c r="N919" s="34" t="s">
        <v>111</v>
      </c>
      <c r="O919" s="35">
        <v>0</v>
      </c>
    </row>
    <row r="920" spans="1:15" x14ac:dyDescent="0.2">
      <c r="A920" s="29" t="s">
        <v>998</v>
      </c>
      <c r="B920" s="30">
        <v>45896</v>
      </c>
      <c r="C920" s="29" t="s">
        <v>999</v>
      </c>
      <c r="D920" s="29" t="s">
        <v>15</v>
      </c>
      <c r="E920" s="29" t="s">
        <v>227</v>
      </c>
      <c r="F920" s="31">
        <v>0</v>
      </c>
      <c r="G920" s="31">
        <v>572.02</v>
      </c>
      <c r="H920" s="31">
        <v>572.02</v>
      </c>
      <c r="I920" s="31">
        <v>446.19</v>
      </c>
      <c r="J920" s="31">
        <v>125.83</v>
      </c>
      <c r="K920" s="32">
        <v>0.21997483000000001</v>
      </c>
      <c r="L920" s="29" t="s">
        <v>153</v>
      </c>
      <c r="M920" s="33" t="s">
        <v>15</v>
      </c>
      <c r="N920" s="34" t="s">
        <v>153</v>
      </c>
      <c r="O920" s="35">
        <v>0</v>
      </c>
    </row>
    <row r="921" spans="1:15" x14ac:dyDescent="0.2">
      <c r="A921" s="29" t="s">
        <v>1000</v>
      </c>
      <c r="B921" s="30">
        <v>45898</v>
      </c>
      <c r="C921" s="29" t="s">
        <v>999</v>
      </c>
      <c r="D921" s="29" t="s">
        <v>15</v>
      </c>
      <c r="E921" s="29" t="s">
        <v>227</v>
      </c>
      <c r="F921" s="31">
        <v>0</v>
      </c>
      <c r="G921" s="31">
        <v>0</v>
      </c>
      <c r="H921" s="31">
        <v>0</v>
      </c>
      <c r="I921" s="31">
        <v>-1125</v>
      </c>
      <c r="J921" s="31">
        <v>1125</v>
      </c>
      <c r="K921" s="32">
        <v>0</v>
      </c>
      <c r="L921" s="29" t="s">
        <v>153</v>
      </c>
      <c r="M921" s="33" t="s">
        <v>15</v>
      </c>
      <c r="N921" s="34" t="s">
        <v>153</v>
      </c>
      <c r="O921" s="35">
        <v>0</v>
      </c>
    </row>
    <row r="922" spans="1:15" x14ac:dyDescent="0.2">
      <c r="A922" s="29" t="s">
        <v>1001</v>
      </c>
      <c r="B922" s="30">
        <v>45882</v>
      </c>
      <c r="C922" s="29" t="s">
        <v>1002</v>
      </c>
      <c r="D922" s="29" t="s">
        <v>384</v>
      </c>
      <c r="E922" s="29" t="s">
        <v>192</v>
      </c>
      <c r="F922" s="31">
        <v>2610</v>
      </c>
      <c r="G922" s="31">
        <v>0</v>
      </c>
      <c r="H922" s="31">
        <v>2610</v>
      </c>
      <c r="I922" s="31">
        <v>1260</v>
      </c>
      <c r="J922" s="31">
        <v>1350</v>
      </c>
      <c r="K922" s="32">
        <v>0.51724137999999997</v>
      </c>
      <c r="L922" s="29" t="s">
        <v>384</v>
      </c>
      <c r="M922" s="33" t="s">
        <v>48</v>
      </c>
      <c r="N922" s="34" t="s">
        <v>251</v>
      </c>
      <c r="O922" s="35">
        <v>1</v>
      </c>
    </row>
    <row r="923" spans="1:15" x14ac:dyDescent="0.2">
      <c r="A923" s="29" t="s">
        <v>1001</v>
      </c>
      <c r="B923" s="30">
        <v>45883</v>
      </c>
      <c r="C923" s="29" t="s">
        <v>1002</v>
      </c>
      <c r="D923" s="29" t="s">
        <v>384</v>
      </c>
      <c r="E923" s="29" t="s">
        <v>192</v>
      </c>
      <c r="F923" s="31">
        <v>0</v>
      </c>
      <c r="G923" s="31">
        <v>0</v>
      </c>
      <c r="H923" s="31">
        <v>0</v>
      </c>
      <c r="I923" s="31">
        <v>222.39</v>
      </c>
      <c r="J923" s="31">
        <v>-222.39</v>
      </c>
      <c r="K923" s="32">
        <v>0</v>
      </c>
      <c r="L923" s="29" t="s">
        <v>384</v>
      </c>
      <c r="M923" s="33" t="s">
        <v>48</v>
      </c>
      <c r="N923" s="34" t="s">
        <v>251</v>
      </c>
      <c r="O923" s="35">
        <v>0</v>
      </c>
    </row>
    <row r="924" spans="1:15" x14ac:dyDescent="0.2">
      <c r="A924" s="29" t="s">
        <v>1003</v>
      </c>
      <c r="B924" s="30">
        <v>45882</v>
      </c>
      <c r="C924" s="29" t="s">
        <v>1004</v>
      </c>
      <c r="D924" s="29" t="s">
        <v>268</v>
      </c>
      <c r="E924" s="29" t="s">
        <v>199</v>
      </c>
      <c r="F924" s="31">
        <v>225</v>
      </c>
      <c r="G924" s="31">
        <v>0</v>
      </c>
      <c r="H924" s="31">
        <v>225</v>
      </c>
      <c r="I924" s="31">
        <v>264.70999999999998</v>
      </c>
      <c r="J924" s="31">
        <v>-39.71</v>
      </c>
      <c r="K924" s="32">
        <v>-0.17648889000000001</v>
      </c>
      <c r="L924" s="29" t="s">
        <v>111</v>
      </c>
      <c r="M924" s="33" t="s">
        <v>268</v>
      </c>
      <c r="N924" s="34" t="s">
        <v>111</v>
      </c>
      <c r="O924" s="35">
        <v>1</v>
      </c>
    </row>
    <row r="925" spans="1:15" x14ac:dyDescent="0.2">
      <c r="A925" s="29" t="s">
        <v>1005</v>
      </c>
      <c r="B925" s="30">
        <v>45883</v>
      </c>
      <c r="C925" s="29" t="s">
        <v>1004</v>
      </c>
      <c r="D925" s="29" t="s">
        <v>268</v>
      </c>
      <c r="E925" s="29" t="s">
        <v>199</v>
      </c>
      <c r="F925" s="31">
        <v>425</v>
      </c>
      <c r="G925" s="31">
        <v>0</v>
      </c>
      <c r="H925" s="31">
        <v>425</v>
      </c>
      <c r="I925" s="31">
        <v>435.31</v>
      </c>
      <c r="J925" s="31">
        <v>-10.31</v>
      </c>
      <c r="K925" s="32">
        <v>-2.425882E-2</v>
      </c>
      <c r="L925" s="29" t="s">
        <v>111</v>
      </c>
      <c r="M925" s="33" t="s">
        <v>268</v>
      </c>
      <c r="N925" s="34" t="s">
        <v>111</v>
      </c>
      <c r="O925" s="35">
        <v>1</v>
      </c>
    </row>
    <row r="926" spans="1:15" x14ac:dyDescent="0.2">
      <c r="A926" s="29" t="s">
        <v>1006</v>
      </c>
      <c r="B926" s="30">
        <v>45899</v>
      </c>
      <c r="C926" s="29" t="s">
        <v>1004</v>
      </c>
      <c r="D926" s="29" t="s">
        <v>268</v>
      </c>
      <c r="E926" s="29" t="s">
        <v>199</v>
      </c>
      <c r="F926" s="31">
        <v>0</v>
      </c>
      <c r="G926" s="31">
        <v>0</v>
      </c>
      <c r="H926" s="31">
        <v>0</v>
      </c>
      <c r="I926" s="31">
        <v>187.5</v>
      </c>
      <c r="J926" s="31">
        <v>-187.5</v>
      </c>
      <c r="K926" s="32">
        <v>0</v>
      </c>
      <c r="L926" s="29" t="s">
        <v>111</v>
      </c>
      <c r="M926" s="33" t="s">
        <v>268</v>
      </c>
      <c r="N926" s="34" t="s">
        <v>111</v>
      </c>
      <c r="O926" s="35">
        <v>0</v>
      </c>
    </row>
    <row r="927" spans="1:15" x14ac:dyDescent="0.2">
      <c r="A927" s="29" t="s">
        <v>1007</v>
      </c>
      <c r="B927" s="30">
        <v>45882</v>
      </c>
      <c r="C927" s="29" t="s">
        <v>1008</v>
      </c>
      <c r="D927" s="29" t="s">
        <v>268</v>
      </c>
      <c r="E927" s="29" t="s">
        <v>199</v>
      </c>
      <c r="F927" s="31">
        <v>0</v>
      </c>
      <c r="G927" s="31">
        <v>0</v>
      </c>
      <c r="H927" s="31">
        <v>0</v>
      </c>
      <c r="I927" s="31">
        <v>-0.02</v>
      </c>
      <c r="J927" s="31">
        <v>0.02</v>
      </c>
      <c r="K927" s="32">
        <v>0</v>
      </c>
      <c r="L927" s="29" t="s">
        <v>43</v>
      </c>
      <c r="M927" s="33" t="s">
        <v>268</v>
      </c>
      <c r="N927" s="34" t="s">
        <v>43</v>
      </c>
      <c r="O927" s="35">
        <v>0</v>
      </c>
    </row>
    <row r="928" spans="1:15" x14ac:dyDescent="0.2">
      <c r="A928" s="29" t="s">
        <v>1009</v>
      </c>
      <c r="B928" s="30">
        <v>45887</v>
      </c>
      <c r="C928" s="29" t="s">
        <v>1008</v>
      </c>
      <c r="D928" s="29" t="s">
        <v>268</v>
      </c>
      <c r="E928" s="29" t="s">
        <v>199</v>
      </c>
      <c r="F928" s="31">
        <v>873.46</v>
      </c>
      <c r="G928" s="31">
        <v>0</v>
      </c>
      <c r="H928" s="31">
        <v>873.46</v>
      </c>
      <c r="I928" s="31">
        <v>681.3</v>
      </c>
      <c r="J928" s="31">
        <v>192.16</v>
      </c>
      <c r="K928" s="32">
        <v>0.21999863</v>
      </c>
      <c r="L928" s="29" t="s">
        <v>43</v>
      </c>
      <c r="M928" s="33" t="s">
        <v>268</v>
      </c>
      <c r="N928" s="34" t="s">
        <v>43</v>
      </c>
      <c r="O928" s="35">
        <v>1</v>
      </c>
    </row>
    <row r="929" spans="1:15" x14ac:dyDescent="0.2">
      <c r="A929" s="29" t="s">
        <v>1009</v>
      </c>
      <c r="B929" s="30">
        <v>45891</v>
      </c>
      <c r="C929" s="29" t="s">
        <v>1008</v>
      </c>
      <c r="D929" s="29" t="s">
        <v>268</v>
      </c>
      <c r="E929" s="29" t="s">
        <v>199</v>
      </c>
      <c r="F929" s="31">
        <v>0</v>
      </c>
      <c r="G929" s="31">
        <v>0</v>
      </c>
      <c r="H929" s="31">
        <v>0</v>
      </c>
      <c r="I929" s="31">
        <v>-471.08</v>
      </c>
      <c r="J929" s="31">
        <v>471.08</v>
      </c>
      <c r="K929" s="32">
        <v>0</v>
      </c>
      <c r="L929" s="29" t="s">
        <v>43</v>
      </c>
      <c r="M929" s="33" t="s">
        <v>268</v>
      </c>
      <c r="N929" s="34" t="s">
        <v>43</v>
      </c>
      <c r="O929" s="35">
        <v>0</v>
      </c>
    </row>
    <row r="930" spans="1:15" x14ac:dyDescent="0.2">
      <c r="A930" s="29" t="s">
        <v>1010</v>
      </c>
      <c r="B930" s="30">
        <v>45895</v>
      </c>
      <c r="C930" s="29" t="s">
        <v>1011</v>
      </c>
      <c r="D930" s="29" t="s">
        <v>106</v>
      </c>
      <c r="E930" s="29" t="s">
        <v>199</v>
      </c>
      <c r="F930" s="31">
        <v>2870.5</v>
      </c>
      <c r="G930" s="31">
        <v>0</v>
      </c>
      <c r="H930" s="31">
        <v>2870.5</v>
      </c>
      <c r="I930" s="31">
        <v>2218.15</v>
      </c>
      <c r="J930" s="31">
        <v>652.35</v>
      </c>
      <c r="K930" s="32">
        <v>0.22726006000000001</v>
      </c>
      <c r="L930" s="29" t="s">
        <v>111</v>
      </c>
      <c r="M930" s="33" t="s">
        <v>106</v>
      </c>
      <c r="N930" s="34" t="s">
        <v>111</v>
      </c>
      <c r="O930" s="35">
        <v>1</v>
      </c>
    </row>
    <row r="931" spans="1:15" x14ac:dyDescent="0.2">
      <c r="A931" s="29" t="s">
        <v>1012</v>
      </c>
      <c r="B931" s="30">
        <v>45870</v>
      </c>
      <c r="C931" s="29" t="s">
        <v>51</v>
      </c>
      <c r="D931" s="29" t="s">
        <v>52</v>
      </c>
      <c r="E931" s="29" t="s">
        <v>227</v>
      </c>
      <c r="F931" s="31">
        <v>0</v>
      </c>
      <c r="G931" s="31">
        <v>0</v>
      </c>
      <c r="H931" s="31">
        <v>0</v>
      </c>
      <c r="I931" s="31">
        <v>26.66</v>
      </c>
      <c r="J931" s="31">
        <v>-26.66</v>
      </c>
      <c r="K931" s="32">
        <v>0</v>
      </c>
      <c r="L931" s="29" t="s">
        <v>52</v>
      </c>
      <c r="M931" s="33" t="s">
        <v>65</v>
      </c>
      <c r="N931" s="34" t="s">
        <v>52</v>
      </c>
      <c r="O931" s="35">
        <v>0</v>
      </c>
    </row>
    <row r="932" spans="1:15" x14ac:dyDescent="0.2">
      <c r="A932" s="29" t="s">
        <v>1013</v>
      </c>
      <c r="B932" s="30">
        <v>45873</v>
      </c>
      <c r="C932" s="29" t="s">
        <v>51</v>
      </c>
      <c r="D932" s="29" t="s">
        <v>52</v>
      </c>
      <c r="E932" s="29" t="s">
        <v>227</v>
      </c>
      <c r="F932" s="31">
        <v>0</v>
      </c>
      <c r="G932" s="31">
        <v>0</v>
      </c>
      <c r="H932" s="31">
        <v>0</v>
      </c>
      <c r="I932" s="31">
        <v>-5.01</v>
      </c>
      <c r="J932" s="31">
        <v>5.01</v>
      </c>
      <c r="K932" s="32">
        <v>0</v>
      </c>
      <c r="L932" s="29" t="s">
        <v>52</v>
      </c>
      <c r="M932" s="33" t="s">
        <v>65</v>
      </c>
      <c r="N932" s="34" t="s">
        <v>52</v>
      </c>
      <c r="O932" s="35">
        <v>0</v>
      </c>
    </row>
    <row r="933" spans="1:15" x14ac:dyDescent="0.2">
      <c r="A933" s="29" t="s">
        <v>1014</v>
      </c>
      <c r="B933" s="30">
        <v>45873</v>
      </c>
      <c r="C933" s="29" t="s">
        <v>51</v>
      </c>
      <c r="D933" s="29" t="s">
        <v>52</v>
      </c>
      <c r="E933" s="29" t="s">
        <v>227</v>
      </c>
      <c r="F933" s="31">
        <v>3411.85</v>
      </c>
      <c r="G933" s="31">
        <v>0</v>
      </c>
      <c r="H933" s="31">
        <v>3411.85</v>
      </c>
      <c r="I933" s="31">
        <v>2900</v>
      </c>
      <c r="J933" s="31">
        <v>511.85</v>
      </c>
      <c r="K933" s="32">
        <v>0.15002124999999999</v>
      </c>
      <c r="L933" s="29" t="s">
        <v>52</v>
      </c>
      <c r="M933" s="33" t="s">
        <v>65</v>
      </c>
      <c r="N933" s="34" t="s">
        <v>52</v>
      </c>
      <c r="O933" s="35">
        <v>1</v>
      </c>
    </row>
    <row r="934" spans="1:15" x14ac:dyDescent="0.2">
      <c r="A934" s="29" t="s">
        <v>1015</v>
      </c>
      <c r="B934" s="30">
        <v>45874</v>
      </c>
      <c r="C934" s="29" t="s">
        <v>51</v>
      </c>
      <c r="D934" s="29" t="s">
        <v>52</v>
      </c>
      <c r="E934" s="29" t="s">
        <v>227</v>
      </c>
      <c r="F934" s="31">
        <v>0</v>
      </c>
      <c r="G934" s="31">
        <v>0</v>
      </c>
      <c r="H934" s="31">
        <v>0</v>
      </c>
      <c r="I934" s="31">
        <v>34971.25</v>
      </c>
      <c r="J934" s="31">
        <v>-34971.25</v>
      </c>
      <c r="K934" s="32">
        <v>0</v>
      </c>
      <c r="L934" s="29" t="s">
        <v>52</v>
      </c>
      <c r="M934" s="33" t="s">
        <v>65</v>
      </c>
      <c r="N934" s="34" t="s">
        <v>52</v>
      </c>
      <c r="O934" s="35">
        <v>0</v>
      </c>
    </row>
    <row r="935" spans="1:15" x14ac:dyDescent="0.2">
      <c r="A935" s="29" t="s">
        <v>1016</v>
      </c>
      <c r="B935" s="30">
        <v>45874</v>
      </c>
      <c r="C935" s="29" t="s">
        <v>51</v>
      </c>
      <c r="D935" s="29" t="s">
        <v>52</v>
      </c>
      <c r="E935" s="29" t="s">
        <v>227</v>
      </c>
      <c r="F935" s="31">
        <v>0</v>
      </c>
      <c r="G935" s="31">
        <v>0</v>
      </c>
      <c r="H935" s="31">
        <v>0</v>
      </c>
      <c r="I935" s="31">
        <v>288</v>
      </c>
      <c r="J935" s="31">
        <v>-288</v>
      </c>
      <c r="K935" s="32">
        <v>0</v>
      </c>
      <c r="L935" s="29" t="s">
        <v>52</v>
      </c>
      <c r="M935" s="33" t="s">
        <v>65</v>
      </c>
      <c r="N935" s="34" t="s">
        <v>52</v>
      </c>
      <c r="O935" s="35">
        <v>0</v>
      </c>
    </row>
    <row r="936" spans="1:15" x14ac:dyDescent="0.2">
      <c r="A936" s="29" t="s">
        <v>1017</v>
      </c>
      <c r="B936" s="30">
        <v>45874</v>
      </c>
      <c r="C936" s="29" t="s">
        <v>51</v>
      </c>
      <c r="D936" s="29" t="s">
        <v>52</v>
      </c>
      <c r="E936" s="29" t="s">
        <v>227</v>
      </c>
      <c r="F936" s="31">
        <v>26985.31</v>
      </c>
      <c r="G936" s="31">
        <v>0</v>
      </c>
      <c r="H936" s="31">
        <v>26985.31</v>
      </c>
      <c r="I936" s="31">
        <v>22937.4</v>
      </c>
      <c r="J936" s="31">
        <v>4047.91</v>
      </c>
      <c r="K936" s="32">
        <v>0.15000421</v>
      </c>
      <c r="L936" s="29" t="s">
        <v>52</v>
      </c>
      <c r="M936" s="33" t="s">
        <v>65</v>
      </c>
      <c r="N936" s="34" t="s">
        <v>52</v>
      </c>
      <c r="O936" s="35">
        <v>1</v>
      </c>
    </row>
    <row r="937" spans="1:15" x14ac:dyDescent="0.2">
      <c r="A937" s="29" t="s">
        <v>1018</v>
      </c>
      <c r="B937" s="30">
        <v>45875</v>
      </c>
      <c r="C937" s="29" t="s">
        <v>51</v>
      </c>
      <c r="D937" s="29" t="s">
        <v>52</v>
      </c>
      <c r="E937" s="29" t="s">
        <v>227</v>
      </c>
      <c r="F937" s="31">
        <v>19614.689999999999</v>
      </c>
      <c r="G937" s="31">
        <v>0</v>
      </c>
      <c r="H937" s="31">
        <v>19614.689999999999</v>
      </c>
      <c r="I937" s="31">
        <v>16672.400000000001</v>
      </c>
      <c r="J937" s="31">
        <v>2942.29</v>
      </c>
      <c r="K937" s="32">
        <v>0.15000441</v>
      </c>
      <c r="L937" s="29" t="s">
        <v>52</v>
      </c>
      <c r="M937" s="33" t="s">
        <v>65</v>
      </c>
      <c r="N937" s="34" t="s">
        <v>52</v>
      </c>
      <c r="O937" s="35">
        <v>1</v>
      </c>
    </row>
    <row r="938" spans="1:15" x14ac:dyDescent="0.2">
      <c r="A938" s="29" t="s">
        <v>1012</v>
      </c>
      <c r="B938" s="30">
        <v>45876</v>
      </c>
      <c r="C938" s="29" t="s">
        <v>51</v>
      </c>
      <c r="D938" s="29" t="s">
        <v>52</v>
      </c>
      <c r="E938" s="29" t="s">
        <v>227</v>
      </c>
      <c r="F938" s="31">
        <v>0</v>
      </c>
      <c r="G938" s="31">
        <v>0</v>
      </c>
      <c r="H938" s="31">
        <v>0</v>
      </c>
      <c r="I938" s="31">
        <v>-120.84</v>
      </c>
      <c r="J938" s="31">
        <v>120.84</v>
      </c>
      <c r="K938" s="32">
        <v>0</v>
      </c>
      <c r="L938" s="29" t="s">
        <v>52</v>
      </c>
      <c r="M938" s="33" t="s">
        <v>65</v>
      </c>
      <c r="N938" s="34" t="s">
        <v>52</v>
      </c>
      <c r="O938" s="35">
        <v>0</v>
      </c>
    </row>
    <row r="939" spans="1:15" x14ac:dyDescent="0.2">
      <c r="A939" s="29" t="s">
        <v>1019</v>
      </c>
      <c r="B939" s="30">
        <v>45876</v>
      </c>
      <c r="C939" s="29" t="s">
        <v>51</v>
      </c>
      <c r="D939" s="29" t="s">
        <v>52</v>
      </c>
      <c r="E939" s="29" t="s">
        <v>227</v>
      </c>
      <c r="F939" s="31">
        <v>0</v>
      </c>
      <c r="G939" s="31">
        <v>0</v>
      </c>
      <c r="H939" s="31">
        <v>0</v>
      </c>
      <c r="I939" s="31">
        <v>1</v>
      </c>
      <c r="J939" s="31">
        <v>-1</v>
      </c>
      <c r="K939" s="32">
        <v>0</v>
      </c>
      <c r="L939" s="29" t="s">
        <v>52</v>
      </c>
      <c r="M939" s="33" t="s">
        <v>65</v>
      </c>
      <c r="N939" s="34" t="s">
        <v>52</v>
      </c>
      <c r="O939" s="35">
        <v>0</v>
      </c>
    </row>
    <row r="940" spans="1:15" x14ac:dyDescent="0.2">
      <c r="A940" s="29" t="s">
        <v>1016</v>
      </c>
      <c r="B940" s="30">
        <v>45876</v>
      </c>
      <c r="C940" s="29" t="s">
        <v>51</v>
      </c>
      <c r="D940" s="29" t="s">
        <v>52</v>
      </c>
      <c r="E940" s="29" t="s">
        <v>227</v>
      </c>
      <c r="F940" s="31">
        <v>0</v>
      </c>
      <c r="G940" s="31">
        <v>0</v>
      </c>
      <c r="H940" s="31">
        <v>0</v>
      </c>
      <c r="I940" s="31">
        <v>-167.16</v>
      </c>
      <c r="J940" s="31">
        <v>167.16</v>
      </c>
      <c r="K940" s="32">
        <v>0</v>
      </c>
      <c r="L940" s="29" t="s">
        <v>52</v>
      </c>
      <c r="M940" s="33" t="s">
        <v>65</v>
      </c>
      <c r="N940" s="34" t="s">
        <v>52</v>
      </c>
      <c r="O940" s="35">
        <v>0</v>
      </c>
    </row>
    <row r="941" spans="1:15" x14ac:dyDescent="0.2">
      <c r="A941" s="29" t="s">
        <v>1017</v>
      </c>
      <c r="B941" s="30">
        <v>45876</v>
      </c>
      <c r="C941" s="29" t="s">
        <v>51</v>
      </c>
      <c r="D941" s="29" t="s">
        <v>52</v>
      </c>
      <c r="E941" s="29" t="s">
        <v>227</v>
      </c>
      <c r="F941" s="31">
        <v>0</v>
      </c>
      <c r="G941" s="31">
        <v>0</v>
      </c>
      <c r="H941" s="31">
        <v>0</v>
      </c>
      <c r="I941" s="31">
        <v>-1321.32</v>
      </c>
      <c r="J941" s="31">
        <v>1321.32</v>
      </c>
      <c r="K941" s="32">
        <v>0</v>
      </c>
      <c r="L941" s="29" t="s">
        <v>52</v>
      </c>
      <c r="M941" s="33" t="s">
        <v>65</v>
      </c>
      <c r="N941" s="34" t="s">
        <v>52</v>
      </c>
      <c r="O941" s="35">
        <v>0</v>
      </c>
    </row>
    <row r="942" spans="1:15" x14ac:dyDescent="0.2">
      <c r="A942" s="29" t="s">
        <v>1020</v>
      </c>
      <c r="B942" s="30">
        <v>45876</v>
      </c>
      <c r="C942" s="29" t="s">
        <v>51</v>
      </c>
      <c r="D942" s="29" t="s">
        <v>52</v>
      </c>
      <c r="E942" s="29" t="s">
        <v>227</v>
      </c>
      <c r="F942" s="31">
        <v>10877.36</v>
      </c>
      <c r="G942" s="31">
        <v>0</v>
      </c>
      <c r="H942" s="31">
        <v>10877.36</v>
      </c>
      <c r="I942" s="31">
        <v>9245.7099999999991</v>
      </c>
      <c r="J942" s="31">
        <v>1631.65</v>
      </c>
      <c r="K942" s="32">
        <v>0.15000422999999999</v>
      </c>
      <c r="L942" s="29" t="s">
        <v>52</v>
      </c>
      <c r="M942" s="33" t="s">
        <v>65</v>
      </c>
      <c r="N942" s="34" t="s">
        <v>52</v>
      </c>
      <c r="O942" s="35">
        <v>1</v>
      </c>
    </row>
    <row r="943" spans="1:15" x14ac:dyDescent="0.2">
      <c r="A943" s="29" t="s">
        <v>1021</v>
      </c>
      <c r="B943" s="30">
        <v>45876</v>
      </c>
      <c r="C943" s="29" t="s">
        <v>51</v>
      </c>
      <c r="D943" s="29" t="s">
        <v>52</v>
      </c>
      <c r="E943" s="29" t="s">
        <v>227</v>
      </c>
      <c r="F943" s="31">
        <v>24546.45</v>
      </c>
      <c r="G943" s="31">
        <v>0</v>
      </c>
      <c r="H943" s="31">
        <v>24546.45</v>
      </c>
      <c r="I943" s="31">
        <v>20864.53</v>
      </c>
      <c r="J943" s="31">
        <v>3681.92</v>
      </c>
      <c r="K943" s="32">
        <v>0.14999805999999999</v>
      </c>
      <c r="L943" s="29" t="s">
        <v>52</v>
      </c>
      <c r="M943" s="33" t="s">
        <v>65</v>
      </c>
      <c r="N943" s="34" t="s">
        <v>52</v>
      </c>
      <c r="O943" s="35">
        <v>1</v>
      </c>
    </row>
    <row r="944" spans="1:15" x14ac:dyDescent="0.2">
      <c r="A944" s="29" t="s">
        <v>1022</v>
      </c>
      <c r="B944" s="30">
        <v>45876</v>
      </c>
      <c r="C944" s="29" t="s">
        <v>51</v>
      </c>
      <c r="D944" s="29" t="s">
        <v>52</v>
      </c>
      <c r="E944" s="29" t="s">
        <v>227</v>
      </c>
      <c r="F944" s="31">
        <v>628.94000000000005</v>
      </c>
      <c r="G944" s="31">
        <v>0</v>
      </c>
      <c r="H944" s="31">
        <v>628.94000000000005</v>
      </c>
      <c r="I944" s="31">
        <v>534.6</v>
      </c>
      <c r="J944" s="31">
        <v>94.34</v>
      </c>
      <c r="K944" s="32">
        <v>0.14999841</v>
      </c>
      <c r="L944" s="29" t="s">
        <v>52</v>
      </c>
      <c r="M944" s="33" t="s">
        <v>65</v>
      </c>
      <c r="N944" s="34" t="s">
        <v>52</v>
      </c>
      <c r="O944" s="35">
        <v>1</v>
      </c>
    </row>
    <row r="945" spans="1:15" x14ac:dyDescent="0.2">
      <c r="A945" s="29" t="s">
        <v>1016</v>
      </c>
      <c r="B945" s="30">
        <v>45877</v>
      </c>
      <c r="C945" s="29" t="s">
        <v>51</v>
      </c>
      <c r="D945" s="29" t="s">
        <v>52</v>
      </c>
      <c r="E945" s="29" t="s">
        <v>227</v>
      </c>
      <c r="F945" s="31">
        <v>0</v>
      </c>
      <c r="G945" s="31">
        <v>0</v>
      </c>
      <c r="H945" s="31">
        <v>0</v>
      </c>
      <c r="I945" s="31">
        <v>-16.82</v>
      </c>
      <c r="J945" s="31">
        <v>16.82</v>
      </c>
      <c r="K945" s="32">
        <v>0</v>
      </c>
      <c r="L945" s="29" t="s">
        <v>52</v>
      </c>
      <c r="M945" s="33" t="s">
        <v>65</v>
      </c>
      <c r="N945" s="34" t="s">
        <v>52</v>
      </c>
      <c r="O945" s="35">
        <v>0</v>
      </c>
    </row>
    <row r="946" spans="1:15" x14ac:dyDescent="0.2">
      <c r="A946" s="29" t="s">
        <v>1023</v>
      </c>
      <c r="B946" s="30">
        <v>45877</v>
      </c>
      <c r="C946" s="29" t="s">
        <v>51</v>
      </c>
      <c r="D946" s="29" t="s">
        <v>52</v>
      </c>
      <c r="E946" s="29" t="s">
        <v>227</v>
      </c>
      <c r="F946" s="31">
        <v>98234.76</v>
      </c>
      <c r="G946" s="31">
        <v>0</v>
      </c>
      <c r="H946" s="31">
        <v>98234.76</v>
      </c>
      <c r="I946" s="31">
        <v>83499.47</v>
      </c>
      <c r="J946" s="31">
        <v>14735.29</v>
      </c>
      <c r="K946" s="32">
        <v>0.15000077000000001</v>
      </c>
      <c r="L946" s="29" t="s">
        <v>52</v>
      </c>
      <c r="M946" s="33" t="s">
        <v>65</v>
      </c>
      <c r="N946" s="34" t="s">
        <v>52</v>
      </c>
      <c r="O946" s="35">
        <v>1</v>
      </c>
    </row>
    <row r="947" spans="1:15" x14ac:dyDescent="0.2">
      <c r="A947" s="29" t="s">
        <v>1024</v>
      </c>
      <c r="B947" s="30">
        <v>45879</v>
      </c>
      <c r="C947" s="29" t="s">
        <v>51</v>
      </c>
      <c r="D947" s="29" t="s">
        <v>52</v>
      </c>
      <c r="E947" s="29" t="s">
        <v>227</v>
      </c>
      <c r="F947" s="31">
        <v>0</v>
      </c>
      <c r="G947" s="31">
        <v>0</v>
      </c>
      <c r="H947" s="31">
        <v>0</v>
      </c>
      <c r="I947" s="31">
        <v>-0.04</v>
      </c>
      <c r="J947" s="31">
        <v>0.04</v>
      </c>
      <c r="K947" s="32">
        <v>0</v>
      </c>
      <c r="L947" s="29" t="s">
        <v>52</v>
      </c>
      <c r="M947" s="33" t="s">
        <v>65</v>
      </c>
      <c r="N947" s="34" t="s">
        <v>52</v>
      </c>
      <c r="O947" s="35">
        <v>0</v>
      </c>
    </row>
    <row r="948" spans="1:15" x14ac:dyDescent="0.2">
      <c r="A948" s="29" t="s">
        <v>1016</v>
      </c>
      <c r="B948" s="30">
        <v>45880</v>
      </c>
      <c r="C948" s="29" t="s">
        <v>51</v>
      </c>
      <c r="D948" s="29" t="s">
        <v>52</v>
      </c>
      <c r="E948" s="29" t="s">
        <v>227</v>
      </c>
      <c r="F948" s="31">
        <v>0</v>
      </c>
      <c r="G948" s="31">
        <v>0</v>
      </c>
      <c r="H948" s="31">
        <v>0</v>
      </c>
      <c r="I948" s="31">
        <v>-35</v>
      </c>
      <c r="J948" s="31">
        <v>35</v>
      </c>
      <c r="K948" s="32">
        <v>0</v>
      </c>
      <c r="L948" s="29" t="s">
        <v>52</v>
      </c>
      <c r="M948" s="33" t="s">
        <v>65</v>
      </c>
      <c r="N948" s="34" t="s">
        <v>52</v>
      </c>
      <c r="O948" s="35">
        <v>0</v>
      </c>
    </row>
    <row r="949" spans="1:15" x14ac:dyDescent="0.2">
      <c r="A949" s="29" t="s">
        <v>1025</v>
      </c>
      <c r="B949" s="30">
        <v>45880</v>
      </c>
      <c r="C949" s="29" t="s">
        <v>51</v>
      </c>
      <c r="D949" s="29" t="s">
        <v>52</v>
      </c>
      <c r="E949" s="29" t="s">
        <v>227</v>
      </c>
      <c r="F949" s="31">
        <v>0</v>
      </c>
      <c r="G949" s="31">
        <v>0</v>
      </c>
      <c r="H949" s="31">
        <v>0</v>
      </c>
      <c r="I949" s="31">
        <v>66.790000000000006</v>
      </c>
      <c r="J949" s="31">
        <v>-66.790000000000006</v>
      </c>
      <c r="K949" s="32">
        <v>0</v>
      </c>
      <c r="L949" s="29" t="s">
        <v>52</v>
      </c>
      <c r="M949" s="33" t="s">
        <v>65</v>
      </c>
      <c r="N949" s="34" t="s">
        <v>52</v>
      </c>
      <c r="O949" s="35">
        <v>0</v>
      </c>
    </row>
    <row r="950" spans="1:15" x14ac:dyDescent="0.2">
      <c r="A950" s="29" t="s">
        <v>1020</v>
      </c>
      <c r="B950" s="30">
        <v>45880</v>
      </c>
      <c r="C950" s="29" t="s">
        <v>51</v>
      </c>
      <c r="D950" s="29" t="s">
        <v>52</v>
      </c>
      <c r="E950" s="29" t="s">
        <v>227</v>
      </c>
      <c r="F950" s="31">
        <v>0</v>
      </c>
      <c r="G950" s="31">
        <v>-20.69</v>
      </c>
      <c r="H950" s="31">
        <v>-20.69</v>
      </c>
      <c r="I950" s="31">
        <v>-16.670000000000002</v>
      </c>
      <c r="J950" s="31">
        <v>-4.0199999999999996</v>
      </c>
      <c r="K950" s="32">
        <v>0.19429676000000001</v>
      </c>
      <c r="L950" s="29" t="s">
        <v>52</v>
      </c>
      <c r="M950" s="33" t="s">
        <v>65</v>
      </c>
      <c r="N950" s="34" t="s">
        <v>52</v>
      </c>
      <c r="O950" s="35">
        <v>0</v>
      </c>
    </row>
    <row r="951" spans="1:15" x14ac:dyDescent="0.2">
      <c r="A951" s="29" t="s">
        <v>1026</v>
      </c>
      <c r="B951" s="30">
        <v>45881</v>
      </c>
      <c r="C951" s="29" t="s">
        <v>51</v>
      </c>
      <c r="D951" s="29" t="s">
        <v>52</v>
      </c>
      <c r="E951" s="29" t="s">
        <v>227</v>
      </c>
      <c r="F951" s="31">
        <v>0</v>
      </c>
      <c r="G951" s="31">
        <v>0</v>
      </c>
      <c r="H951" s="31">
        <v>0</v>
      </c>
      <c r="I951" s="31">
        <v>46.92</v>
      </c>
      <c r="J951" s="31">
        <v>-46.92</v>
      </c>
      <c r="K951" s="32">
        <v>0</v>
      </c>
      <c r="L951" s="29" t="s">
        <v>52</v>
      </c>
      <c r="M951" s="33" t="s">
        <v>65</v>
      </c>
      <c r="N951" s="34" t="s">
        <v>52</v>
      </c>
      <c r="O951" s="35">
        <v>0</v>
      </c>
    </row>
    <row r="952" spans="1:15" x14ac:dyDescent="0.2">
      <c r="A952" s="29" t="s">
        <v>1026</v>
      </c>
      <c r="B952" s="30">
        <v>45882</v>
      </c>
      <c r="C952" s="29" t="s">
        <v>51</v>
      </c>
      <c r="D952" s="29" t="s">
        <v>52</v>
      </c>
      <c r="E952" s="29" t="s">
        <v>227</v>
      </c>
      <c r="F952" s="31">
        <v>0</v>
      </c>
      <c r="G952" s="31">
        <v>0</v>
      </c>
      <c r="H952" s="31">
        <v>0</v>
      </c>
      <c r="I952" s="31">
        <v>2.2999999999999998</v>
      </c>
      <c r="J952" s="31">
        <v>-2.2999999999999998</v>
      </c>
      <c r="K952" s="32">
        <v>0</v>
      </c>
      <c r="L952" s="29" t="s">
        <v>52</v>
      </c>
      <c r="M952" s="33" t="s">
        <v>65</v>
      </c>
      <c r="N952" s="34" t="s">
        <v>52</v>
      </c>
      <c r="O952" s="35">
        <v>0</v>
      </c>
    </row>
    <row r="953" spans="1:15" x14ac:dyDescent="0.2">
      <c r="A953" s="29" t="s">
        <v>1023</v>
      </c>
      <c r="B953" s="30">
        <v>45882</v>
      </c>
      <c r="C953" s="29" t="s">
        <v>51</v>
      </c>
      <c r="D953" s="29" t="s">
        <v>52</v>
      </c>
      <c r="E953" s="29" t="s">
        <v>227</v>
      </c>
      <c r="F953" s="31">
        <v>0</v>
      </c>
      <c r="G953" s="31">
        <v>0</v>
      </c>
      <c r="H953" s="31">
        <v>0</v>
      </c>
      <c r="I953" s="31">
        <v>-181.91</v>
      </c>
      <c r="J953" s="31">
        <v>181.91</v>
      </c>
      <c r="K953" s="32">
        <v>0</v>
      </c>
      <c r="L953" s="29" t="s">
        <v>52</v>
      </c>
      <c r="M953" s="33" t="s">
        <v>65</v>
      </c>
      <c r="N953" s="34" t="s">
        <v>52</v>
      </c>
      <c r="O953" s="35">
        <v>0</v>
      </c>
    </row>
    <row r="954" spans="1:15" x14ac:dyDescent="0.2">
      <c r="A954" s="29" t="s">
        <v>1027</v>
      </c>
      <c r="B954" s="30">
        <v>45882</v>
      </c>
      <c r="C954" s="29" t="s">
        <v>51</v>
      </c>
      <c r="D954" s="29" t="s">
        <v>52</v>
      </c>
      <c r="E954" s="29" t="s">
        <v>227</v>
      </c>
      <c r="F954" s="31">
        <v>7756.8</v>
      </c>
      <c r="G954" s="31">
        <v>0</v>
      </c>
      <c r="H954" s="31">
        <v>7756.8</v>
      </c>
      <c r="I954" s="31">
        <v>6593.4</v>
      </c>
      <c r="J954" s="31">
        <v>1163.4000000000001</v>
      </c>
      <c r="K954" s="32">
        <v>0.14998453</v>
      </c>
      <c r="L954" s="29" t="s">
        <v>52</v>
      </c>
      <c r="M954" s="33" t="s">
        <v>65</v>
      </c>
      <c r="N954" s="34" t="s">
        <v>52</v>
      </c>
      <c r="O954" s="35">
        <v>1</v>
      </c>
    </row>
    <row r="955" spans="1:15" x14ac:dyDescent="0.2">
      <c r="A955" s="29" t="s">
        <v>1024</v>
      </c>
      <c r="B955" s="30">
        <v>45883</v>
      </c>
      <c r="C955" s="29" t="s">
        <v>51</v>
      </c>
      <c r="D955" s="29" t="s">
        <v>52</v>
      </c>
      <c r="E955" s="29" t="s">
        <v>227</v>
      </c>
      <c r="F955" s="31">
        <v>0</v>
      </c>
      <c r="G955" s="31">
        <v>0</v>
      </c>
      <c r="H955" s="31">
        <v>0</v>
      </c>
      <c r="I955" s="31">
        <v>-4.9000000000000004</v>
      </c>
      <c r="J955" s="31">
        <v>4.9000000000000004</v>
      </c>
      <c r="K955" s="32">
        <v>0</v>
      </c>
      <c r="L955" s="29" t="s">
        <v>52</v>
      </c>
      <c r="M955" s="33" t="s">
        <v>65</v>
      </c>
      <c r="N955" s="34" t="s">
        <v>52</v>
      </c>
      <c r="O955" s="35">
        <v>0</v>
      </c>
    </row>
    <row r="956" spans="1:15" x14ac:dyDescent="0.2">
      <c r="A956" s="29" t="s">
        <v>1028</v>
      </c>
      <c r="B956" s="30">
        <v>45883</v>
      </c>
      <c r="C956" s="29" t="s">
        <v>51</v>
      </c>
      <c r="D956" s="29" t="s">
        <v>52</v>
      </c>
      <c r="E956" s="29" t="s">
        <v>227</v>
      </c>
      <c r="F956" s="31">
        <v>34253.800000000003</v>
      </c>
      <c r="G956" s="31">
        <v>0</v>
      </c>
      <c r="H956" s="31">
        <v>34253.800000000003</v>
      </c>
      <c r="I956" s="31">
        <v>29115</v>
      </c>
      <c r="J956" s="31">
        <v>5138.8</v>
      </c>
      <c r="K956" s="32">
        <v>0.15002130999999999</v>
      </c>
      <c r="L956" s="29" t="s">
        <v>52</v>
      </c>
      <c r="M956" s="33" t="s">
        <v>65</v>
      </c>
      <c r="N956" s="34" t="s">
        <v>52</v>
      </c>
      <c r="O956" s="35">
        <v>1</v>
      </c>
    </row>
    <row r="957" spans="1:15" x14ac:dyDescent="0.2">
      <c r="A957" s="29" t="s">
        <v>1029</v>
      </c>
      <c r="B957" s="30">
        <v>45883</v>
      </c>
      <c r="C957" s="29" t="s">
        <v>51</v>
      </c>
      <c r="D957" s="29" t="s">
        <v>52</v>
      </c>
      <c r="E957" s="29" t="s">
        <v>227</v>
      </c>
      <c r="F957" s="31">
        <v>0</v>
      </c>
      <c r="G957" s="31">
        <v>0</v>
      </c>
      <c r="H957" s="31">
        <v>0</v>
      </c>
      <c r="I957" s="31">
        <v>7220</v>
      </c>
      <c r="J957" s="31">
        <v>-7220</v>
      </c>
      <c r="K957" s="32">
        <v>0</v>
      </c>
      <c r="L957" s="29" t="s">
        <v>52</v>
      </c>
      <c r="M957" s="33" t="s">
        <v>65</v>
      </c>
      <c r="N957" s="34" t="s">
        <v>52</v>
      </c>
      <c r="O957" s="35">
        <v>0</v>
      </c>
    </row>
    <row r="958" spans="1:15" x14ac:dyDescent="0.2">
      <c r="A958" s="29" t="s">
        <v>1030</v>
      </c>
      <c r="B958" s="30">
        <v>45883</v>
      </c>
      <c r="C958" s="29" t="s">
        <v>51</v>
      </c>
      <c r="D958" s="29" t="s">
        <v>52</v>
      </c>
      <c r="E958" s="29" t="s">
        <v>227</v>
      </c>
      <c r="F958" s="31">
        <v>0</v>
      </c>
      <c r="G958" s="31">
        <v>0</v>
      </c>
      <c r="H958" s="31">
        <v>0</v>
      </c>
      <c r="I958" s="31">
        <v>150</v>
      </c>
      <c r="J958" s="31">
        <v>-150</v>
      </c>
      <c r="K958" s="32">
        <v>0</v>
      </c>
      <c r="L958" s="29" t="s">
        <v>52</v>
      </c>
      <c r="M958" s="33" t="s">
        <v>65</v>
      </c>
      <c r="N958" s="34" t="s">
        <v>52</v>
      </c>
      <c r="O958" s="35">
        <v>0</v>
      </c>
    </row>
    <row r="959" spans="1:15" x14ac:dyDescent="0.2">
      <c r="A959" s="29" t="s">
        <v>1031</v>
      </c>
      <c r="B959" s="30">
        <v>45883</v>
      </c>
      <c r="C959" s="29" t="s">
        <v>51</v>
      </c>
      <c r="D959" s="29" t="s">
        <v>52</v>
      </c>
      <c r="E959" s="29" t="s">
        <v>227</v>
      </c>
      <c r="F959" s="31">
        <v>0</v>
      </c>
      <c r="G959" s="31">
        <v>0</v>
      </c>
      <c r="H959" s="31">
        <v>0</v>
      </c>
      <c r="I959" s="31">
        <v>652.5</v>
      </c>
      <c r="J959" s="31">
        <v>-652.5</v>
      </c>
      <c r="K959" s="32">
        <v>0</v>
      </c>
      <c r="L959" s="29" t="s">
        <v>52</v>
      </c>
      <c r="M959" s="33" t="s">
        <v>65</v>
      </c>
      <c r="N959" s="34" t="s">
        <v>52</v>
      </c>
      <c r="O959" s="35">
        <v>0</v>
      </c>
    </row>
    <row r="960" spans="1:15" x14ac:dyDescent="0.2">
      <c r="A960" s="29" t="s">
        <v>1015</v>
      </c>
      <c r="B960" s="30">
        <v>45883</v>
      </c>
      <c r="C960" s="29" t="s">
        <v>51</v>
      </c>
      <c r="D960" s="29" t="s">
        <v>52</v>
      </c>
      <c r="E960" s="29" t="s">
        <v>227</v>
      </c>
      <c r="F960" s="31">
        <v>0</v>
      </c>
      <c r="G960" s="31">
        <v>0</v>
      </c>
      <c r="H960" s="31">
        <v>0</v>
      </c>
      <c r="I960" s="31">
        <v>2865</v>
      </c>
      <c r="J960" s="31">
        <v>-2865</v>
      </c>
      <c r="K960" s="32">
        <v>0</v>
      </c>
      <c r="L960" s="29" t="s">
        <v>52</v>
      </c>
      <c r="M960" s="33" t="s">
        <v>65</v>
      </c>
      <c r="N960" s="34" t="s">
        <v>52</v>
      </c>
      <c r="O960" s="35">
        <v>0</v>
      </c>
    </row>
    <row r="961" spans="1:15" x14ac:dyDescent="0.2">
      <c r="A961" s="29" t="s">
        <v>1032</v>
      </c>
      <c r="B961" s="30">
        <v>45883</v>
      </c>
      <c r="C961" s="29" t="s">
        <v>51</v>
      </c>
      <c r="D961" s="29" t="s">
        <v>52</v>
      </c>
      <c r="E961" s="29" t="s">
        <v>227</v>
      </c>
      <c r="F961" s="31">
        <v>0</v>
      </c>
      <c r="G961" s="31">
        <v>0</v>
      </c>
      <c r="H961" s="31">
        <v>0</v>
      </c>
      <c r="I961" s="31">
        <v>360</v>
      </c>
      <c r="J961" s="31">
        <v>-360</v>
      </c>
      <c r="K961" s="32">
        <v>0</v>
      </c>
      <c r="L961" s="29" t="s">
        <v>52</v>
      </c>
      <c r="M961" s="33" t="s">
        <v>65</v>
      </c>
      <c r="N961" s="34" t="s">
        <v>52</v>
      </c>
      <c r="O961" s="35">
        <v>0</v>
      </c>
    </row>
    <row r="962" spans="1:15" x14ac:dyDescent="0.2">
      <c r="A962" s="29" t="s">
        <v>1033</v>
      </c>
      <c r="B962" s="30">
        <v>45883</v>
      </c>
      <c r="C962" s="29" t="s">
        <v>51</v>
      </c>
      <c r="D962" s="29" t="s">
        <v>52</v>
      </c>
      <c r="E962" s="29" t="s">
        <v>227</v>
      </c>
      <c r="F962" s="31">
        <v>9975</v>
      </c>
      <c r="G962" s="31">
        <v>0</v>
      </c>
      <c r="H962" s="31">
        <v>9975</v>
      </c>
      <c r="I962" s="31">
        <v>0</v>
      </c>
      <c r="J962" s="31">
        <v>9975</v>
      </c>
      <c r="K962" s="32">
        <v>1</v>
      </c>
      <c r="L962" s="29" t="s">
        <v>52</v>
      </c>
      <c r="M962" s="33" t="s">
        <v>65</v>
      </c>
      <c r="N962" s="34" t="s">
        <v>52</v>
      </c>
      <c r="O962" s="35">
        <v>1</v>
      </c>
    </row>
    <row r="963" spans="1:15" x14ac:dyDescent="0.2">
      <c r="A963" s="29" t="s">
        <v>1034</v>
      </c>
      <c r="B963" s="30">
        <v>45883</v>
      </c>
      <c r="C963" s="29" t="s">
        <v>51</v>
      </c>
      <c r="D963" s="29" t="s">
        <v>52</v>
      </c>
      <c r="E963" s="29" t="s">
        <v>227</v>
      </c>
      <c r="F963" s="31">
        <v>625</v>
      </c>
      <c r="G963" s="31">
        <v>0</v>
      </c>
      <c r="H963" s="31">
        <v>625</v>
      </c>
      <c r="I963" s="31">
        <v>0</v>
      </c>
      <c r="J963" s="31">
        <v>625</v>
      </c>
      <c r="K963" s="32">
        <v>1</v>
      </c>
      <c r="L963" s="29" t="s">
        <v>52</v>
      </c>
      <c r="M963" s="33" t="s">
        <v>65</v>
      </c>
      <c r="N963" s="34" t="s">
        <v>52</v>
      </c>
      <c r="O963" s="35">
        <v>1</v>
      </c>
    </row>
    <row r="964" spans="1:15" x14ac:dyDescent="0.2">
      <c r="A964" s="29" t="s">
        <v>1035</v>
      </c>
      <c r="B964" s="30">
        <v>45883</v>
      </c>
      <c r="C964" s="29" t="s">
        <v>51</v>
      </c>
      <c r="D964" s="29" t="s">
        <v>52</v>
      </c>
      <c r="E964" s="29" t="s">
        <v>227</v>
      </c>
      <c r="F964" s="31">
        <v>250</v>
      </c>
      <c r="G964" s="31">
        <v>0</v>
      </c>
      <c r="H964" s="31">
        <v>250</v>
      </c>
      <c r="I964" s="31">
        <v>0</v>
      </c>
      <c r="J964" s="31">
        <v>250</v>
      </c>
      <c r="K964" s="32">
        <v>1</v>
      </c>
      <c r="L964" s="29" t="s">
        <v>52</v>
      </c>
      <c r="M964" s="33" t="s">
        <v>65</v>
      </c>
      <c r="N964" s="34" t="s">
        <v>52</v>
      </c>
      <c r="O964" s="35">
        <v>1</v>
      </c>
    </row>
    <row r="965" spans="1:15" x14ac:dyDescent="0.2">
      <c r="A965" s="29" t="s">
        <v>1036</v>
      </c>
      <c r="B965" s="30">
        <v>45883</v>
      </c>
      <c r="C965" s="29" t="s">
        <v>51</v>
      </c>
      <c r="D965" s="29" t="s">
        <v>52</v>
      </c>
      <c r="E965" s="29" t="s">
        <v>227</v>
      </c>
      <c r="F965" s="31">
        <v>3075</v>
      </c>
      <c r="G965" s="31">
        <v>0</v>
      </c>
      <c r="H965" s="31">
        <v>3075</v>
      </c>
      <c r="I965" s="31">
        <v>0</v>
      </c>
      <c r="J965" s="31">
        <v>3075</v>
      </c>
      <c r="K965" s="32">
        <v>1</v>
      </c>
      <c r="L965" s="29" t="s">
        <v>52</v>
      </c>
      <c r="M965" s="33" t="s">
        <v>65</v>
      </c>
      <c r="N965" s="34" t="s">
        <v>52</v>
      </c>
      <c r="O965" s="35">
        <v>1</v>
      </c>
    </row>
    <row r="966" spans="1:15" x14ac:dyDescent="0.2">
      <c r="A966" s="29" t="s">
        <v>1037</v>
      </c>
      <c r="B966" s="30">
        <v>45883</v>
      </c>
      <c r="C966" s="29" t="s">
        <v>51</v>
      </c>
      <c r="D966" s="29" t="s">
        <v>52</v>
      </c>
      <c r="E966" s="29" t="s">
        <v>227</v>
      </c>
      <c r="F966" s="31">
        <v>200</v>
      </c>
      <c r="G966" s="31">
        <v>0</v>
      </c>
      <c r="H966" s="31">
        <v>200</v>
      </c>
      <c r="I966" s="31">
        <v>0</v>
      </c>
      <c r="J966" s="31">
        <v>200</v>
      </c>
      <c r="K966" s="32">
        <v>1</v>
      </c>
      <c r="L966" s="29" t="s">
        <v>52</v>
      </c>
      <c r="M966" s="33" t="s">
        <v>65</v>
      </c>
      <c r="N966" s="34" t="s">
        <v>52</v>
      </c>
      <c r="O966" s="35">
        <v>1</v>
      </c>
    </row>
    <row r="967" spans="1:15" x14ac:dyDescent="0.2">
      <c r="A967" s="29" t="s">
        <v>1038</v>
      </c>
      <c r="B967" s="30">
        <v>45883</v>
      </c>
      <c r="C967" s="29" t="s">
        <v>51</v>
      </c>
      <c r="D967" s="29" t="s">
        <v>52</v>
      </c>
      <c r="E967" s="29" t="s">
        <v>227</v>
      </c>
      <c r="F967" s="31">
        <v>325</v>
      </c>
      <c r="G967" s="31">
        <v>0</v>
      </c>
      <c r="H967" s="31">
        <v>325</v>
      </c>
      <c r="I967" s="31">
        <v>0</v>
      </c>
      <c r="J967" s="31">
        <v>325</v>
      </c>
      <c r="K967" s="32">
        <v>1</v>
      </c>
      <c r="L967" s="29" t="s">
        <v>52</v>
      </c>
      <c r="M967" s="33" t="s">
        <v>65</v>
      </c>
      <c r="N967" s="34" t="s">
        <v>52</v>
      </c>
      <c r="O967" s="35">
        <v>1</v>
      </c>
    </row>
    <row r="968" spans="1:15" x14ac:dyDescent="0.2">
      <c r="A968" s="29" t="s">
        <v>1039</v>
      </c>
      <c r="B968" s="30">
        <v>45887</v>
      </c>
      <c r="C968" s="29" t="s">
        <v>51</v>
      </c>
      <c r="D968" s="29" t="s">
        <v>52</v>
      </c>
      <c r="E968" s="29" t="s">
        <v>227</v>
      </c>
      <c r="F968" s="31">
        <v>360</v>
      </c>
      <c r="G968" s="31">
        <v>0</v>
      </c>
      <c r="H968" s="31">
        <v>360</v>
      </c>
      <c r="I968" s="31">
        <v>240</v>
      </c>
      <c r="J968" s="31">
        <v>120</v>
      </c>
      <c r="K968" s="32">
        <v>0.33333332999999998</v>
      </c>
      <c r="L968" s="29" t="s">
        <v>52</v>
      </c>
      <c r="M968" s="33" t="s">
        <v>65</v>
      </c>
      <c r="N968" s="34" t="s">
        <v>52</v>
      </c>
      <c r="O968" s="35">
        <v>1</v>
      </c>
    </row>
    <row r="969" spans="1:15" x14ac:dyDescent="0.2">
      <c r="A969" s="29" t="s">
        <v>1024</v>
      </c>
      <c r="B969" s="30">
        <v>45888</v>
      </c>
      <c r="C969" s="29" t="s">
        <v>51</v>
      </c>
      <c r="D969" s="29" t="s">
        <v>52</v>
      </c>
      <c r="E969" s="29" t="s">
        <v>227</v>
      </c>
      <c r="F969" s="31">
        <v>0</v>
      </c>
      <c r="G969" s="31">
        <v>0</v>
      </c>
      <c r="H969" s="31">
        <v>0</v>
      </c>
      <c r="I969" s="31">
        <v>-319.5</v>
      </c>
      <c r="J969" s="31">
        <v>319.5</v>
      </c>
      <c r="K969" s="32">
        <v>0</v>
      </c>
      <c r="L969" s="29" t="s">
        <v>52</v>
      </c>
      <c r="M969" s="33" t="s">
        <v>65</v>
      </c>
      <c r="N969" s="34" t="s">
        <v>52</v>
      </c>
      <c r="O969" s="35">
        <v>0</v>
      </c>
    </row>
    <row r="970" spans="1:15" x14ac:dyDescent="0.2">
      <c r="A970" s="29" t="s">
        <v>1040</v>
      </c>
      <c r="B970" s="30">
        <v>45895</v>
      </c>
      <c r="C970" s="29" t="s">
        <v>51</v>
      </c>
      <c r="D970" s="29" t="s">
        <v>52</v>
      </c>
      <c r="E970" s="29" t="s">
        <v>227</v>
      </c>
      <c r="F970" s="31">
        <v>212.95</v>
      </c>
      <c r="G970" s="31">
        <v>0</v>
      </c>
      <c r="H970" s="31">
        <v>212.95</v>
      </c>
      <c r="I970" s="31">
        <v>181</v>
      </c>
      <c r="J970" s="31">
        <v>31.95</v>
      </c>
      <c r="K970" s="32">
        <v>0.15003522</v>
      </c>
      <c r="L970" s="29" t="s">
        <v>52</v>
      </c>
      <c r="M970" s="33" t="s">
        <v>65</v>
      </c>
      <c r="N970" s="34" t="s">
        <v>52</v>
      </c>
      <c r="O970" s="35">
        <v>1</v>
      </c>
    </row>
    <row r="971" spans="1:15" x14ac:dyDescent="0.2">
      <c r="A971" s="29" t="s">
        <v>1041</v>
      </c>
      <c r="B971" s="30">
        <v>45896</v>
      </c>
      <c r="C971" s="29" t="s">
        <v>51</v>
      </c>
      <c r="D971" s="29" t="s">
        <v>52</v>
      </c>
      <c r="E971" s="29" t="s">
        <v>227</v>
      </c>
      <c r="F971" s="31">
        <v>0</v>
      </c>
      <c r="G971" s="31">
        <v>0</v>
      </c>
      <c r="H971" s="31">
        <v>0</v>
      </c>
      <c r="I971" s="31">
        <v>4.0199999999999996</v>
      </c>
      <c r="J971" s="31">
        <v>-4.0199999999999996</v>
      </c>
      <c r="K971" s="32">
        <v>0</v>
      </c>
      <c r="L971" s="29" t="s">
        <v>52</v>
      </c>
      <c r="M971" s="33" t="s">
        <v>65</v>
      </c>
      <c r="N971" s="34" t="s">
        <v>52</v>
      </c>
      <c r="O971" s="35">
        <v>0</v>
      </c>
    </row>
    <row r="972" spans="1:15" x14ac:dyDescent="0.2">
      <c r="A972" s="29" t="s">
        <v>1026</v>
      </c>
      <c r="B972" s="30">
        <v>45897</v>
      </c>
      <c r="C972" s="29" t="s">
        <v>51</v>
      </c>
      <c r="D972" s="29" t="s">
        <v>52</v>
      </c>
      <c r="E972" s="29" t="s">
        <v>227</v>
      </c>
      <c r="F972" s="31">
        <v>0</v>
      </c>
      <c r="G972" s="31">
        <v>0</v>
      </c>
      <c r="H972" s="31">
        <v>0</v>
      </c>
      <c r="I972" s="31">
        <v>37.450000000000003</v>
      </c>
      <c r="J972" s="31">
        <v>-37.450000000000003</v>
      </c>
      <c r="K972" s="32">
        <v>0</v>
      </c>
      <c r="L972" s="29" t="s">
        <v>52</v>
      </c>
      <c r="M972" s="33" t="s">
        <v>65</v>
      </c>
      <c r="N972" s="34" t="s">
        <v>52</v>
      </c>
      <c r="O972" s="35">
        <v>0</v>
      </c>
    </row>
    <row r="973" spans="1:15" x14ac:dyDescent="0.2">
      <c r="A973" s="29" t="s">
        <v>1042</v>
      </c>
      <c r="B973" s="30">
        <v>45897</v>
      </c>
      <c r="C973" s="29" t="s">
        <v>51</v>
      </c>
      <c r="D973" s="29" t="s">
        <v>52</v>
      </c>
      <c r="E973" s="29" t="s">
        <v>227</v>
      </c>
      <c r="F973" s="31">
        <v>5061.29</v>
      </c>
      <c r="G973" s="31">
        <v>0</v>
      </c>
      <c r="H973" s="31">
        <v>5061.29</v>
      </c>
      <c r="I973" s="31">
        <v>4302.1000000000004</v>
      </c>
      <c r="J973" s="31">
        <v>759.19</v>
      </c>
      <c r="K973" s="32">
        <v>0.14999931</v>
      </c>
      <c r="L973" s="29" t="s">
        <v>52</v>
      </c>
      <c r="M973" s="33" t="s">
        <v>65</v>
      </c>
      <c r="N973" s="34" t="s">
        <v>52</v>
      </c>
      <c r="O973" s="35">
        <v>1</v>
      </c>
    </row>
    <row r="974" spans="1:15" x14ac:dyDescent="0.2">
      <c r="A974" s="29" t="s">
        <v>1043</v>
      </c>
      <c r="B974" s="30">
        <v>45897</v>
      </c>
      <c r="C974" s="29" t="s">
        <v>51</v>
      </c>
      <c r="D974" s="29" t="s">
        <v>52</v>
      </c>
      <c r="E974" s="29" t="s">
        <v>227</v>
      </c>
      <c r="F974" s="31">
        <v>4769.49</v>
      </c>
      <c r="G974" s="31">
        <v>0</v>
      </c>
      <c r="H974" s="31">
        <v>4769.49</v>
      </c>
      <c r="I974" s="31">
        <v>4054.07</v>
      </c>
      <c r="J974" s="31">
        <v>715.42</v>
      </c>
      <c r="K974" s="32">
        <v>0.14999926999999999</v>
      </c>
      <c r="L974" s="29" t="s">
        <v>52</v>
      </c>
      <c r="M974" s="33" t="s">
        <v>65</v>
      </c>
      <c r="N974" s="34" t="s">
        <v>52</v>
      </c>
      <c r="O974" s="35">
        <v>1</v>
      </c>
    </row>
    <row r="975" spans="1:15" x14ac:dyDescent="0.2">
      <c r="A975" s="29" t="s">
        <v>1013</v>
      </c>
      <c r="B975" s="30">
        <v>45898</v>
      </c>
      <c r="C975" s="29" t="s">
        <v>51</v>
      </c>
      <c r="D975" s="29" t="s">
        <v>52</v>
      </c>
      <c r="E975" s="29" t="s">
        <v>227</v>
      </c>
      <c r="F975" s="31">
        <v>0</v>
      </c>
      <c r="G975" s="31">
        <v>0</v>
      </c>
      <c r="H975" s="31">
        <v>0</v>
      </c>
      <c r="I975" s="31">
        <v>237</v>
      </c>
      <c r="J975" s="31">
        <v>-237</v>
      </c>
      <c r="K975" s="32">
        <v>0</v>
      </c>
      <c r="L975" s="29" t="s">
        <v>52</v>
      </c>
      <c r="M975" s="33" t="s">
        <v>65</v>
      </c>
      <c r="N975" s="34" t="s">
        <v>52</v>
      </c>
      <c r="O975" s="35">
        <v>0</v>
      </c>
    </row>
    <row r="976" spans="1:15" x14ac:dyDescent="0.2">
      <c r="A976" s="29" t="s">
        <v>1044</v>
      </c>
      <c r="B976" s="30">
        <v>45877</v>
      </c>
      <c r="C976" s="29" t="s">
        <v>1045</v>
      </c>
      <c r="D976" s="29" t="s">
        <v>268</v>
      </c>
      <c r="E976" s="29" t="s">
        <v>199</v>
      </c>
      <c r="F976" s="31">
        <v>1040</v>
      </c>
      <c r="G976" s="31">
        <v>0</v>
      </c>
      <c r="H976" s="31">
        <v>1040</v>
      </c>
      <c r="I976" s="31">
        <v>768.6</v>
      </c>
      <c r="J976" s="31">
        <v>271.39999999999998</v>
      </c>
      <c r="K976" s="32">
        <v>0.26096153999999999</v>
      </c>
      <c r="L976" s="29" t="s">
        <v>76</v>
      </c>
      <c r="M976" s="33" t="s">
        <v>268</v>
      </c>
      <c r="N976" s="34" t="s">
        <v>76</v>
      </c>
      <c r="O976" s="35">
        <v>1</v>
      </c>
    </row>
    <row r="977" spans="1:15" x14ac:dyDescent="0.2">
      <c r="A977" s="29" t="s">
        <v>1044</v>
      </c>
      <c r="B977" s="30">
        <v>45880</v>
      </c>
      <c r="C977" s="29" t="s">
        <v>1045</v>
      </c>
      <c r="D977" s="29" t="s">
        <v>268</v>
      </c>
      <c r="E977" s="29" t="s">
        <v>199</v>
      </c>
      <c r="F977" s="31">
        <v>0</v>
      </c>
      <c r="G977" s="31">
        <v>0</v>
      </c>
      <c r="H977" s="31">
        <v>0</v>
      </c>
      <c r="I977" s="31">
        <v>-14.15</v>
      </c>
      <c r="J977" s="31">
        <v>14.15</v>
      </c>
      <c r="K977" s="32">
        <v>0</v>
      </c>
      <c r="L977" s="29" t="s">
        <v>76</v>
      </c>
      <c r="M977" s="33" t="s">
        <v>268</v>
      </c>
      <c r="N977" s="34" t="s">
        <v>76</v>
      </c>
      <c r="O977" s="35">
        <v>0</v>
      </c>
    </row>
    <row r="978" spans="1:15" x14ac:dyDescent="0.2">
      <c r="A978" s="29" t="s">
        <v>1044</v>
      </c>
      <c r="B978" s="30">
        <v>45883</v>
      </c>
      <c r="C978" s="29" t="s">
        <v>1045</v>
      </c>
      <c r="D978" s="29" t="s">
        <v>268</v>
      </c>
      <c r="E978" s="29" t="s">
        <v>199</v>
      </c>
      <c r="F978" s="31">
        <v>0</v>
      </c>
      <c r="G978" s="31">
        <v>0</v>
      </c>
      <c r="H978" s="31">
        <v>0</v>
      </c>
      <c r="I978" s="31">
        <v>22.78</v>
      </c>
      <c r="J978" s="31">
        <v>-22.78</v>
      </c>
      <c r="K978" s="32">
        <v>0</v>
      </c>
      <c r="L978" s="29" t="s">
        <v>76</v>
      </c>
      <c r="M978" s="33" t="s">
        <v>268</v>
      </c>
      <c r="N978" s="34" t="s">
        <v>76</v>
      </c>
      <c r="O978" s="35">
        <v>0</v>
      </c>
    </row>
    <row r="979" spans="1:15" x14ac:dyDescent="0.2">
      <c r="A979" s="29" t="s">
        <v>1046</v>
      </c>
      <c r="B979" s="30">
        <v>45899</v>
      </c>
      <c r="C979" s="29" t="s">
        <v>1047</v>
      </c>
      <c r="D979" s="29" t="s">
        <v>48</v>
      </c>
      <c r="E979" s="29" t="s">
        <v>192</v>
      </c>
      <c r="F979" s="31">
        <v>0</v>
      </c>
      <c r="G979" s="31">
        <v>0</v>
      </c>
      <c r="H979" s="31">
        <v>0</v>
      </c>
      <c r="I979" s="31">
        <v>37.5</v>
      </c>
      <c r="J979" s="31">
        <v>-37.5</v>
      </c>
      <c r="K979" s="32">
        <v>0</v>
      </c>
      <c r="L979" s="29" t="s">
        <v>1048</v>
      </c>
      <c r="M979" s="33" t="s">
        <v>48</v>
      </c>
      <c r="N979" s="34" t="s">
        <v>251</v>
      </c>
      <c r="O979" s="35">
        <v>0</v>
      </c>
    </row>
    <row r="980" spans="1:15" x14ac:dyDescent="0.2">
      <c r="A980" s="29" t="s">
        <v>1049</v>
      </c>
      <c r="B980" s="30">
        <v>45883</v>
      </c>
      <c r="C980" s="29" t="s">
        <v>1050</v>
      </c>
      <c r="D980" s="29" t="s">
        <v>9</v>
      </c>
      <c r="E980" s="29" t="s">
        <v>227</v>
      </c>
      <c r="F980" s="31">
        <v>5702.2</v>
      </c>
      <c r="G980" s="31">
        <v>0</v>
      </c>
      <c r="H980" s="31">
        <v>5702.2</v>
      </c>
      <c r="I980" s="31">
        <v>4498.26</v>
      </c>
      <c r="J980" s="31">
        <v>1203.94</v>
      </c>
      <c r="K980" s="32">
        <v>0.21113604999999999</v>
      </c>
      <c r="L980" s="29" t="s">
        <v>122</v>
      </c>
      <c r="M980" s="33" t="s">
        <v>9</v>
      </c>
      <c r="N980" s="34" t="s">
        <v>122</v>
      </c>
      <c r="O980" s="35">
        <v>1</v>
      </c>
    </row>
    <row r="981" spans="1:15" x14ac:dyDescent="0.2">
      <c r="A981" s="29" t="s">
        <v>1049</v>
      </c>
      <c r="B981" s="30">
        <v>45890</v>
      </c>
      <c r="C981" s="29" t="s">
        <v>1050</v>
      </c>
      <c r="D981" s="29" t="s">
        <v>9</v>
      </c>
      <c r="E981" s="29" t="s">
        <v>227</v>
      </c>
      <c r="F981" s="31">
        <v>0</v>
      </c>
      <c r="G981" s="31">
        <v>0</v>
      </c>
      <c r="H981" s="31">
        <v>0</v>
      </c>
      <c r="I981" s="31">
        <v>9.8699999999999992</v>
      </c>
      <c r="J981" s="31">
        <v>-9.8699999999999992</v>
      </c>
      <c r="K981" s="32">
        <v>0</v>
      </c>
      <c r="L981" s="29" t="s">
        <v>122</v>
      </c>
      <c r="M981" s="33" t="s">
        <v>9</v>
      </c>
      <c r="N981" s="34" t="s">
        <v>122</v>
      </c>
      <c r="O981" s="35">
        <v>0</v>
      </c>
    </row>
    <row r="982" spans="1:15" x14ac:dyDescent="0.2">
      <c r="A982" s="29" t="s">
        <v>1051</v>
      </c>
      <c r="B982" s="30">
        <v>45894</v>
      </c>
      <c r="C982" s="29" t="s">
        <v>1050</v>
      </c>
      <c r="D982" s="29" t="s">
        <v>9</v>
      </c>
      <c r="E982" s="29" t="s">
        <v>227</v>
      </c>
      <c r="F982" s="31">
        <v>8710.24</v>
      </c>
      <c r="G982" s="31">
        <v>0</v>
      </c>
      <c r="H982" s="31">
        <v>8710.24</v>
      </c>
      <c r="I982" s="31">
        <v>6922.68</v>
      </c>
      <c r="J982" s="31">
        <v>1787.56</v>
      </c>
      <c r="K982" s="32">
        <v>0.20522510999999999</v>
      </c>
      <c r="L982" s="29" t="s">
        <v>122</v>
      </c>
      <c r="M982" s="33" t="s">
        <v>9</v>
      </c>
      <c r="N982" s="34" t="s">
        <v>122</v>
      </c>
      <c r="O982" s="35">
        <v>1</v>
      </c>
    </row>
    <row r="983" spans="1:15" x14ac:dyDescent="0.2">
      <c r="A983" s="29" t="s">
        <v>1051</v>
      </c>
      <c r="B983" s="30">
        <v>45896</v>
      </c>
      <c r="C983" s="29" t="s">
        <v>1050</v>
      </c>
      <c r="D983" s="29" t="s">
        <v>9</v>
      </c>
      <c r="E983" s="29" t="s">
        <v>227</v>
      </c>
      <c r="F983" s="31">
        <v>0</v>
      </c>
      <c r="G983" s="31">
        <v>236.21</v>
      </c>
      <c r="H983" s="31">
        <v>236.21</v>
      </c>
      <c r="I983" s="31">
        <v>304.87</v>
      </c>
      <c r="J983" s="31">
        <v>-68.66</v>
      </c>
      <c r="K983" s="32">
        <v>-0.29067355</v>
      </c>
      <c r="L983" s="29" t="s">
        <v>122</v>
      </c>
      <c r="M983" s="33" t="s">
        <v>9</v>
      </c>
      <c r="N983" s="34" t="s">
        <v>122</v>
      </c>
      <c r="O983" s="35">
        <v>0</v>
      </c>
    </row>
    <row r="984" spans="1:15" x14ac:dyDescent="0.2">
      <c r="A984" s="29" t="s">
        <v>1052</v>
      </c>
      <c r="B984" s="30">
        <v>45870</v>
      </c>
      <c r="C984" s="29" t="s">
        <v>1053</v>
      </c>
      <c r="D984" s="29" t="s">
        <v>46</v>
      </c>
      <c r="E984" s="29" t="s">
        <v>227</v>
      </c>
      <c r="F984" s="31">
        <v>0</v>
      </c>
      <c r="G984" s="31">
        <v>0</v>
      </c>
      <c r="H984" s="31">
        <v>0</v>
      </c>
      <c r="I984" s="31">
        <v>10</v>
      </c>
      <c r="J984" s="31">
        <v>-10</v>
      </c>
      <c r="K984" s="32">
        <v>0</v>
      </c>
      <c r="L984" s="29" t="s">
        <v>462</v>
      </c>
      <c r="M984" s="33" t="s">
        <v>46</v>
      </c>
      <c r="N984" s="34" t="s">
        <v>120</v>
      </c>
      <c r="O984" s="35">
        <v>0</v>
      </c>
    </row>
    <row r="985" spans="1:15" x14ac:dyDescent="0.2">
      <c r="A985" s="29" t="s">
        <v>1052</v>
      </c>
      <c r="B985" s="30">
        <v>45877</v>
      </c>
      <c r="C985" s="29" t="s">
        <v>1053</v>
      </c>
      <c r="D985" s="29" t="s">
        <v>46</v>
      </c>
      <c r="E985" s="29" t="s">
        <v>227</v>
      </c>
      <c r="F985" s="31">
        <v>0</v>
      </c>
      <c r="G985" s="31">
        <v>0</v>
      </c>
      <c r="H985" s="31">
        <v>0</v>
      </c>
      <c r="I985" s="31">
        <v>1075.28</v>
      </c>
      <c r="J985" s="31">
        <v>-1075.28</v>
      </c>
      <c r="K985" s="32">
        <v>0</v>
      </c>
      <c r="L985" s="29" t="s">
        <v>462</v>
      </c>
      <c r="M985" s="33" t="s">
        <v>46</v>
      </c>
      <c r="N985" s="34" t="s">
        <v>120</v>
      </c>
      <c r="O985" s="35">
        <v>0</v>
      </c>
    </row>
    <row r="986" spans="1:15" x14ac:dyDescent="0.2">
      <c r="A986" s="29" t="s">
        <v>1052</v>
      </c>
      <c r="B986" s="30">
        <v>45879</v>
      </c>
      <c r="C986" s="29" t="s">
        <v>1053</v>
      </c>
      <c r="D986" s="29" t="s">
        <v>46</v>
      </c>
      <c r="E986" s="29" t="s">
        <v>227</v>
      </c>
      <c r="F986" s="31">
        <v>0</v>
      </c>
      <c r="G986" s="31">
        <v>0</v>
      </c>
      <c r="H986" s="31">
        <v>0</v>
      </c>
      <c r="I986" s="31">
        <v>505</v>
      </c>
      <c r="J986" s="31">
        <v>-505</v>
      </c>
      <c r="K986" s="32">
        <v>0</v>
      </c>
      <c r="L986" s="29" t="s">
        <v>462</v>
      </c>
      <c r="M986" s="33" t="s">
        <v>46</v>
      </c>
      <c r="N986" s="34" t="s">
        <v>120</v>
      </c>
      <c r="O986" s="35">
        <v>0</v>
      </c>
    </row>
    <row r="987" spans="1:15" x14ac:dyDescent="0.2">
      <c r="A987" s="29" t="s">
        <v>1052</v>
      </c>
      <c r="B987" s="30">
        <v>45880</v>
      </c>
      <c r="C987" s="29" t="s">
        <v>1053</v>
      </c>
      <c r="D987" s="29" t="s">
        <v>46</v>
      </c>
      <c r="E987" s="29" t="s">
        <v>227</v>
      </c>
      <c r="F987" s="31">
        <v>0</v>
      </c>
      <c r="G987" s="31">
        <v>0</v>
      </c>
      <c r="H987" s="31">
        <v>0</v>
      </c>
      <c r="I987" s="31">
        <v>-80</v>
      </c>
      <c r="J987" s="31">
        <v>80</v>
      </c>
      <c r="K987" s="32">
        <v>0</v>
      </c>
      <c r="L987" s="29" t="s">
        <v>462</v>
      </c>
      <c r="M987" s="33" t="s">
        <v>46</v>
      </c>
      <c r="N987" s="34" t="s">
        <v>120</v>
      </c>
      <c r="O987" s="35">
        <v>0</v>
      </c>
    </row>
    <row r="988" spans="1:15" x14ac:dyDescent="0.2">
      <c r="A988" s="29" t="s">
        <v>1052</v>
      </c>
      <c r="B988" s="30">
        <v>45890</v>
      </c>
      <c r="C988" s="29" t="s">
        <v>1053</v>
      </c>
      <c r="D988" s="29" t="s">
        <v>46</v>
      </c>
      <c r="E988" s="29" t="s">
        <v>227</v>
      </c>
      <c r="F988" s="31">
        <v>0</v>
      </c>
      <c r="G988" s="31">
        <v>0</v>
      </c>
      <c r="H988" s="31">
        <v>0</v>
      </c>
      <c r="I988" s="31">
        <v>19.64</v>
      </c>
      <c r="J988" s="31">
        <v>-19.64</v>
      </c>
      <c r="K988" s="32">
        <v>0</v>
      </c>
      <c r="L988" s="29" t="s">
        <v>462</v>
      </c>
      <c r="M988" s="33" t="s">
        <v>46</v>
      </c>
      <c r="N988" s="34" t="s">
        <v>120</v>
      </c>
      <c r="O988" s="35">
        <v>0</v>
      </c>
    </row>
    <row r="989" spans="1:15" x14ac:dyDescent="0.2">
      <c r="A989" s="29" t="s">
        <v>1054</v>
      </c>
      <c r="B989" s="30">
        <v>45895</v>
      </c>
      <c r="C989" s="29" t="s">
        <v>1055</v>
      </c>
      <c r="D989" s="29" t="s">
        <v>69</v>
      </c>
      <c r="E989" s="29" t="s">
        <v>199</v>
      </c>
      <c r="F989" s="31">
        <v>57468.73</v>
      </c>
      <c r="G989" s="31">
        <v>0</v>
      </c>
      <c r="H989" s="31">
        <v>57468.73</v>
      </c>
      <c r="I989" s="31">
        <v>45621.63</v>
      </c>
      <c r="J989" s="31">
        <v>11847.1</v>
      </c>
      <c r="K989" s="32">
        <v>0.20614863</v>
      </c>
      <c r="L989" s="29" t="s">
        <v>111</v>
      </c>
      <c r="M989" s="33" t="s">
        <v>69</v>
      </c>
      <c r="N989" s="34" t="s">
        <v>111</v>
      </c>
      <c r="O989" s="35">
        <v>1</v>
      </c>
    </row>
    <row r="990" spans="1:15" x14ac:dyDescent="0.2">
      <c r="A990" s="29" t="s">
        <v>1056</v>
      </c>
      <c r="B990" s="30">
        <v>45896</v>
      </c>
      <c r="C990" s="29" t="s">
        <v>1055</v>
      </c>
      <c r="D990" s="29" t="s">
        <v>69</v>
      </c>
      <c r="E990" s="29" t="s">
        <v>199</v>
      </c>
      <c r="F990" s="31">
        <v>38432.839999999997</v>
      </c>
      <c r="G990" s="31">
        <v>0</v>
      </c>
      <c r="H990" s="31">
        <v>38432.839999999997</v>
      </c>
      <c r="I990" s="31">
        <v>32379.54</v>
      </c>
      <c r="J990" s="31">
        <v>6053.3</v>
      </c>
      <c r="K990" s="32">
        <v>0.15750332</v>
      </c>
      <c r="L990" s="29" t="s">
        <v>111</v>
      </c>
      <c r="M990" s="33" t="s">
        <v>69</v>
      </c>
      <c r="N990" s="34" t="s">
        <v>111</v>
      </c>
      <c r="O990" s="35">
        <v>1</v>
      </c>
    </row>
    <row r="991" spans="1:15" x14ac:dyDescent="0.2">
      <c r="A991" s="29" t="s">
        <v>1054</v>
      </c>
      <c r="B991" s="30">
        <v>45897</v>
      </c>
      <c r="C991" s="29" t="s">
        <v>1055</v>
      </c>
      <c r="D991" s="29" t="s">
        <v>69</v>
      </c>
      <c r="E991" s="29" t="s">
        <v>199</v>
      </c>
      <c r="F991" s="31">
        <v>0</v>
      </c>
      <c r="G991" s="31">
        <v>-344.23</v>
      </c>
      <c r="H991" s="31">
        <v>-344.23</v>
      </c>
      <c r="I991" s="31">
        <v>-367.69</v>
      </c>
      <c r="J991" s="31">
        <v>23.46</v>
      </c>
      <c r="K991" s="32">
        <v>-6.8152110000000002E-2</v>
      </c>
      <c r="L991" s="29" t="s">
        <v>111</v>
      </c>
      <c r="M991" s="33" t="s">
        <v>69</v>
      </c>
      <c r="N991" s="34" t="s">
        <v>111</v>
      </c>
      <c r="O991" s="35">
        <v>0</v>
      </c>
    </row>
    <row r="992" spans="1:15" x14ac:dyDescent="0.2">
      <c r="A992" s="29" t="s">
        <v>1056</v>
      </c>
      <c r="B992" s="30">
        <v>45897</v>
      </c>
      <c r="C992" s="29" t="s">
        <v>1055</v>
      </c>
      <c r="D992" s="29" t="s">
        <v>69</v>
      </c>
      <c r="E992" s="29" t="s">
        <v>199</v>
      </c>
      <c r="F992" s="31">
        <v>0</v>
      </c>
      <c r="G992" s="31">
        <v>-332.48</v>
      </c>
      <c r="H992" s="31">
        <v>-332.48</v>
      </c>
      <c r="I992" s="31">
        <v>-91.4</v>
      </c>
      <c r="J992" s="31">
        <v>-241.08</v>
      </c>
      <c r="K992" s="32">
        <v>0.72509625</v>
      </c>
      <c r="L992" s="29" t="s">
        <v>111</v>
      </c>
      <c r="M992" s="33" t="s">
        <v>69</v>
      </c>
      <c r="N992" s="34" t="s">
        <v>111</v>
      </c>
      <c r="O992" s="35">
        <v>0</v>
      </c>
    </row>
    <row r="993" spans="1:15" x14ac:dyDescent="0.2">
      <c r="A993" s="29" t="s">
        <v>1054</v>
      </c>
      <c r="B993" s="30">
        <v>45898</v>
      </c>
      <c r="C993" s="29" t="s">
        <v>1055</v>
      </c>
      <c r="D993" s="29" t="s">
        <v>69</v>
      </c>
      <c r="E993" s="29" t="s">
        <v>199</v>
      </c>
      <c r="F993" s="31">
        <v>0</v>
      </c>
      <c r="G993" s="31">
        <v>-1912.11</v>
      </c>
      <c r="H993" s="31">
        <v>-1912.11</v>
      </c>
      <c r="I993" s="31">
        <v>-648.47</v>
      </c>
      <c r="J993" s="31">
        <v>-1263.6400000000001</v>
      </c>
      <c r="K993" s="32">
        <v>0.66086155999999996</v>
      </c>
      <c r="L993" s="29" t="s">
        <v>111</v>
      </c>
      <c r="M993" s="33" t="s">
        <v>69</v>
      </c>
      <c r="N993" s="34" t="s">
        <v>111</v>
      </c>
      <c r="O993" s="35">
        <v>0</v>
      </c>
    </row>
    <row r="994" spans="1:15" x14ac:dyDescent="0.2">
      <c r="A994" s="29" t="s">
        <v>1057</v>
      </c>
      <c r="B994" s="30">
        <v>45877</v>
      </c>
      <c r="C994" s="29" t="s">
        <v>1058</v>
      </c>
      <c r="D994" s="29" t="s">
        <v>19</v>
      </c>
      <c r="E994" s="29" t="s">
        <v>192</v>
      </c>
      <c r="F994" s="31">
        <v>76975.13</v>
      </c>
      <c r="G994" s="31">
        <v>0</v>
      </c>
      <c r="H994" s="31">
        <v>76975.13</v>
      </c>
      <c r="I994" s="31">
        <v>54156.21</v>
      </c>
      <c r="J994" s="31">
        <v>22818.92</v>
      </c>
      <c r="K994" s="32">
        <v>0.29644535999999999</v>
      </c>
      <c r="L994" s="29" t="s">
        <v>222</v>
      </c>
      <c r="M994" s="33" t="s">
        <v>19</v>
      </c>
      <c r="N994" s="34" t="s">
        <v>222</v>
      </c>
      <c r="O994" s="35">
        <v>1</v>
      </c>
    </row>
    <row r="995" spans="1:15" x14ac:dyDescent="0.2">
      <c r="A995" s="29" t="s">
        <v>1057</v>
      </c>
      <c r="B995" s="30">
        <v>45881</v>
      </c>
      <c r="C995" s="29" t="s">
        <v>1058</v>
      </c>
      <c r="D995" s="29" t="s">
        <v>19</v>
      </c>
      <c r="E995" s="29" t="s">
        <v>192</v>
      </c>
      <c r="F995" s="31">
        <v>0</v>
      </c>
      <c r="G995" s="31">
        <v>-489.86</v>
      </c>
      <c r="H995" s="31">
        <v>-489.86</v>
      </c>
      <c r="I995" s="31">
        <v>-342.9</v>
      </c>
      <c r="J995" s="31">
        <v>-146.96</v>
      </c>
      <c r="K995" s="32">
        <v>0.30000408000000001</v>
      </c>
      <c r="L995" s="29" t="s">
        <v>222</v>
      </c>
      <c r="M995" s="33" t="s">
        <v>19</v>
      </c>
      <c r="N995" s="34" t="s">
        <v>222</v>
      </c>
      <c r="O995" s="35">
        <v>0</v>
      </c>
    </row>
    <row r="996" spans="1:15" x14ac:dyDescent="0.2">
      <c r="A996" s="29" t="s">
        <v>1057</v>
      </c>
      <c r="B996" s="30">
        <v>45882</v>
      </c>
      <c r="C996" s="29" t="s">
        <v>1058</v>
      </c>
      <c r="D996" s="29" t="s">
        <v>19</v>
      </c>
      <c r="E996" s="29" t="s">
        <v>192</v>
      </c>
      <c r="F996" s="31">
        <v>0</v>
      </c>
      <c r="G996" s="31">
        <v>0</v>
      </c>
      <c r="H996" s="31">
        <v>0</v>
      </c>
      <c r="I996" s="31">
        <v>-150.69999999999999</v>
      </c>
      <c r="J996" s="31">
        <v>150.69999999999999</v>
      </c>
      <c r="K996" s="32">
        <v>0</v>
      </c>
      <c r="L996" s="29" t="s">
        <v>222</v>
      </c>
      <c r="M996" s="33" t="s">
        <v>19</v>
      </c>
      <c r="N996" s="34" t="s">
        <v>222</v>
      </c>
      <c r="O996" s="35">
        <v>0</v>
      </c>
    </row>
    <row r="997" spans="1:15" x14ac:dyDescent="0.2">
      <c r="A997" s="29" t="s">
        <v>1059</v>
      </c>
      <c r="B997" s="30">
        <v>45890</v>
      </c>
      <c r="C997" s="29" t="s">
        <v>1058</v>
      </c>
      <c r="D997" s="29" t="s">
        <v>19</v>
      </c>
      <c r="E997" s="29" t="s">
        <v>192</v>
      </c>
      <c r="F997" s="31">
        <v>0</v>
      </c>
      <c r="G997" s="31">
        <v>0</v>
      </c>
      <c r="H997" s="31">
        <v>0</v>
      </c>
      <c r="I997" s="31">
        <v>109.02</v>
      </c>
      <c r="J997" s="31">
        <v>-109.02</v>
      </c>
      <c r="K997" s="32">
        <v>0</v>
      </c>
      <c r="L997" s="29" t="s">
        <v>222</v>
      </c>
      <c r="M997" s="33" t="s">
        <v>19</v>
      </c>
      <c r="N997" s="34" t="s">
        <v>222</v>
      </c>
      <c r="O997" s="35">
        <v>0</v>
      </c>
    </row>
    <row r="998" spans="1:15" x14ac:dyDescent="0.2">
      <c r="A998" s="29" t="s">
        <v>1060</v>
      </c>
      <c r="B998" s="30">
        <v>45870</v>
      </c>
      <c r="C998" s="29" t="s">
        <v>1058</v>
      </c>
      <c r="D998" s="29" t="s">
        <v>19</v>
      </c>
      <c r="E998" s="29" t="s">
        <v>192</v>
      </c>
      <c r="F998" s="31">
        <v>645</v>
      </c>
      <c r="G998" s="31">
        <v>0</v>
      </c>
      <c r="H998" s="31">
        <v>645</v>
      </c>
      <c r="I998" s="31">
        <v>449.55</v>
      </c>
      <c r="J998" s="31">
        <v>195.45</v>
      </c>
      <c r="K998" s="32">
        <v>0.30302326000000002</v>
      </c>
      <c r="L998" s="29" t="s">
        <v>131</v>
      </c>
      <c r="M998" s="33" t="s">
        <v>19</v>
      </c>
      <c r="N998" s="34" t="s">
        <v>131</v>
      </c>
      <c r="O998" s="35">
        <v>1</v>
      </c>
    </row>
    <row r="999" spans="1:15" x14ac:dyDescent="0.2">
      <c r="A999" s="29" t="s">
        <v>1061</v>
      </c>
      <c r="B999" s="30">
        <v>45870</v>
      </c>
      <c r="C999" s="29" t="s">
        <v>1058</v>
      </c>
      <c r="D999" s="29" t="s">
        <v>19</v>
      </c>
      <c r="E999" s="29" t="s">
        <v>192</v>
      </c>
      <c r="F999" s="31">
        <v>6045</v>
      </c>
      <c r="G999" s="31">
        <v>0</v>
      </c>
      <c r="H999" s="31">
        <v>6045</v>
      </c>
      <c r="I999" s="31">
        <v>3200.08</v>
      </c>
      <c r="J999" s="31">
        <v>2844.92</v>
      </c>
      <c r="K999" s="32">
        <v>0.47062366</v>
      </c>
      <c r="L999" s="29" t="s">
        <v>131</v>
      </c>
      <c r="M999" s="33" t="s">
        <v>19</v>
      </c>
      <c r="N999" s="34" t="s">
        <v>131</v>
      </c>
      <c r="O999" s="35">
        <v>1</v>
      </c>
    </row>
    <row r="1000" spans="1:15" x14ac:dyDescent="0.2">
      <c r="A1000" s="29" t="s">
        <v>1060</v>
      </c>
      <c r="B1000" s="30">
        <v>45871</v>
      </c>
      <c r="C1000" s="29" t="s">
        <v>1058</v>
      </c>
      <c r="D1000" s="29" t="s">
        <v>19</v>
      </c>
      <c r="E1000" s="29" t="s">
        <v>192</v>
      </c>
      <c r="F1000" s="31">
        <v>0</v>
      </c>
      <c r="G1000" s="31">
        <v>-645</v>
      </c>
      <c r="H1000" s="31">
        <v>-645</v>
      </c>
      <c r="I1000" s="31">
        <v>-449.55</v>
      </c>
      <c r="J1000" s="31">
        <v>-195.45</v>
      </c>
      <c r="K1000" s="32">
        <v>0.30302326000000002</v>
      </c>
      <c r="L1000" s="29" t="s">
        <v>131</v>
      </c>
      <c r="M1000" s="33" t="s">
        <v>19</v>
      </c>
      <c r="N1000" s="34" t="s">
        <v>131</v>
      </c>
      <c r="O1000" s="35">
        <v>0</v>
      </c>
    </row>
    <row r="1001" spans="1:15" x14ac:dyDescent="0.2">
      <c r="A1001" s="29" t="s">
        <v>1062</v>
      </c>
      <c r="B1001" s="30">
        <v>45887</v>
      </c>
      <c r="C1001" s="29" t="s">
        <v>1058</v>
      </c>
      <c r="D1001" s="29" t="s">
        <v>19</v>
      </c>
      <c r="E1001" s="29" t="s">
        <v>192</v>
      </c>
      <c r="F1001" s="31">
        <v>0</v>
      </c>
      <c r="G1001" s="31">
        <v>0</v>
      </c>
      <c r="H1001" s="31">
        <v>0</v>
      </c>
      <c r="I1001" s="31">
        <v>132.37</v>
      </c>
      <c r="J1001" s="31">
        <v>-132.37</v>
      </c>
      <c r="K1001" s="32">
        <v>0</v>
      </c>
      <c r="L1001" s="29" t="s">
        <v>131</v>
      </c>
      <c r="M1001" s="33" t="s">
        <v>19</v>
      </c>
      <c r="N1001" s="34" t="s">
        <v>131</v>
      </c>
      <c r="O1001" s="35">
        <v>0</v>
      </c>
    </row>
    <row r="1002" spans="1:15" x14ac:dyDescent="0.2">
      <c r="A1002" s="29" t="s">
        <v>1060</v>
      </c>
      <c r="B1002" s="30">
        <v>45896</v>
      </c>
      <c r="C1002" s="29" t="s">
        <v>1058</v>
      </c>
      <c r="D1002" s="29" t="s">
        <v>19</v>
      </c>
      <c r="E1002" s="29" t="s">
        <v>192</v>
      </c>
      <c r="F1002" s="31">
        <v>0</v>
      </c>
      <c r="G1002" s="31">
        <v>0</v>
      </c>
      <c r="H1002" s="31">
        <v>0</v>
      </c>
      <c r="I1002" s="31">
        <v>0</v>
      </c>
      <c r="J1002" s="31">
        <v>0</v>
      </c>
      <c r="K1002" s="32">
        <v>0</v>
      </c>
      <c r="L1002" s="29" t="s">
        <v>131</v>
      </c>
      <c r="M1002" s="33" t="s">
        <v>19</v>
      </c>
      <c r="N1002" s="34" t="s">
        <v>131</v>
      </c>
      <c r="O1002" s="35">
        <v>0</v>
      </c>
    </row>
    <row r="1003" spans="1:15" x14ac:dyDescent="0.2">
      <c r="A1003" s="29" t="s">
        <v>1063</v>
      </c>
      <c r="B1003" s="30">
        <v>45874</v>
      </c>
      <c r="C1003" s="29" t="s">
        <v>1064</v>
      </c>
      <c r="D1003" s="29" t="s">
        <v>46</v>
      </c>
      <c r="E1003" s="29" t="s">
        <v>192</v>
      </c>
      <c r="F1003" s="31">
        <v>975</v>
      </c>
      <c r="G1003" s="31">
        <v>0</v>
      </c>
      <c r="H1003" s="31">
        <v>975</v>
      </c>
      <c r="I1003" s="31">
        <v>382.36</v>
      </c>
      <c r="J1003" s="31">
        <v>592.64</v>
      </c>
      <c r="K1003" s="32">
        <v>0.60783589999999998</v>
      </c>
      <c r="L1003" s="29" t="s">
        <v>952</v>
      </c>
      <c r="M1003" s="33" t="s">
        <v>46</v>
      </c>
      <c r="N1003" s="34" t="s">
        <v>952</v>
      </c>
      <c r="O1003" s="35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6A06-EC0E-F040-8870-D30B84B3E6F7}">
  <dimension ref="A1:E5"/>
  <sheetViews>
    <sheetView zoomScale="150" workbookViewId="0">
      <pane ySplit="2" topLeftCell="A3" activePane="bottomLeft" state="frozen"/>
      <selection activeCell="B15" sqref="B15"/>
      <selection pane="bottomLeft" activeCell="A12" sqref="A12"/>
    </sheetView>
  </sheetViews>
  <sheetFormatPr baseColWidth="10" defaultRowHeight="16" x14ac:dyDescent="0.2"/>
  <cols>
    <col min="1" max="1" width="33.1640625" bestFit="1" customWidth="1"/>
    <col min="2" max="2" width="18.33203125" customWidth="1"/>
    <col min="3" max="3" width="6.33203125" customWidth="1"/>
    <col min="4" max="4" width="31.33203125" customWidth="1"/>
    <col min="5" max="5" width="19.1640625" bestFit="1" customWidth="1"/>
  </cols>
  <sheetData>
    <row r="1" spans="1:5" x14ac:dyDescent="0.2">
      <c r="A1" s="28" t="s">
        <v>38</v>
      </c>
      <c r="B1" s="28"/>
      <c r="D1" s="28" t="s">
        <v>39</v>
      </c>
      <c r="E1" s="28"/>
    </row>
    <row r="2" spans="1:5" s="20" customFormat="1" x14ac:dyDescent="0.2">
      <c r="A2" s="1" t="s">
        <v>4</v>
      </c>
      <c r="B2" t="s">
        <v>40</v>
      </c>
      <c r="D2" s="1" t="s">
        <v>26</v>
      </c>
      <c r="E2" t="s">
        <v>120</v>
      </c>
    </row>
    <row r="4" spans="1:5" s="20" customFormat="1" x14ac:dyDescent="0.2">
      <c r="A4" s="19" t="s">
        <v>37</v>
      </c>
      <c r="B4" s="20" t="s">
        <v>42</v>
      </c>
      <c r="D4" s="19" t="s">
        <v>37</v>
      </c>
      <c r="E4" s="20" t="s">
        <v>42</v>
      </c>
    </row>
    <row r="5" spans="1:5" x14ac:dyDescent="0.2">
      <c r="A5" s="2" t="s">
        <v>21</v>
      </c>
      <c r="B5" s="3"/>
      <c r="D5" s="2" t="s">
        <v>21</v>
      </c>
      <c r="E5" s="3"/>
    </row>
  </sheetData>
  <mergeCells count="2">
    <mergeCell ref="A1:B1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E5A1E-3AC5-0848-AD57-72CF2E1C6B32}">
  <dimension ref="A1:E5"/>
  <sheetViews>
    <sheetView zoomScale="150" workbookViewId="0">
      <pane ySplit="2" topLeftCell="A3" activePane="bottomLeft" state="frozen"/>
      <selection activeCell="B15" sqref="B15"/>
      <selection pane="bottomLeft" activeCell="B15" sqref="B15"/>
    </sheetView>
  </sheetViews>
  <sheetFormatPr baseColWidth="10" defaultRowHeight="16" x14ac:dyDescent="0.2"/>
  <cols>
    <col min="1" max="1" width="33.1640625" bestFit="1" customWidth="1"/>
    <col min="2" max="2" width="18.33203125" customWidth="1"/>
    <col min="3" max="3" width="6.33203125" customWidth="1"/>
    <col min="4" max="4" width="31.33203125" customWidth="1"/>
    <col min="5" max="5" width="19.1640625" bestFit="1" customWidth="1"/>
  </cols>
  <sheetData>
    <row r="1" spans="1:5" x14ac:dyDescent="0.2">
      <c r="A1" s="28" t="s">
        <v>38</v>
      </c>
      <c r="B1" s="28"/>
      <c r="D1" s="28" t="s">
        <v>39</v>
      </c>
      <c r="E1" s="28"/>
    </row>
    <row r="2" spans="1:5" s="20" customFormat="1" x14ac:dyDescent="0.2">
      <c r="A2" s="1" t="s">
        <v>4</v>
      </c>
      <c r="B2" t="s">
        <v>40</v>
      </c>
      <c r="D2" s="1" t="s">
        <v>26</v>
      </c>
      <c r="E2" t="s">
        <v>40</v>
      </c>
    </row>
    <row r="4" spans="1:5" s="20" customFormat="1" x14ac:dyDescent="0.2">
      <c r="A4" s="19" t="s">
        <v>37</v>
      </c>
      <c r="B4" s="20" t="s">
        <v>42</v>
      </c>
      <c r="D4" s="19" t="s">
        <v>37</v>
      </c>
      <c r="E4" s="20" t="s">
        <v>42</v>
      </c>
    </row>
    <row r="5" spans="1:5" x14ac:dyDescent="0.2">
      <c r="A5" s="2" t="s">
        <v>21</v>
      </c>
      <c r="B5" s="3"/>
      <c r="D5" s="2" t="s">
        <v>21</v>
      </c>
      <c r="E5" s="3"/>
    </row>
  </sheetData>
  <mergeCells count="2">
    <mergeCell ref="A1:B1"/>
    <mergeCell ref="D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zoomScale="150" workbookViewId="0">
      <pane ySplit="2" topLeftCell="A3" activePane="bottomLeft" state="frozen"/>
      <selection activeCell="B15" sqref="B15"/>
      <selection pane="bottomLeft" activeCell="A24" sqref="A24"/>
    </sheetView>
  </sheetViews>
  <sheetFormatPr baseColWidth="10" defaultRowHeight="16" x14ac:dyDescent="0.2"/>
  <cols>
    <col min="1" max="1" width="35.83203125" customWidth="1"/>
    <col min="2" max="2" width="20.83203125" customWidth="1"/>
    <col min="3" max="3" width="6.33203125" customWidth="1"/>
    <col min="4" max="4" width="35.83203125" customWidth="1"/>
    <col min="5" max="5" width="20.83203125" customWidth="1"/>
  </cols>
  <sheetData>
    <row r="1" spans="1:5" x14ac:dyDescent="0.2">
      <c r="A1" s="28" t="s">
        <v>38</v>
      </c>
      <c r="B1" s="28"/>
      <c r="D1" s="28" t="s">
        <v>39</v>
      </c>
      <c r="E1" s="28"/>
    </row>
    <row r="2" spans="1:5" s="20" customFormat="1" x14ac:dyDescent="0.2">
      <c r="A2" s="1" t="s">
        <v>4</v>
      </c>
      <c r="B2" t="s">
        <v>9</v>
      </c>
      <c r="D2" s="1" t="s">
        <v>26</v>
      </c>
      <c r="E2" t="s">
        <v>9</v>
      </c>
    </row>
    <row r="4" spans="1:5" s="20" customFormat="1" x14ac:dyDescent="0.2">
      <c r="A4" s="19" t="s">
        <v>37</v>
      </c>
      <c r="B4" s="20" t="s">
        <v>42</v>
      </c>
      <c r="D4" s="19" t="s">
        <v>37</v>
      </c>
      <c r="E4" s="20" t="s">
        <v>42</v>
      </c>
    </row>
    <row r="5" spans="1:5" x14ac:dyDescent="0.2">
      <c r="A5" s="2" t="s">
        <v>128</v>
      </c>
      <c r="B5" s="3">
        <v>1500000</v>
      </c>
      <c r="D5" s="2" t="s">
        <v>240</v>
      </c>
      <c r="E5" s="3">
        <v>5770</v>
      </c>
    </row>
    <row r="6" spans="1:5" x14ac:dyDescent="0.2">
      <c r="A6" s="22" t="s">
        <v>127</v>
      </c>
      <c r="B6" s="3">
        <v>1500000</v>
      </c>
      <c r="D6" s="2" t="s">
        <v>245</v>
      </c>
      <c r="E6" s="3">
        <v>10240.14</v>
      </c>
    </row>
    <row r="7" spans="1:5" x14ac:dyDescent="0.2">
      <c r="A7" s="2" t="s">
        <v>80</v>
      </c>
      <c r="B7" s="3">
        <v>85000</v>
      </c>
      <c r="D7" s="2" t="s">
        <v>249</v>
      </c>
      <c r="E7" s="3">
        <v>-1316.41</v>
      </c>
    </row>
    <row r="8" spans="1:5" x14ac:dyDescent="0.2">
      <c r="A8" s="22" t="s">
        <v>123</v>
      </c>
      <c r="B8" s="3">
        <v>40000</v>
      </c>
      <c r="D8" s="2" t="s">
        <v>280</v>
      </c>
      <c r="E8" s="3">
        <v>660</v>
      </c>
    </row>
    <row r="9" spans="1:5" x14ac:dyDescent="0.2">
      <c r="A9" s="22" t="s">
        <v>124</v>
      </c>
      <c r="B9" s="3">
        <v>45000</v>
      </c>
      <c r="D9" s="2" t="s">
        <v>325</v>
      </c>
      <c r="E9" s="3">
        <v>-900</v>
      </c>
    </row>
    <row r="10" spans="1:5" x14ac:dyDescent="0.2">
      <c r="A10" s="2" t="s">
        <v>95</v>
      </c>
      <c r="B10" s="3">
        <v>5000</v>
      </c>
      <c r="D10" s="2" t="s">
        <v>373</v>
      </c>
      <c r="E10" s="3">
        <v>1650</v>
      </c>
    </row>
    <row r="11" spans="1:5" x14ac:dyDescent="0.2">
      <c r="A11" s="22" t="s">
        <v>102</v>
      </c>
      <c r="B11" s="3">
        <v>5000</v>
      </c>
      <c r="D11" s="2" t="s">
        <v>483</v>
      </c>
      <c r="E11" s="3">
        <v>43.96</v>
      </c>
    </row>
    <row r="12" spans="1:5" x14ac:dyDescent="0.2">
      <c r="A12" s="2" t="s">
        <v>21</v>
      </c>
      <c r="B12" s="3">
        <v>1590000</v>
      </c>
      <c r="D12" s="2" t="s">
        <v>485</v>
      </c>
      <c r="E12" s="3">
        <v>89456.94</v>
      </c>
    </row>
    <row r="13" spans="1:5" x14ac:dyDescent="0.2">
      <c r="D13" s="2" t="s">
        <v>489</v>
      </c>
      <c r="E13" s="3">
        <v>1230.25</v>
      </c>
    </row>
    <row r="14" spans="1:5" x14ac:dyDescent="0.2">
      <c r="D14" s="2" t="s">
        <v>493</v>
      </c>
      <c r="E14" s="3">
        <v>880</v>
      </c>
    </row>
    <row r="15" spans="1:5" x14ac:dyDescent="0.2">
      <c r="D15" s="2" t="s">
        <v>884</v>
      </c>
      <c r="E15" s="3">
        <v>12365.85</v>
      </c>
    </row>
    <row r="16" spans="1:5" x14ac:dyDescent="0.2">
      <c r="D16" s="2" t="s">
        <v>973</v>
      </c>
      <c r="E16" s="3">
        <v>4233</v>
      </c>
    </row>
    <row r="17" spans="4:5" x14ac:dyDescent="0.2">
      <c r="D17" s="2" t="s">
        <v>975</v>
      </c>
      <c r="E17" s="3">
        <v>570</v>
      </c>
    </row>
    <row r="18" spans="4:5" x14ac:dyDescent="0.2">
      <c r="D18" s="2" t="s">
        <v>988</v>
      </c>
      <c r="E18" s="3">
        <v>-1071.51</v>
      </c>
    </row>
    <row r="19" spans="4:5" x14ac:dyDescent="0.2">
      <c r="D19" s="2" t="s">
        <v>1050</v>
      </c>
      <c r="E19" s="3">
        <v>14648.649999999998</v>
      </c>
    </row>
    <row r="20" spans="4:5" x14ac:dyDescent="0.2">
      <c r="D20" s="2" t="s">
        <v>21</v>
      </c>
      <c r="E20" s="3">
        <v>138460.87000000002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73CC9-CD8C-9240-8FC8-6432CB243FC4}">
  <dimension ref="A1:E7"/>
  <sheetViews>
    <sheetView zoomScale="150" workbookViewId="0">
      <pane ySplit="2" topLeftCell="A3" activePane="bottomLeft" state="frozen"/>
      <selection pane="bottomLeft" activeCell="E10" sqref="E10"/>
    </sheetView>
  </sheetViews>
  <sheetFormatPr baseColWidth="10" defaultRowHeight="16" x14ac:dyDescent="0.2"/>
  <cols>
    <col min="1" max="1" width="33.1640625" bestFit="1" customWidth="1"/>
    <col min="2" max="2" width="18.33203125" customWidth="1"/>
    <col min="3" max="3" width="6.33203125" customWidth="1"/>
    <col min="4" max="4" width="31.33203125" customWidth="1"/>
    <col min="5" max="5" width="19.1640625" bestFit="1" customWidth="1"/>
  </cols>
  <sheetData>
    <row r="1" spans="1:5" x14ac:dyDescent="0.2">
      <c r="A1" s="28" t="s">
        <v>38</v>
      </c>
      <c r="B1" s="28"/>
      <c r="D1" s="28" t="s">
        <v>39</v>
      </c>
      <c r="E1" s="28"/>
    </row>
    <row r="2" spans="1:5" s="20" customFormat="1" x14ac:dyDescent="0.2">
      <c r="A2" s="1" t="s">
        <v>4</v>
      </c>
      <c r="B2" t="s">
        <v>111</v>
      </c>
      <c r="D2" s="1" t="s">
        <v>26</v>
      </c>
      <c r="E2" t="s">
        <v>40</v>
      </c>
    </row>
    <row r="4" spans="1:5" s="20" customFormat="1" x14ac:dyDescent="0.2">
      <c r="A4" s="19" t="s">
        <v>37</v>
      </c>
      <c r="B4" s="20" t="s">
        <v>42</v>
      </c>
      <c r="D4" s="19" t="s">
        <v>37</v>
      </c>
      <c r="E4" s="20" t="s">
        <v>42</v>
      </c>
    </row>
    <row r="5" spans="1:5" x14ac:dyDescent="0.2">
      <c r="A5" s="2" t="s">
        <v>129</v>
      </c>
      <c r="B5" s="3">
        <v>365000</v>
      </c>
      <c r="D5" s="2" t="s">
        <v>21</v>
      </c>
      <c r="E5" s="3"/>
    </row>
    <row r="6" spans="1:5" x14ac:dyDescent="0.2">
      <c r="A6" s="22" t="s">
        <v>139</v>
      </c>
      <c r="B6" s="3">
        <v>365000</v>
      </c>
    </row>
    <row r="7" spans="1:5" x14ac:dyDescent="0.2">
      <c r="A7" s="2" t="s">
        <v>21</v>
      </c>
      <c r="B7" s="3">
        <v>365000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06BA0-C9EE-6C4F-9094-405107804518}">
  <dimension ref="A1:E5"/>
  <sheetViews>
    <sheetView zoomScale="150" workbookViewId="0">
      <pane ySplit="2" topLeftCell="A3" activePane="bottomLeft" state="frozen"/>
      <selection activeCell="B15" sqref="B15"/>
      <selection pane="bottomLeft" activeCell="E2" sqref="E2"/>
    </sheetView>
  </sheetViews>
  <sheetFormatPr baseColWidth="10" defaultRowHeight="16" x14ac:dyDescent="0.2"/>
  <cols>
    <col min="1" max="1" width="33.1640625" bestFit="1" customWidth="1"/>
    <col min="2" max="2" width="18.33203125" customWidth="1"/>
    <col min="3" max="3" width="6.33203125" customWidth="1"/>
    <col min="4" max="4" width="31.33203125" customWidth="1"/>
    <col min="5" max="5" width="19.1640625" bestFit="1" customWidth="1"/>
  </cols>
  <sheetData>
    <row r="1" spans="1:5" x14ac:dyDescent="0.2">
      <c r="A1" s="28" t="s">
        <v>38</v>
      </c>
      <c r="B1" s="28"/>
      <c r="D1" s="28" t="s">
        <v>39</v>
      </c>
      <c r="E1" s="28"/>
    </row>
    <row r="2" spans="1:5" s="20" customFormat="1" x14ac:dyDescent="0.2">
      <c r="A2" s="1" t="s">
        <v>4</v>
      </c>
      <c r="B2" t="s">
        <v>40</v>
      </c>
      <c r="D2" s="1" t="s">
        <v>26</v>
      </c>
      <c r="E2" t="s">
        <v>40</v>
      </c>
    </row>
    <row r="4" spans="1:5" s="20" customFormat="1" x14ac:dyDescent="0.2">
      <c r="A4" s="19" t="s">
        <v>37</v>
      </c>
      <c r="B4" s="20" t="s">
        <v>42</v>
      </c>
      <c r="D4" s="19" t="s">
        <v>37</v>
      </c>
      <c r="E4" s="20" t="s">
        <v>42</v>
      </c>
    </row>
    <row r="5" spans="1:5" x14ac:dyDescent="0.2">
      <c r="A5" s="2" t="s">
        <v>21</v>
      </c>
      <c r="B5" s="3"/>
      <c r="D5" s="2" t="s">
        <v>21</v>
      </c>
      <c r="E5" s="3"/>
    </row>
  </sheetData>
  <mergeCells count="2">
    <mergeCell ref="A1:B1"/>
    <mergeCell ref="D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48534-0DE2-9F49-A4E3-C14754CCDF39}">
  <dimension ref="A1:E6"/>
  <sheetViews>
    <sheetView zoomScale="150" workbookViewId="0">
      <pane ySplit="2" topLeftCell="A3" activePane="bottomLeft" state="frozen"/>
      <selection activeCell="B15" sqref="B15"/>
      <selection pane="bottomLeft" activeCell="B14" sqref="B14"/>
    </sheetView>
  </sheetViews>
  <sheetFormatPr baseColWidth="10" defaultRowHeight="16" x14ac:dyDescent="0.2"/>
  <cols>
    <col min="1" max="1" width="33.1640625" bestFit="1" customWidth="1"/>
    <col min="2" max="2" width="18.33203125" customWidth="1"/>
    <col min="3" max="3" width="6.33203125" customWidth="1"/>
    <col min="4" max="4" width="31.33203125" customWidth="1"/>
    <col min="5" max="5" width="19.1640625" bestFit="1" customWidth="1"/>
  </cols>
  <sheetData>
    <row r="1" spans="1:5" x14ac:dyDescent="0.2">
      <c r="A1" s="28" t="s">
        <v>38</v>
      </c>
      <c r="B1" s="28"/>
      <c r="D1" s="28" t="s">
        <v>39</v>
      </c>
      <c r="E1" s="28"/>
    </row>
    <row r="2" spans="1:5" s="20" customFormat="1" x14ac:dyDescent="0.2">
      <c r="A2" s="1" t="s">
        <v>4</v>
      </c>
      <c r="B2" t="s">
        <v>52</v>
      </c>
      <c r="D2" s="1" t="s">
        <v>26</v>
      </c>
      <c r="E2" t="s">
        <v>52</v>
      </c>
    </row>
    <row r="4" spans="1:5" s="20" customFormat="1" x14ac:dyDescent="0.2">
      <c r="A4" s="19" t="s">
        <v>37</v>
      </c>
      <c r="B4" s="20" t="s">
        <v>42</v>
      </c>
      <c r="D4" s="19" t="s">
        <v>37</v>
      </c>
      <c r="E4" s="20" t="s">
        <v>42</v>
      </c>
    </row>
    <row r="5" spans="1:5" x14ac:dyDescent="0.2">
      <c r="A5" s="2" t="s">
        <v>51</v>
      </c>
      <c r="B5" s="3">
        <v>130000</v>
      </c>
      <c r="D5" s="2" t="s">
        <v>51</v>
      </c>
      <c r="E5" s="3">
        <v>251143.00000000003</v>
      </c>
    </row>
    <row r="6" spans="1:5" x14ac:dyDescent="0.2">
      <c r="A6" s="2" t="s">
        <v>21</v>
      </c>
      <c r="B6" s="3">
        <v>130000</v>
      </c>
      <c r="D6" s="2" t="s">
        <v>21</v>
      </c>
      <c r="E6" s="3">
        <v>251143.00000000003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664D-3950-594F-B4C6-0DB5E6EEFF1B}">
  <dimension ref="A1:E12"/>
  <sheetViews>
    <sheetView zoomScale="150" workbookViewId="0">
      <pane ySplit="2" topLeftCell="A3" activePane="bottomLeft" state="frozen"/>
      <selection activeCell="B15" sqref="B15"/>
      <selection pane="bottomLeft" activeCell="B15" sqref="B15"/>
    </sheetView>
  </sheetViews>
  <sheetFormatPr baseColWidth="10" defaultRowHeight="16" x14ac:dyDescent="0.2"/>
  <cols>
    <col min="1" max="1" width="33.1640625" bestFit="1" customWidth="1"/>
    <col min="2" max="2" width="18.33203125" customWidth="1"/>
    <col min="3" max="3" width="6.33203125" customWidth="1"/>
    <col min="4" max="4" width="31.33203125" customWidth="1"/>
    <col min="5" max="5" width="19.1640625" bestFit="1" customWidth="1"/>
  </cols>
  <sheetData>
    <row r="1" spans="1:5" x14ac:dyDescent="0.2">
      <c r="A1" s="28" t="s">
        <v>38</v>
      </c>
      <c r="B1" s="28"/>
      <c r="D1" s="28" t="s">
        <v>39</v>
      </c>
      <c r="E1" s="28"/>
    </row>
    <row r="2" spans="1:5" s="20" customFormat="1" x14ac:dyDescent="0.2">
      <c r="A2" s="1" t="s">
        <v>4</v>
      </c>
      <c r="B2" t="s">
        <v>9</v>
      </c>
      <c r="D2" s="1" t="s">
        <v>26</v>
      </c>
      <c r="E2" t="s">
        <v>40</v>
      </c>
    </row>
    <row r="4" spans="1:5" s="20" customFormat="1" x14ac:dyDescent="0.2">
      <c r="A4" s="19" t="s">
        <v>37</v>
      </c>
      <c r="B4" s="20" t="s">
        <v>42</v>
      </c>
      <c r="D4" s="19" t="s">
        <v>37</v>
      </c>
      <c r="E4" s="20" t="s">
        <v>42</v>
      </c>
    </row>
    <row r="5" spans="1:5" x14ac:dyDescent="0.2">
      <c r="A5" s="2" t="s">
        <v>128</v>
      </c>
      <c r="B5" s="3">
        <v>1500000</v>
      </c>
      <c r="D5" s="2" t="s">
        <v>21</v>
      </c>
      <c r="E5" s="3"/>
    </row>
    <row r="6" spans="1:5" x14ac:dyDescent="0.2">
      <c r="A6" s="22" t="s">
        <v>127</v>
      </c>
      <c r="B6" s="3">
        <v>1500000</v>
      </c>
    </row>
    <row r="7" spans="1:5" x14ac:dyDescent="0.2">
      <c r="A7" s="2" t="s">
        <v>80</v>
      </c>
      <c r="B7" s="3">
        <v>85000</v>
      </c>
    </row>
    <row r="8" spans="1:5" x14ac:dyDescent="0.2">
      <c r="A8" s="22" t="s">
        <v>123</v>
      </c>
      <c r="B8" s="3">
        <v>40000</v>
      </c>
    </row>
    <row r="9" spans="1:5" x14ac:dyDescent="0.2">
      <c r="A9" s="22" t="s">
        <v>124</v>
      </c>
      <c r="B9" s="3">
        <v>45000</v>
      </c>
    </row>
    <row r="10" spans="1:5" x14ac:dyDescent="0.2">
      <c r="A10" s="2" t="s">
        <v>95</v>
      </c>
      <c r="B10" s="3">
        <v>5000</v>
      </c>
    </row>
    <row r="11" spans="1:5" x14ac:dyDescent="0.2">
      <c r="A11" s="22" t="s">
        <v>102</v>
      </c>
      <c r="B11" s="3">
        <v>5000</v>
      </c>
    </row>
    <row r="12" spans="1:5" x14ac:dyDescent="0.2">
      <c r="A12" s="2" t="s">
        <v>21</v>
      </c>
      <c r="B12" s="3">
        <v>1590000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24A65-CD48-5E42-83AE-7AFD28B5560C}">
  <dimension ref="A1:E5"/>
  <sheetViews>
    <sheetView zoomScale="150" workbookViewId="0">
      <pane ySplit="2" topLeftCell="A3" activePane="bottomLeft" state="frozen"/>
      <selection activeCell="B15" sqref="B15"/>
      <selection pane="bottomLeft" activeCell="C13" sqref="C13"/>
    </sheetView>
  </sheetViews>
  <sheetFormatPr baseColWidth="10" defaultRowHeight="16" x14ac:dyDescent="0.2"/>
  <cols>
    <col min="1" max="1" width="33.1640625" bestFit="1" customWidth="1"/>
    <col min="2" max="2" width="18.33203125" customWidth="1"/>
    <col min="3" max="3" width="6.33203125" customWidth="1"/>
    <col min="4" max="4" width="31.33203125" customWidth="1"/>
    <col min="5" max="5" width="19.1640625" bestFit="1" customWidth="1"/>
  </cols>
  <sheetData>
    <row r="1" spans="1:5" x14ac:dyDescent="0.2">
      <c r="A1" s="28" t="s">
        <v>38</v>
      </c>
      <c r="B1" s="28"/>
      <c r="D1" s="28" t="s">
        <v>39</v>
      </c>
      <c r="E1" s="28"/>
    </row>
    <row r="2" spans="1:5" s="20" customFormat="1" x14ac:dyDescent="0.2">
      <c r="A2" s="1" t="s">
        <v>4</v>
      </c>
      <c r="B2" t="s">
        <v>40</v>
      </c>
      <c r="D2" s="1" t="s">
        <v>26</v>
      </c>
      <c r="E2" t="s">
        <v>144</v>
      </c>
    </row>
    <row r="4" spans="1:5" s="20" customFormat="1" x14ac:dyDescent="0.2">
      <c r="A4" s="19" t="s">
        <v>37</v>
      </c>
      <c r="B4" s="20" t="s">
        <v>42</v>
      </c>
      <c r="D4" s="19" t="s">
        <v>37</v>
      </c>
      <c r="E4" s="20" t="s">
        <v>42</v>
      </c>
    </row>
    <row r="5" spans="1:5" x14ac:dyDescent="0.2">
      <c r="A5" s="2" t="s">
        <v>21</v>
      </c>
      <c r="B5" s="3"/>
      <c r="D5" s="2" t="s">
        <v>21</v>
      </c>
      <c r="E5" s="3"/>
    </row>
  </sheetData>
  <mergeCells count="2">
    <mergeCell ref="A1:B1"/>
    <mergeCell ref="D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FF59E-284B-604A-9305-BA05EDF09B35}">
  <dimension ref="A1:E20"/>
  <sheetViews>
    <sheetView zoomScale="150" workbookViewId="0">
      <pane ySplit="2" topLeftCell="A3" activePane="bottomLeft" state="frozen"/>
      <selection activeCell="B15" sqref="B15"/>
      <selection pane="bottomLeft" activeCell="D18" sqref="D18"/>
    </sheetView>
  </sheetViews>
  <sheetFormatPr baseColWidth="10" defaultRowHeight="16" x14ac:dyDescent="0.2"/>
  <cols>
    <col min="1" max="1" width="43" bestFit="1" customWidth="1"/>
    <col min="2" max="2" width="17.5" bestFit="1" customWidth="1"/>
    <col min="3" max="3" width="6.33203125" customWidth="1"/>
    <col min="4" max="4" width="40.1640625" bestFit="1" customWidth="1"/>
    <col min="5" max="5" width="17.5" bestFit="1" customWidth="1"/>
  </cols>
  <sheetData>
    <row r="1" spans="1:5" x14ac:dyDescent="0.2">
      <c r="A1" s="28" t="s">
        <v>38</v>
      </c>
      <c r="B1" s="28"/>
      <c r="D1" s="28" t="s">
        <v>39</v>
      </c>
      <c r="E1" s="28"/>
    </row>
    <row r="2" spans="1:5" s="20" customFormat="1" x14ac:dyDescent="0.2">
      <c r="A2" s="1" t="s">
        <v>4</v>
      </c>
      <c r="B2" t="s">
        <v>15</v>
      </c>
      <c r="D2" s="1" t="s">
        <v>26</v>
      </c>
      <c r="E2" t="s">
        <v>15</v>
      </c>
    </row>
    <row r="4" spans="1:5" s="20" customFormat="1" x14ac:dyDescent="0.2">
      <c r="A4" s="19" t="s">
        <v>37</v>
      </c>
      <c r="B4" s="20" t="s">
        <v>42</v>
      </c>
      <c r="D4" s="19" t="s">
        <v>37</v>
      </c>
      <c r="E4" s="20" t="s">
        <v>42</v>
      </c>
    </row>
    <row r="5" spans="1:5" x14ac:dyDescent="0.2">
      <c r="A5" s="2" t="s">
        <v>67</v>
      </c>
      <c r="B5" s="3">
        <v>85000</v>
      </c>
      <c r="D5" s="2" t="s">
        <v>67</v>
      </c>
      <c r="E5" s="3">
        <v>84548.73</v>
      </c>
    </row>
    <row r="6" spans="1:5" x14ac:dyDescent="0.2">
      <c r="A6" s="2" t="s">
        <v>58</v>
      </c>
      <c r="B6" s="3">
        <v>30000</v>
      </c>
      <c r="D6" s="2" t="s">
        <v>327</v>
      </c>
      <c r="E6" s="3">
        <v>92488.31</v>
      </c>
    </row>
    <row r="7" spans="1:5" x14ac:dyDescent="0.2">
      <c r="A7" s="22" t="s">
        <v>57</v>
      </c>
      <c r="B7" s="3">
        <v>30000</v>
      </c>
      <c r="D7" s="2" t="s">
        <v>14</v>
      </c>
      <c r="E7" s="3">
        <v>44479.95</v>
      </c>
    </row>
    <row r="8" spans="1:5" x14ac:dyDescent="0.2">
      <c r="A8" s="2" t="s">
        <v>59</v>
      </c>
      <c r="B8" s="3">
        <v>6000</v>
      </c>
      <c r="D8" s="2" t="s">
        <v>449</v>
      </c>
      <c r="E8" s="3">
        <v>1811.32</v>
      </c>
    </row>
    <row r="9" spans="1:5" x14ac:dyDescent="0.2">
      <c r="A9" s="22" t="s">
        <v>157</v>
      </c>
      <c r="B9" s="3">
        <v>6000</v>
      </c>
      <c r="D9" s="2" t="s">
        <v>471</v>
      </c>
      <c r="E9" s="3">
        <v>627.45000000000005</v>
      </c>
    </row>
    <row r="10" spans="1:5" x14ac:dyDescent="0.2">
      <c r="A10" s="2" t="s">
        <v>149</v>
      </c>
      <c r="B10" s="3">
        <v>40000</v>
      </c>
      <c r="D10" s="2" t="s">
        <v>772</v>
      </c>
      <c r="E10" s="3">
        <v>4862.87</v>
      </c>
    </row>
    <row r="11" spans="1:5" x14ac:dyDescent="0.2">
      <c r="A11" s="22" t="s">
        <v>154</v>
      </c>
      <c r="B11" s="3">
        <v>40000</v>
      </c>
      <c r="D11" s="2" t="s">
        <v>54</v>
      </c>
      <c r="E11" s="3">
        <v>1462.41</v>
      </c>
    </row>
    <row r="12" spans="1:5" x14ac:dyDescent="0.2">
      <c r="A12" s="2" t="s">
        <v>14</v>
      </c>
      <c r="B12" s="3">
        <v>90000</v>
      </c>
      <c r="D12" s="2" t="s">
        <v>889</v>
      </c>
      <c r="E12" s="3">
        <v>268.23</v>
      </c>
    </row>
    <row r="13" spans="1:5" x14ac:dyDescent="0.2">
      <c r="A13" s="2" t="s">
        <v>148</v>
      </c>
      <c r="B13" s="3">
        <v>60000</v>
      </c>
      <c r="D13" s="2" t="s">
        <v>999</v>
      </c>
      <c r="E13" s="3">
        <v>572.02</v>
      </c>
    </row>
    <row r="14" spans="1:5" x14ac:dyDescent="0.2">
      <c r="A14" s="22" t="s">
        <v>156</v>
      </c>
      <c r="B14" s="3">
        <v>60000</v>
      </c>
      <c r="D14" s="2" t="s">
        <v>21</v>
      </c>
      <c r="E14" s="3">
        <v>231121.29</v>
      </c>
    </row>
    <row r="15" spans="1:5" x14ac:dyDescent="0.2">
      <c r="A15" s="2" t="s">
        <v>160</v>
      </c>
      <c r="B15" s="3">
        <v>150000</v>
      </c>
    </row>
    <row r="16" spans="1:5" x14ac:dyDescent="0.2">
      <c r="A16" s="22" t="s">
        <v>159</v>
      </c>
      <c r="B16" s="3">
        <v>150000</v>
      </c>
    </row>
    <row r="17" spans="1:2" x14ac:dyDescent="0.2">
      <c r="A17" s="2" t="s">
        <v>54</v>
      </c>
      <c r="B17" s="3">
        <v>365000</v>
      </c>
    </row>
    <row r="18" spans="1:2" x14ac:dyDescent="0.2">
      <c r="A18" s="2" t="s">
        <v>71</v>
      </c>
      <c r="B18" s="3">
        <v>30000</v>
      </c>
    </row>
    <row r="19" spans="1:2" x14ac:dyDescent="0.2">
      <c r="A19" s="22" t="s">
        <v>81</v>
      </c>
      <c r="B19" s="3">
        <v>30000</v>
      </c>
    </row>
    <row r="20" spans="1:2" x14ac:dyDescent="0.2">
      <c r="A20" s="2" t="s">
        <v>21</v>
      </c>
      <c r="B20" s="3">
        <v>856000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1B94B-75B8-9844-B18E-FA6D2502B76D}">
  <dimension ref="A1:E8"/>
  <sheetViews>
    <sheetView zoomScale="150" workbookViewId="0">
      <pane ySplit="2" topLeftCell="A3" activePane="bottomLeft" state="frozen"/>
      <selection activeCell="B15" sqref="B15"/>
      <selection pane="bottomLeft" activeCell="B15" sqref="B15"/>
    </sheetView>
  </sheetViews>
  <sheetFormatPr baseColWidth="10" defaultRowHeight="16" x14ac:dyDescent="0.2"/>
  <cols>
    <col min="1" max="1" width="43" bestFit="1" customWidth="1"/>
    <col min="2" max="2" width="17.5" bestFit="1" customWidth="1"/>
    <col min="3" max="3" width="6.33203125" customWidth="1"/>
    <col min="4" max="4" width="40.1640625" bestFit="1" customWidth="1"/>
    <col min="5" max="5" width="17.5" bestFit="1" customWidth="1"/>
  </cols>
  <sheetData>
    <row r="1" spans="1:5" x14ac:dyDescent="0.2">
      <c r="A1" s="28" t="s">
        <v>38</v>
      </c>
      <c r="B1" s="28"/>
      <c r="D1" s="28" t="s">
        <v>39</v>
      </c>
      <c r="E1" s="28"/>
    </row>
    <row r="2" spans="1:5" s="20" customFormat="1" x14ac:dyDescent="0.2">
      <c r="A2" s="1" t="s">
        <v>4</v>
      </c>
      <c r="B2" t="s">
        <v>16</v>
      </c>
      <c r="D2" s="1" t="s">
        <v>26</v>
      </c>
      <c r="E2" t="s">
        <v>40</v>
      </c>
    </row>
    <row r="4" spans="1:5" s="20" customFormat="1" x14ac:dyDescent="0.2">
      <c r="A4" s="19" t="s">
        <v>37</v>
      </c>
      <c r="B4" s="20" t="s">
        <v>42</v>
      </c>
      <c r="D4" s="19" t="s">
        <v>37</v>
      </c>
      <c r="E4" s="20" t="s">
        <v>42</v>
      </c>
    </row>
    <row r="5" spans="1:5" x14ac:dyDescent="0.2">
      <c r="A5" s="2" t="s">
        <v>99</v>
      </c>
      <c r="B5" s="3">
        <v>50000</v>
      </c>
      <c r="D5" s="2" t="s">
        <v>21</v>
      </c>
      <c r="E5" s="3"/>
    </row>
    <row r="6" spans="1:5" x14ac:dyDescent="0.2">
      <c r="A6" s="2" t="s">
        <v>36</v>
      </c>
      <c r="B6" s="3">
        <v>21995</v>
      </c>
    </row>
    <row r="7" spans="1:5" x14ac:dyDescent="0.2">
      <c r="A7" s="2" t="s">
        <v>17</v>
      </c>
      <c r="B7" s="3">
        <v>102555</v>
      </c>
    </row>
    <row r="8" spans="1:5" x14ac:dyDescent="0.2">
      <c r="A8" s="2" t="s">
        <v>21</v>
      </c>
      <c r="B8" s="3">
        <v>174550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03E65-9555-4248-9AC6-B3F68A50AB16}">
  <dimension ref="A1:E7"/>
  <sheetViews>
    <sheetView zoomScale="150" workbookViewId="0">
      <pane ySplit="2" topLeftCell="A3" activePane="bottomLeft" state="frozen"/>
      <selection activeCell="B15" sqref="B15"/>
      <selection pane="bottomLeft" activeCell="B17" sqref="B17"/>
    </sheetView>
  </sheetViews>
  <sheetFormatPr baseColWidth="10" defaultRowHeight="16" x14ac:dyDescent="0.2"/>
  <cols>
    <col min="1" max="1" width="43" bestFit="1" customWidth="1"/>
    <col min="2" max="2" width="17.5" bestFit="1" customWidth="1"/>
    <col min="3" max="3" width="6.33203125" customWidth="1"/>
    <col min="4" max="4" width="40.1640625" bestFit="1" customWidth="1"/>
    <col min="5" max="5" width="17.5" bestFit="1" customWidth="1"/>
  </cols>
  <sheetData>
    <row r="1" spans="1:5" x14ac:dyDescent="0.2">
      <c r="A1" s="28" t="s">
        <v>38</v>
      </c>
      <c r="B1" s="28"/>
      <c r="D1" s="28" t="s">
        <v>39</v>
      </c>
      <c r="E1" s="28"/>
    </row>
    <row r="2" spans="1:5" s="20" customFormat="1" x14ac:dyDescent="0.2">
      <c r="A2" s="1" t="s">
        <v>4</v>
      </c>
      <c r="B2" t="s">
        <v>122</v>
      </c>
      <c r="D2" s="1" t="s">
        <v>26</v>
      </c>
      <c r="E2" t="s">
        <v>122</v>
      </c>
    </row>
    <row r="4" spans="1:5" s="20" customFormat="1" x14ac:dyDescent="0.2">
      <c r="A4" s="19" t="s">
        <v>37</v>
      </c>
      <c r="B4" s="20" t="s">
        <v>42</v>
      </c>
      <c r="D4" s="19" t="s">
        <v>37</v>
      </c>
      <c r="E4" s="20" t="s">
        <v>42</v>
      </c>
    </row>
    <row r="5" spans="1:5" x14ac:dyDescent="0.2">
      <c r="A5" s="2" t="s">
        <v>147</v>
      </c>
      <c r="B5" s="3">
        <v>90000</v>
      </c>
      <c r="D5" s="2" t="s">
        <v>443</v>
      </c>
      <c r="E5" s="3">
        <v>3610</v>
      </c>
    </row>
    <row r="6" spans="1:5" x14ac:dyDescent="0.2">
      <c r="A6" s="22" t="s">
        <v>167</v>
      </c>
      <c r="B6" s="3">
        <v>90000</v>
      </c>
      <c r="D6" s="2" t="s">
        <v>977</v>
      </c>
      <c r="E6" s="3">
        <v>92206.67</v>
      </c>
    </row>
    <row r="7" spans="1:5" x14ac:dyDescent="0.2">
      <c r="A7" s="2" t="s">
        <v>21</v>
      </c>
      <c r="B7" s="3">
        <v>90000</v>
      </c>
      <c r="D7" s="2" t="s">
        <v>21</v>
      </c>
      <c r="E7" s="3">
        <v>95816.67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DE177-BEE4-A54A-9FBF-A83367ACFE65}">
  <dimension ref="A1:E10"/>
  <sheetViews>
    <sheetView zoomScale="150" workbookViewId="0">
      <pane ySplit="2" topLeftCell="A3" activePane="bottomLeft" state="frozen"/>
      <selection activeCell="B15" sqref="B15"/>
      <selection pane="bottomLeft" activeCell="D15" sqref="D15"/>
    </sheetView>
  </sheetViews>
  <sheetFormatPr baseColWidth="10" defaultRowHeight="16" x14ac:dyDescent="0.2"/>
  <cols>
    <col min="1" max="1" width="25.5" bestFit="1" customWidth="1"/>
    <col min="2" max="2" width="18" bestFit="1" customWidth="1"/>
    <col min="3" max="3" width="6.33203125" customWidth="1"/>
    <col min="4" max="4" width="23.83203125" bestFit="1" customWidth="1"/>
    <col min="5" max="5" width="18" bestFit="1" customWidth="1"/>
  </cols>
  <sheetData>
    <row r="1" spans="1:5" x14ac:dyDescent="0.2">
      <c r="A1" s="28" t="s">
        <v>38</v>
      </c>
      <c r="B1" s="28"/>
      <c r="D1" s="28" t="s">
        <v>39</v>
      </c>
      <c r="E1" s="28"/>
    </row>
    <row r="2" spans="1:5" x14ac:dyDescent="0.2">
      <c r="A2" s="1" t="s">
        <v>4</v>
      </c>
      <c r="B2" t="s">
        <v>47</v>
      </c>
      <c r="D2" s="1" t="s">
        <v>26</v>
      </c>
      <c r="E2" t="s">
        <v>47</v>
      </c>
    </row>
    <row r="4" spans="1:5" s="20" customFormat="1" x14ac:dyDescent="0.2">
      <c r="A4" s="19" t="s">
        <v>37</v>
      </c>
      <c r="B4" s="20" t="s">
        <v>42</v>
      </c>
      <c r="D4" s="19" t="s">
        <v>37</v>
      </c>
      <c r="E4" s="20" t="s">
        <v>42</v>
      </c>
    </row>
    <row r="5" spans="1:5" x14ac:dyDescent="0.2">
      <c r="A5" s="2" t="s">
        <v>172</v>
      </c>
      <c r="B5" s="3">
        <v>350000</v>
      </c>
      <c r="D5" s="2" t="s">
        <v>296</v>
      </c>
      <c r="E5" s="3">
        <v>206957.95</v>
      </c>
    </row>
    <row r="6" spans="1:5" x14ac:dyDescent="0.2">
      <c r="A6" s="22" t="s">
        <v>171</v>
      </c>
      <c r="B6" s="3">
        <v>350000</v>
      </c>
      <c r="D6" s="2" t="s">
        <v>698</v>
      </c>
      <c r="E6" s="3">
        <v>6190.17</v>
      </c>
    </row>
    <row r="7" spans="1:5" x14ac:dyDescent="0.2">
      <c r="A7" s="2" t="s">
        <v>170</v>
      </c>
      <c r="B7" s="3">
        <v>200000</v>
      </c>
      <c r="D7" s="2" t="s">
        <v>169</v>
      </c>
      <c r="E7" s="3">
        <v>288113.87</v>
      </c>
    </row>
    <row r="8" spans="1:5" x14ac:dyDescent="0.2">
      <c r="A8" s="22" t="s">
        <v>169</v>
      </c>
      <c r="B8" s="3">
        <v>200000</v>
      </c>
      <c r="D8" s="2" t="s">
        <v>828</v>
      </c>
      <c r="E8" s="3">
        <v>264</v>
      </c>
    </row>
    <row r="9" spans="1:5" x14ac:dyDescent="0.2">
      <c r="A9" s="2" t="s">
        <v>21</v>
      </c>
      <c r="B9" s="3">
        <v>550000</v>
      </c>
      <c r="D9" s="2" t="s">
        <v>984</v>
      </c>
      <c r="E9" s="3">
        <v>252105.8</v>
      </c>
    </row>
    <row r="10" spans="1:5" x14ac:dyDescent="0.2">
      <c r="D10" s="2" t="s">
        <v>21</v>
      </c>
      <c r="E10" s="3">
        <v>753631.79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F8989-03A0-1A4C-814C-FE564A3F005E}">
  <dimension ref="A1:E8"/>
  <sheetViews>
    <sheetView zoomScale="150" workbookViewId="0">
      <pane ySplit="2" topLeftCell="A3" activePane="bottomLeft" state="frozen"/>
      <selection activeCell="B15" sqref="B15"/>
      <selection pane="bottomLeft" activeCell="D12" sqref="D12"/>
    </sheetView>
  </sheetViews>
  <sheetFormatPr baseColWidth="10" defaultRowHeight="16" x14ac:dyDescent="0.2"/>
  <cols>
    <col min="1" max="1" width="19.6640625" bestFit="1" customWidth="1"/>
    <col min="2" max="2" width="14.1640625" bestFit="1" customWidth="1"/>
    <col min="3" max="3" width="6.33203125" customWidth="1"/>
    <col min="4" max="4" width="22.6640625" bestFit="1" customWidth="1"/>
    <col min="5" max="5" width="14.1640625" bestFit="1" customWidth="1"/>
  </cols>
  <sheetData>
    <row r="1" spans="1:5" x14ac:dyDescent="0.2">
      <c r="A1" s="28" t="s">
        <v>38</v>
      </c>
      <c r="B1" s="28"/>
      <c r="D1" s="28" t="s">
        <v>39</v>
      </c>
      <c r="E1" s="28"/>
    </row>
    <row r="2" spans="1:5" x14ac:dyDescent="0.2">
      <c r="A2" s="1" t="s">
        <v>4</v>
      </c>
      <c r="B2" t="s">
        <v>18</v>
      </c>
      <c r="D2" s="1" t="s">
        <v>26</v>
      </c>
      <c r="E2" t="s">
        <v>18</v>
      </c>
    </row>
    <row r="4" spans="1:5" s="20" customFormat="1" x14ac:dyDescent="0.2">
      <c r="A4" s="19" t="s">
        <v>37</v>
      </c>
      <c r="B4" s="20" t="s">
        <v>42</v>
      </c>
      <c r="D4" s="19" t="s">
        <v>37</v>
      </c>
      <c r="E4" s="20" t="s">
        <v>42</v>
      </c>
    </row>
    <row r="5" spans="1:5" x14ac:dyDescent="0.2">
      <c r="A5" s="2" t="s">
        <v>44</v>
      </c>
      <c r="B5" s="3">
        <v>570000</v>
      </c>
      <c r="D5" s="2" t="s">
        <v>646</v>
      </c>
      <c r="E5" s="3">
        <v>828699.10999999987</v>
      </c>
    </row>
    <row r="6" spans="1:5" x14ac:dyDescent="0.2">
      <c r="A6" s="22" t="s">
        <v>91</v>
      </c>
      <c r="B6" s="3">
        <v>120000</v>
      </c>
      <c r="D6" s="2" t="s">
        <v>500</v>
      </c>
      <c r="E6" s="3">
        <v>142037.47999999992</v>
      </c>
    </row>
    <row r="7" spans="1:5" x14ac:dyDescent="0.2">
      <c r="A7" s="22" t="s">
        <v>173</v>
      </c>
      <c r="B7" s="3">
        <v>450000</v>
      </c>
      <c r="D7" s="2" t="s">
        <v>21</v>
      </c>
      <c r="E7" s="3">
        <v>970736.58999999985</v>
      </c>
    </row>
    <row r="8" spans="1:5" x14ac:dyDescent="0.2">
      <c r="A8" s="2" t="s">
        <v>21</v>
      </c>
      <c r="B8" s="3">
        <v>570000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8D74-3CAD-A54C-96DF-9DE44F608756}">
  <dimension ref="A1:E21"/>
  <sheetViews>
    <sheetView zoomScale="150" workbookViewId="0">
      <pane ySplit="2" topLeftCell="A3" activePane="bottomLeft" state="frozen"/>
      <selection activeCell="B15" sqref="B15"/>
      <selection pane="bottomLeft" activeCell="B15" sqref="B15"/>
    </sheetView>
  </sheetViews>
  <sheetFormatPr baseColWidth="10" defaultRowHeight="16" x14ac:dyDescent="0.2"/>
  <cols>
    <col min="1" max="1" width="34.33203125" customWidth="1"/>
    <col min="2" max="2" width="14.6640625" bestFit="1" customWidth="1"/>
    <col min="3" max="3" width="6.33203125" customWidth="1"/>
    <col min="4" max="4" width="35.6640625" customWidth="1"/>
    <col min="5" max="5" width="14.6640625" bestFit="1" customWidth="1"/>
  </cols>
  <sheetData>
    <row r="1" spans="1:5" x14ac:dyDescent="0.2">
      <c r="A1" s="28" t="s">
        <v>38</v>
      </c>
      <c r="B1" s="28"/>
      <c r="D1" s="28" t="s">
        <v>39</v>
      </c>
      <c r="E1" s="28"/>
    </row>
    <row r="2" spans="1:5" s="20" customFormat="1" x14ac:dyDescent="0.2">
      <c r="A2" s="1" t="s">
        <v>4</v>
      </c>
      <c r="B2" t="s">
        <v>46</v>
      </c>
      <c r="D2" s="1" t="s">
        <v>26</v>
      </c>
      <c r="E2" t="s">
        <v>46</v>
      </c>
    </row>
    <row r="4" spans="1:5" s="20" customFormat="1" x14ac:dyDescent="0.2">
      <c r="A4" s="19" t="s">
        <v>37</v>
      </c>
      <c r="B4" s="20" t="s">
        <v>42</v>
      </c>
      <c r="D4" s="19" t="s">
        <v>37</v>
      </c>
      <c r="E4" s="20" t="s">
        <v>42</v>
      </c>
    </row>
    <row r="5" spans="1:5" x14ac:dyDescent="0.2">
      <c r="A5" s="2" t="s">
        <v>63</v>
      </c>
      <c r="B5" s="3">
        <v>339740</v>
      </c>
      <c r="D5" s="2" t="s">
        <v>275</v>
      </c>
      <c r="E5" s="3">
        <v>66450.049999999988</v>
      </c>
    </row>
    <row r="6" spans="1:5" x14ac:dyDescent="0.2">
      <c r="A6" s="22" t="s">
        <v>176</v>
      </c>
      <c r="B6" s="3">
        <v>339740</v>
      </c>
      <c r="D6" s="2" t="s">
        <v>378</v>
      </c>
      <c r="E6" s="3">
        <v>9670.0400000000009</v>
      </c>
    </row>
    <row r="7" spans="1:5" x14ac:dyDescent="0.2">
      <c r="A7" s="2" t="s">
        <v>121</v>
      </c>
      <c r="B7" s="3">
        <v>250264</v>
      </c>
      <c r="D7" s="2" t="s">
        <v>409</v>
      </c>
      <c r="E7" s="3">
        <v>282743.86</v>
      </c>
    </row>
    <row r="8" spans="1:5" x14ac:dyDescent="0.2">
      <c r="A8" s="22" t="s">
        <v>177</v>
      </c>
      <c r="B8" s="3">
        <v>250264</v>
      </c>
      <c r="D8" s="2" t="s">
        <v>425</v>
      </c>
      <c r="E8" s="3">
        <v>76740.02</v>
      </c>
    </row>
    <row r="9" spans="1:5" x14ac:dyDescent="0.2">
      <c r="A9" s="2" t="s">
        <v>103</v>
      </c>
      <c r="B9" s="3">
        <v>4419000</v>
      </c>
      <c r="D9" s="2" t="s">
        <v>454</v>
      </c>
      <c r="E9" s="3">
        <v>-2255.0400000000009</v>
      </c>
    </row>
    <row r="10" spans="1:5" x14ac:dyDescent="0.2">
      <c r="A10" s="22" t="s">
        <v>178</v>
      </c>
      <c r="B10" s="3">
        <v>869000</v>
      </c>
      <c r="D10" s="2" t="s">
        <v>459</v>
      </c>
      <c r="E10" s="3">
        <v>714362.25</v>
      </c>
    </row>
    <row r="11" spans="1:5" x14ac:dyDescent="0.2">
      <c r="A11" s="22" t="s">
        <v>180</v>
      </c>
      <c r="B11" s="3">
        <v>1900000</v>
      </c>
      <c r="D11" s="2" t="s">
        <v>474</v>
      </c>
      <c r="E11" s="3">
        <v>371434.85</v>
      </c>
    </row>
    <row r="12" spans="1:5" x14ac:dyDescent="0.2">
      <c r="A12" s="22" t="s">
        <v>181</v>
      </c>
      <c r="B12" s="3">
        <v>650000</v>
      </c>
      <c r="D12" s="2" t="s">
        <v>701</v>
      </c>
      <c r="E12" s="3">
        <v>46207.43</v>
      </c>
    </row>
    <row r="13" spans="1:5" x14ac:dyDescent="0.2">
      <c r="A13" s="22" t="s">
        <v>182</v>
      </c>
      <c r="B13" s="3">
        <v>1000000</v>
      </c>
      <c r="D13" s="2" t="s">
        <v>776</v>
      </c>
      <c r="E13" s="3">
        <v>550.73</v>
      </c>
    </row>
    <row r="14" spans="1:5" x14ac:dyDescent="0.2">
      <c r="A14" s="2" t="s">
        <v>68</v>
      </c>
      <c r="B14" s="3">
        <v>4500000</v>
      </c>
      <c r="D14" s="2" t="s">
        <v>778</v>
      </c>
      <c r="E14" s="3">
        <v>-335</v>
      </c>
    </row>
    <row r="15" spans="1:5" x14ac:dyDescent="0.2">
      <c r="A15" s="22" t="s">
        <v>92</v>
      </c>
      <c r="B15" s="3">
        <v>1500000</v>
      </c>
      <c r="D15" s="2" t="s">
        <v>798</v>
      </c>
      <c r="E15" s="3">
        <v>90053.08</v>
      </c>
    </row>
    <row r="16" spans="1:5" x14ac:dyDescent="0.2">
      <c r="A16" s="22" t="s">
        <v>93</v>
      </c>
      <c r="B16" s="3">
        <v>3000000</v>
      </c>
      <c r="D16" s="2" t="s">
        <v>860</v>
      </c>
      <c r="E16" s="3">
        <v>45634.090000000004</v>
      </c>
    </row>
    <row r="17" spans="1:5" x14ac:dyDescent="0.2">
      <c r="A17" s="2" t="s">
        <v>175</v>
      </c>
      <c r="B17" s="3">
        <v>96000</v>
      </c>
      <c r="D17" s="2" t="s">
        <v>923</v>
      </c>
      <c r="E17" s="3">
        <v>4208412.0200000005</v>
      </c>
    </row>
    <row r="18" spans="1:5" x14ac:dyDescent="0.2">
      <c r="A18" s="22" t="s">
        <v>174</v>
      </c>
      <c r="B18" s="3">
        <v>96000</v>
      </c>
      <c r="D18" s="2" t="s">
        <v>68</v>
      </c>
      <c r="E18" s="3">
        <v>3494718.72</v>
      </c>
    </row>
    <row r="19" spans="1:5" x14ac:dyDescent="0.2">
      <c r="A19" s="2" t="s">
        <v>90</v>
      </c>
      <c r="B19" s="3">
        <v>163000</v>
      </c>
      <c r="D19" s="2" t="s">
        <v>1064</v>
      </c>
      <c r="E19" s="3">
        <v>975</v>
      </c>
    </row>
    <row r="20" spans="1:5" x14ac:dyDescent="0.2">
      <c r="A20" s="22" t="s">
        <v>89</v>
      </c>
      <c r="B20" s="3">
        <v>163000</v>
      </c>
      <c r="D20" s="2" t="s">
        <v>21</v>
      </c>
      <c r="E20" s="3">
        <v>9405362.1000000015</v>
      </c>
    </row>
    <row r="21" spans="1:5" x14ac:dyDescent="0.2">
      <c r="A21" s="2" t="s">
        <v>21</v>
      </c>
      <c r="B21" s="3">
        <v>9768004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777FA-7EB5-5D4D-90D8-09382FBCF687}">
  <dimension ref="A1:E22"/>
  <sheetViews>
    <sheetView zoomScale="150" workbookViewId="0">
      <pane ySplit="2" topLeftCell="A3" activePane="bottomLeft" state="frozen"/>
      <selection activeCell="B15" sqref="B15"/>
      <selection pane="bottomLeft" activeCell="G8" sqref="G8"/>
    </sheetView>
  </sheetViews>
  <sheetFormatPr baseColWidth="10" defaultRowHeight="16" x14ac:dyDescent="0.2"/>
  <cols>
    <col min="1" max="1" width="34" bestFit="1" customWidth="1"/>
    <col min="2" max="2" width="19" bestFit="1" customWidth="1"/>
    <col min="3" max="3" width="6.33203125" customWidth="1"/>
    <col min="4" max="4" width="32" bestFit="1" customWidth="1"/>
    <col min="5" max="5" width="19" bestFit="1" customWidth="1"/>
  </cols>
  <sheetData>
    <row r="1" spans="1:5" x14ac:dyDescent="0.2">
      <c r="A1" s="28" t="s">
        <v>38</v>
      </c>
      <c r="B1" s="28"/>
      <c r="D1" s="28" t="s">
        <v>39</v>
      </c>
      <c r="E1" s="28"/>
    </row>
    <row r="2" spans="1:5" s="20" customFormat="1" x14ac:dyDescent="0.2">
      <c r="A2" s="1" t="s">
        <v>4</v>
      </c>
      <c r="B2" t="s">
        <v>19</v>
      </c>
      <c r="D2" s="1" t="s">
        <v>26</v>
      </c>
      <c r="E2" t="s">
        <v>19</v>
      </c>
    </row>
    <row r="4" spans="1:5" s="20" customFormat="1" x14ac:dyDescent="0.2">
      <c r="A4" s="19" t="s">
        <v>37</v>
      </c>
      <c r="B4" s="20" t="s">
        <v>42</v>
      </c>
      <c r="D4" s="19" t="s">
        <v>37</v>
      </c>
      <c r="E4" s="20" t="s">
        <v>42</v>
      </c>
    </row>
    <row r="5" spans="1:5" x14ac:dyDescent="0.2">
      <c r="A5" s="2" t="s">
        <v>133</v>
      </c>
      <c r="B5" s="3">
        <v>100000</v>
      </c>
      <c r="D5" s="2" t="s">
        <v>191</v>
      </c>
      <c r="E5" s="3">
        <v>2040</v>
      </c>
    </row>
    <row r="6" spans="1:5" x14ac:dyDescent="0.2">
      <c r="A6" s="22" t="s">
        <v>183</v>
      </c>
      <c r="B6" s="3">
        <v>100000</v>
      </c>
      <c r="D6" s="2" t="s">
        <v>196</v>
      </c>
      <c r="E6" s="3">
        <v>6786</v>
      </c>
    </row>
    <row r="7" spans="1:5" x14ac:dyDescent="0.2">
      <c r="A7" s="2" t="s">
        <v>74</v>
      </c>
      <c r="B7" s="3">
        <v>25000</v>
      </c>
      <c r="D7" s="2" t="s">
        <v>215</v>
      </c>
      <c r="E7" s="3">
        <v>13990</v>
      </c>
    </row>
    <row r="8" spans="1:5" x14ac:dyDescent="0.2">
      <c r="A8" s="22" t="s">
        <v>83</v>
      </c>
      <c r="B8" s="3">
        <v>25000</v>
      </c>
      <c r="D8" s="2" t="s">
        <v>221</v>
      </c>
      <c r="E8" s="3">
        <v>9316.19</v>
      </c>
    </row>
    <row r="9" spans="1:5" x14ac:dyDescent="0.2">
      <c r="A9" s="2" t="s">
        <v>64</v>
      </c>
      <c r="B9" s="3">
        <v>40000</v>
      </c>
      <c r="D9" s="2" t="s">
        <v>311</v>
      </c>
      <c r="E9" s="3">
        <v>957.5</v>
      </c>
    </row>
    <row r="10" spans="1:5" x14ac:dyDescent="0.2">
      <c r="A10" s="2" t="s">
        <v>184</v>
      </c>
      <c r="B10" s="3">
        <v>250000</v>
      </c>
      <c r="D10" s="2" t="s">
        <v>392</v>
      </c>
      <c r="E10" s="3">
        <v>2258.1</v>
      </c>
    </row>
    <row r="11" spans="1:5" x14ac:dyDescent="0.2">
      <c r="A11" s="2" t="s">
        <v>21</v>
      </c>
      <c r="B11" s="3">
        <v>415000</v>
      </c>
      <c r="D11" s="2" t="s">
        <v>452</v>
      </c>
      <c r="E11" s="3">
        <v>-756</v>
      </c>
    </row>
    <row r="12" spans="1:5" x14ac:dyDescent="0.2">
      <c r="D12" s="2" t="s">
        <v>726</v>
      </c>
      <c r="E12" s="3">
        <v>-45146.03</v>
      </c>
    </row>
    <row r="13" spans="1:5" x14ac:dyDescent="0.2">
      <c r="D13" s="2" t="s">
        <v>757</v>
      </c>
      <c r="E13" s="3">
        <v>460048</v>
      </c>
    </row>
    <row r="14" spans="1:5" x14ac:dyDescent="0.2">
      <c r="D14" s="2" t="s">
        <v>781</v>
      </c>
      <c r="E14" s="3">
        <v>55283</v>
      </c>
    </row>
    <row r="15" spans="1:5" x14ac:dyDescent="0.2">
      <c r="D15" s="2" t="s">
        <v>818</v>
      </c>
      <c r="E15" s="3">
        <v>-417</v>
      </c>
    </row>
    <row r="16" spans="1:5" x14ac:dyDescent="0.2">
      <c r="D16" s="2" t="s">
        <v>820</v>
      </c>
      <c r="E16" s="3">
        <v>4665</v>
      </c>
    </row>
    <row r="17" spans="4:5" x14ac:dyDescent="0.2">
      <c r="D17" s="2" t="s">
        <v>843</v>
      </c>
      <c r="E17" s="3">
        <v>-405</v>
      </c>
    </row>
    <row r="18" spans="4:5" x14ac:dyDescent="0.2">
      <c r="D18" s="2" t="s">
        <v>868</v>
      </c>
      <c r="E18" s="3">
        <v>277.02</v>
      </c>
    </row>
    <row r="19" spans="4:5" x14ac:dyDescent="0.2">
      <c r="D19" s="2" t="s">
        <v>896</v>
      </c>
      <c r="E19" s="3">
        <v>4430.76</v>
      </c>
    </row>
    <row r="20" spans="4:5" x14ac:dyDescent="0.2">
      <c r="D20" s="2" t="s">
        <v>898</v>
      </c>
      <c r="E20" s="3">
        <v>37553.269999999997</v>
      </c>
    </row>
    <row r="21" spans="4:5" x14ac:dyDescent="0.2">
      <c r="D21" s="2" t="s">
        <v>1058</v>
      </c>
      <c r="E21" s="3">
        <v>82530.27</v>
      </c>
    </row>
    <row r="22" spans="4:5" x14ac:dyDescent="0.2">
      <c r="D22" s="2" t="s">
        <v>21</v>
      </c>
      <c r="E22" s="3">
        <v>633411.08000000007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D0D3-4B45-F246-A47B-266CA38951DE}">
  <dimension ref="A1:E7"/>
  <sheetViews>
    <sheetView zoomScale="150" workbookViewId="0">
      <pane ySplit="2" topLeftCell="A3" activePane="bottomLeft" state="frozen"/>
      <selection activeCell="B15" sqref="B15"/>
      <selection pane="bottomLeft" activeCell="C16" sqref="C16"/>
    </sheetView>
  </sheetViews>
  <sheetFormatPr baseColWidth="10" defaultRowHeight="16" x14ac:dyDescent="0.2"/>
  <cols>
    <col min="1" max="1" width="34.33203125" customWidth="1"/>
    <col min="2" max="2" width="14.6640625" bestFit="1" customWidth="1"/>
    <col min="3" max="3" width="6.33203125" customWidth="1"/>
    <col min="4" max="4" width="35.6640625" customWidth="1"/>
    <col min="5" max="5" width="14.6640625" bestFit="1" customWidth="1"/>
  </cols>
  <sheetData>
    <row r="1" spans="1:5" x14ac:dyDescent="0.2">
      <c r="A1" s="28" t="s">
        <v>38</v>
      </c>
      <c r="B1" s="28"/>
      <c r="D1" s="28" t="s">
        <v>39</v>
      </c>
      <c r="E1" s="28"/>
    </row>
    <row r="2" spans="1:5" s="20" customFormat="1" x14ac:dyDescent="0.2">
      <c r="A2" s="1" t="s">
        <v>4</v>
      </c>
      <c r="B2" t="s">
        <v>40</v>
      </c>
      <c r="D2" s="1" t="s">
        <v>26</v>
      </c>
      <c r="E2" t="s">
        <v>257</v>
      </c>
    </row>
    <row r="4" spans="1:5" s="20" customFormat="1" x14ac:dyDescent="0.2">
      <c r="A4" s="19" t="s">
        <v>37</v>
      </c>
      <c r="B4" s="20" t="s">
        <v>42</v>
      </c>
      <c r="D4" s="19" t="s">
        <v>37</v>
      </c>
      <c r="E4" s="20" t="s">
        <v>42</v>
      </c>
    </row>
    <row r="5" spans="1:5" x14ac:dyDescent="0.2">
      <c r="A5" s="2" t="s">
        <v>21</v>
      </c>
      <c r="B5" s="3"/>
      <c r="D5" s="2" t="s">
        <v>259</v>
      </c>
      <c r="E5" s="3">
        <v>15018.3</v>
      </c>
    </row>
    <row r="6" spans="1:5" x14ac:dyDescent="0.2">
      <c r="D6" s="2" t="s">
        <v>262</v>
      </c>
      <c r="E6" s="3">
        <v>65949.8</v>
      </c>
    </row>
    <row r="7" spans="1:5" x14ac:dyDescent="0.2">
      <c r="D7" s="2" t="s">
        <v>21</v>
      </c>
      <c r="E7" s="3">
        <v>80968.100000000006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2EA8-03FD-764B-AE11-1BC2BB06C4E0}">
  <dimension ref="A1:E9"/>
  <sheetViews>
    <sheetView zoomScale="150" workbookViewId="0">
      <pane ySplit="2" topLeftCell="A3" activePane="bottomLeft" state="frozen"/>
      <selection activeCell="B15" sqref="B15"/>
      <selection pane="bottomLeft" activeCell="B15" sqref="B15"/>
    </sheetView>
  </sheetViews>
  <sheetFormatPr baseColWidth="10" defaultRowHeight="16" x14ac:dyDescent="0.2"/>
  <cols>
    <col min="1" max="1" width="34.33203125" customWidth="1"/>
    <col min="2" max="2" width="14.6640625" bestFit="1" customWidth="1"/>
    <col min="3" max="3" width="6.33203125" customWidth="1"/>
    <col min="4" max="4" width="35.6640625" customWidth="1"/>
    <col min="5" max="5" width="14.6640625" bestFit="1" customWidth="1"/>
  </cols>
  <sheetData>
    <row r="1" spans="1:5" x14ac:dyDescent="0.2">
      <c r="A1" s="28" t="s">
        <v>38</v>
      </c>
      <c r="B1" s="28"/>
      <c r="D1" s="28" t="s">
        <v>39</v>
      </c>
      <c r="E1" s="28"/>
    </row>
    <row r="2" spans="1:5" s="20" customFormat="1" x14ac:dyDescent="0.2">
      <c r="A2" s="1" t="s">
        <v>4</v>
      </c>
      <c r="B2" t="s">
        <v>76</v>
      </c>
      <c r="D2" s="1" t="s">
        <v>26</v>
      </c>
      <c r="E2" t="s">
        <v>76</v>
      </c>
    </row>
    <row r="4" spans="1:5" s="20" customFormat="1" x14ac:dyDescent="0.2">
      <c r="A4" s="19" t="s">
        <v>37</v>
      </c>
      <c r="B4" s="20" t="s">
        <v>42</v>
      </c>
      <c r="D4" s="19" t="s">
        <v>37</v>
      </c>
      <c r="E4" s="20" t="s">
        <v>42</v>
      </c>
    </row>
    <row r="5" spans="1:5" x14ac:dyDescent="0.2">
      <c r="A5" s="2" t="s">
        <v>110</v>
      </c>
      <c r="B5" s="3">
        <v>170000</v>
      </c>
      <c r="D5" s="2" t="s">
        <v>294</v>
      </c>
      <c r="E5" s="3">
        <v>3240</v>
      </c>
    </row>
    <row r="6" spans="1:5" x14ac:dyDescent="0.2">
      <c r="A6" s="22" t="s">
        <v>187</v>
      </c>
      <c r="B6" s="3">
        <v>170000</v>
      </c>
      <c r="D6" s="2" t="s">
        <v>398</v>
      </c>
      <c r="E6" s="3">
        <v>35848.479999999996</v>
      </c>
    </row>
    <row r="7" spans="1:5" x14ac:dyDescent="0.2">
      <c r="A7" s="2" t="s">
        <v>60</v>
      </c>
      <c r="B7" s="3">
        <v>60000</v>
      </c>
      <c r="D7" s="2" t="s">
        <v>434</v>
      </c>
      <c r="E7" s="3">
        <v>752.24</v>
      </c>
    </row>
    <row r="8" spans="1:5" x14ac:dyDescent="0.2">
      <c r="A8" s="22" t="s">
        <v>101</v>
      </c>
      <c r="B8" s="3">
        <v>60000</v>
      </c>
      <c r="D8" s="2" t="s">
        <v>965</v>
      </c>
      <c r="E8" s="3">
        <v>63974.83</v>
      </c>
    </row>
    <row r="9" spans="1:5" x14ac:dyDescent="0.2">
      <c r="A9" s="2" t="s">
        <v>21</v>
      </c>
      <c r="B9" s="3">
        <v>230000</v>
      </c>
      <c r="D9" s="2" t="s">
        <v>21</v>
      </c>
      <c r="E9" s="3">
        <v>103815.54999999999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38F9-8540-7E46-BEEC-33C13B6C0AC3}">
  <dimension ref="A1:E6"/>
  <sheetViews>
    <sheetView zoomScale="150" workbookViewId="0">
      <pane ySplit="2" topLeftCell="A3" activePane="bottomLeft" state="frozen"/>
      <selection activeCell="B15" sqref="B15"/>
      <selection pane="bottomLeft" activeCell="B2" sqref="B2"/>
    </sheetView>
  </sheetViews>
  <sheetFormatPr baseColWidth="10" defaultRowHeight="16" x14ac:dyDescent="0.2"/>
  <cols>
    <col min="1" max="1" width="37.1640625" bestFit="1" customWidth="1"/>
    <col min="2" max="2" width="14.33203125" bestFit="1" customWidth="1"/>
    <col min="3" max="3" width="6.33203125" customWidth="1"/>
    <col min="4" max="4" width="45" bestFit="1" customWidth="1"/>
    <col min="5" max="5" width="14.33203125" bestFit="1" customWidth="1"/>
  </cols>
  <sheetData>
    <row r="1" spans="1:5" x14ac:dyDescent="0.2">
      <c r="A1" s="28" t="s">
        <v>38</v>
      </c>
      <c r="B1" s="28"/>
      <c r="D1" s="28" t="s">
        <v>39</v>
      </c>
      <c r="E1" s="28"/>
    </row>
    <row r="2" spans="1:5" s="20" customFormat="1" x14ac:dyDescent="0.2">
      <c r="A2" s="1" t="s">
        <v>4</v>
      </c>
      <c r="B2" t="s">
        <v>40</v>
      </c>
      <c r="D2" s="1" t="s">
        <v>26</v>
      </c>
      <c r="E2" t="s">
        <v>234</v>
      </c>
    </row>
    <row r="4" spans="1:5" s="20" customFormat="1" x14ac:dyDescent="0.2">
      <c r="A4" s="19" t="s">
        <v>37</v>
      </c>
      <c r="B4" s="20" t="s">
        <v>42</v>
      </c>
      <c r="D4" s="19" t="s">
        <v>37</v>
      </c>
      <c r="E4" s="20" t="s">
        <v>42</v>
      </c>
    </row>
    <row r="5" spans="1:5" x14ac:dyDescent="0.2">
      <c r="A5" s="2" t="s">
        <v>21</v>
      </c>
      <c r="B5" s="3"/>
      <c r="D5" s="2" t="s">
        <v>850</v>
      </c>
      <c r="E5" s="3">
        <v>1551.16</v>
      </c>
    </row>
    <row r="6" spans="1:5" x14ac:dyDescent="0.2">
      <c r="D6" s="2" t="s">
        <v>21</v>
      </c>
      <c r="E6" s="3">
        <v>1551.16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DACC-D02D-C14A-A8E4-08EE175C797E}">
  <dimension ref="A1:E16"/>
  <sheetViews>
    <sheetView zoomScale="150" workbookViewId="0">
      <pane ySplit="2" topLeftCell="A3" activePane="bottomLeft" state="frozen"/>
      <selection activeCell="B15" sqref="B15"/>
      <selection pane="bottomLeft" activeCell="A5" sqref="A5"/>
    </sheetView>
  </sheetViews>
  <sheetFormatPr baseColWidth="10" defaultRowHeight="16" x14ac:dyDescent="0.2"/>
  <cols>
    <col min="1" max="1" width="27.6640625" customWidth="1"/>
    <col min="2" max="2" width="16.6640625" bestFit="1" customWidth="1"/>
    <col min="3" max="3" width="6.33203125" customWidth="1"/>
    <col min="4" max="4" width="25.6640625" bestFit="1" customWidth="1"/>
    <col min="5" max="5" width="16.6640625" bestFit="1" customWidth="1"/>
  </cols>
  <sheetData>
    <row r="1" spans="1:5" x14ac:dyDescent="0.2">
      <c r="A1" s="28" t="s">
        <v>38</v>
      </c>
      <c r="B1" s="28"/>
      <c r="D1" s="28" t="s">
        <v>39</v>
      </c>
      <c r="E1" s="28"/>
    </row>
    <row r="2" spans="1:5" s="20" customFormat="1" x14ac:dyDescent="0.2">
      <c r="A2" s="1" t="s">
        <v>4</v>
      </c>
      <c r="B2" t="s">
        <v>40</v>
      </c>
      <c r="D2" s="1" t="s">
        <v>26</v>
      </c>
      <c r="E2" t="s">
        <v>268</v>
      </c>
    </row>
    <row r="4" spans="1:5" s="20" customFormat="1" x14ac:dyDescent="0.2">
      <c r="A4" s="19" t="s">
        <v>37</v>
      </c>
      <c r="B4" s="20" t="s">
        <v>42</v>
      </c>
      <c r="D4" s="19" t="s">
        <v>37</v>
      </c>
      <c r="E4" s="20" t="s">
        <v>42</v>
      </c>
    </row>
    <row r="5" spans="1:5" x14ac:dyDescent="0.2">
      <c r="A5" s="2" t="s">
        <v>21</v>
      </c>
      <c r="B5" s="3"/>
      <c r="D5" s="2" t="s">
        <v>267</v>
      </c>
      <c r="E5" s="3">
        <v>16708.48</v>
      </c>
    </row>
    <row r="6" spans="1:5" x14ac:dyDescent="0.2">
      <c r="D6" s="2" t="s">
        <v>288</v>
      </c>
      <c r="E6" s="3">
        <v>2898.25</v>
      </c>
    </row>
    <row r="7" spans="1:5" x14ac:dyDescent="0.2">
      <c r="D7" s="2" t="s">
        <v>292</v>
      </c>
      <c r="E7" s="3">
        <v>8570</v>
      </c>
    </row>
    <row r="8" spans="1:5" x14ac:dyDescent="0.2">
      <c r="D8" s="2" t="s">
        <v>343</v>
      </c>
      <c r="E8" s="3">
        <v>12469.54</v>
      </c>
    </row>
    <row r="9" spans="1:5" x14ac:dyDescent="0.2">
      <c r="D9" s="2" t="s">
        <v>791</v>
      </c>
      <c r="E9" s="3">
        <v>4234.97</v>
      </c>
    </row>
    <row r="10" spans="1:5" x14ac:dyDescent="0.2">
      <c r="D10" s="2" t="s">
        <v>913</v>
      </c>
      <c r="E10" s="3">
        <v>74.2</v>
      </c>
    </row>
    <row r="11" spans="1:5" x14ac:dyDescent="0.2">
      <c r="D11" s="2" t="s">
        <v>986</v>
      </c>
      <c r="E11" s="3">
        <v>5104.28</v>
      </c>
    </row>
    <row r="12" spans="1:5" x14ac:dyDescent="0.2">
      <c r="D12" s="2" t="s">
        <v>994</v>
      </c>
      <c r="E12" s="3">
        <v>3382.67</v>
      </c>
    </row>
    <row r="13" spans="1:5" x14ac:dyDescent="0.2">
      <c r="D13" s="2" t="s">
        <v>1004</v>
      </c>
      <c r="E13" s="3">
        <v>650</v>
      </c>
    </row>
    <row r="14" spans="1:5" x14ac:dyDescent="0.2">
      <c r="D14" s="2" t="s">
        <v>1008</v>
      </c>
      <c r="E14" s="3">
        <v>873.46</v>
      </c>
    </row>
    <row r="15" spans="1:5" x14ac:dyDescent="0.2">
      <c r="D15" s="2" t="s">
        <v>1045</v>
      </c>
      <c r="E15" s="3">
        <v>1040</v>
      </c>
    </row>
    <row r="16" spans="1:5" x14ac:dyDescent="0.2">
      <c r="D16" s="2" t="s">
        <v>21</v>
      </c>
      <c r="E16" s="3">
        <v>56005.85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87BA-F8C6-B747-BC65-02F1752657E4}">
  <dimension ref="A1:E5"/>
  <sheetViews>
    <sheetView zoomScale="150" workbookViewId="0">
      <pane ySplit="2" topLeftCell="A3" activePane="bottomLeft" state="frozen"/>
      <selection activeCell="B15" sqref="B15"/>
      <selection pane="bottomLeft" activeCell="E11" sqref="E11"/>
    </sheetView>
  </sheetViews>
  <sheetFormatPr baseColWidth="10" defaultRowHeight="16" x14ac:dyDescent="0.2"/>
  <cols>
    <col min="1" max="1" width="33.1640625" bestFit="1" customWidth="1"/>
    <col min="2" max="2" width="18.33203125" customWidth="1"/>
    <col min="3" max="3" width="6.33203125" customWidth="1"/>
    <col min="4" max="4" width="31.33203125" customWidth="1"/>
    <col min="5" max="5" width="19.1640625" bestFit="1" customWidth="1"/>
  </cols>
  <sheetData>
    <row r="1" spans="1:5" x14ac:dyDescent="0.2">
      <c r="A1" s="28" t="s">
        <v>38</v>
      </c>
      <c r="B1" s="28"/>
      <c r="D1" s="28" t="s">
        <v>39</v>
      </c>
      <c r="E1" s="28"/>
    </row>
    <row r="2" spans="1:5" s="20" customFormat="1" x14ac:dyDescent="0.2">
      <c r="A2" s="1" t="s">
        <v>4</v>
      </c>
      <c r="B2" t="s">
        <v>40</v>
      </c>
      <c r="D2" s="1" t="s">
        <v>26</v>
      </c>
      <c r="E2" t="s">
        <v>40</v>
      </c>
    </row>
    <row r="4" spans="1:5" s="20" customFormat="1" x14ac:dyDescent="0.2">
      <c r="A4" s="19" t="s">
        <v>37</v>
      </c>
      <c r="B4" s="20" t="s">
        <v>42</v>
      </c>
      <c r="D4" s="19" t="s">
        <v>37</v>
      </c>
      <c r="E4" s="20" t="s">
        <v>42</v>
      </c>
    </row>
    <row r="5" spans="1:5" x14ac:dyDescent="0.2">
      <c r="A5" s="2" t="s">
        <v>21</v>
      </c>
      <c r="B5" s="3"/>
      <c r="D5" s="2" t="s">
        <v>21</v>
      </c>
      <c r="E5" s="3"/>
    </row>
  </sheetData>
  <mergeCells count="2">
    <mergeCell ref="A1:B1"/>
    <mergeCell ref="D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D0812-123E-334C-AC80-A4189E0BDCE3}">
  <dimension ref="A1:E5"/>
  <sheetViews>
    <sheetView zoomScale="150" workbookViewId="0">
      <pane ySplit="2" topLeftCell="A3" activePane="bottomLeft" state="frozen"/>
      <selection activeCell="B15" sqref="B15"/>
      <selection pane="bottomLeft" activeCell="B2" sqref="B2 B5"/>
      <pivotSelection pane="topRight" showHeader="1" extendable="1" activeRow="1" activeCol="1" click="1" r:id="rId1">
        <pivotArea dataOnly="0" outline="0" fieldPosition="0">
          <references count="1">
            <reference field="4" count="0"/>
          </references>
        </pivotArea>
      </pivotSelection>
    </sheetView>
  </sheetViews>
  <sheetFormatPr baseColWidth="10" defaultRowHeight="16" x14ac:dyDescent="0.2"/>
  <cols>
    <col min="1" max="1" width="33.1640625" bestFit="1" customWidth="1"/>
    <col min="2" max="2" width="18.33203125" customWidth="1"/>
    <col min="3" max="3" width="6.33203125" customWidth="1"/>
    <col min="4" max="4" width="31.33203125" customWidth="1"/>
    <col min="5" max="5" width="19.1640625" bestFit="1" customWidth="1"/>
  </cols>
  <sheetData>
    <row r="1" spans="1:5" x14ac:dyDescent="0.2">
      <c r="A1" s="28" t="s">
        <v>38</v>
      </c>
      <c r="B1" s="28"/>
      <c r="D1" s="28" t="s">
        <v>39</v>
      </c>
      <c r="E1" s="28"/>
    </row>
    <row r="2" spans="1:5" s="20" customFormat="1" x14ac:dyDescent="0.2">
      <c r="A2" s="1" t="s">
        <v>4</v>
      </c>
      <c r="B2" t="s">
        <v>40</v>
      </c>
      <c r="D2" s="1" t="s">
        <v>26</v>
      </c>
      <c r="E2" t="s">
        <v>40</v>
      </c>
    </row>
    <row r="4" spans="1:5" s="20" customFormat="1" x14ac:dyDescent="0.2">
      <c r="A4" s="19" t="s">
        <v>37</v>
      </c>
      <c r="B4" s="20" t="s">
        <v>42</v>
      </c>
      <c r="D4" s="19" t="s">
        <v>37</v>
      </c>
      <c r="E4" s="20" t="s">
        <v>42</v>
      </c>
    </row>
    <row r="5" spans="1:5" x14ac:dyDescent="0.2">
      <c r="A5" s="2" t="s">
        <v>21</v>
      </c>
      <c r="B5" s="3"/>
      <c r="D5" s="2" t="s">
        <v>21</v>
      </c>
      <c r="E5" s="3"/>
    </row>
  </sheetData>
  <mergeCells count="2">
    <mergeCell ref="A1:B1"/>
    <mergeCell ref="D1:E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CB0E-6852-BE48-AC92-E3E9D90DA455}">
  <dimension ref="A1:E9"/>
  <sheetViews>
    <sheetView zoomScale="150" workbookViewId="0">
      <pane ySplit="2" topLeftCell="A3" activePane="bottomLeft" state="frozen"/>
      <selection activeCell="B15" sqref="B15"/>
      <selection pane="bottomLeft" activeCell="C12" sqref="C12"/>
    </sheetView>
  </sheetViews>
  <sheetFormatPr baseColWidth="10" defaultRowHeight="16" x14ac:dyDescent="0.2"/>
  <cols>
    <col min="1" max="1" width="33.1640625" bestFit="1" customWidth="1"/>
    <col min="2" max="2" width="18.33203125" customWidth="1"/>
    <col min="3" max="3" width="6.33203125" customWidth="1"/>
    <col min="4" max="4" width="31.33203125" customWidth="1"/>
    <col min="5" max="5" width="19.1640625" bestFit="1" customWidth="1"/>
  </cols>
  <sheetData>
    <row r="1" spans="1:5" x14ac:dyDescent="0.2">
      <c r="A1" s="28" t="s">
        <v>38</v>
      </c>
      <c r="B1" s="28"/>
      <c r="D1" s="28" t="s">
        <v>39</v>
      </c>
      <c r="E1" s="28"/>
    </row>
    <row r="2" spans="1:5" s="20" customFormat="1" x14ac:dyDescent="0.2">
      <c r="A2" s="1" t="s">
        <v>4</v>
      </c>
      <c r="B2" t="s">
        <v>20</v>
      </c>
      <c r="D2" s="1" t="s">
        <v>26</v>
      </c>
      <c r="E2" t="s">
        <v>20</v>
      </c>
    </row>
    <row r="4" spans="1:5" s="20" customFormat="1" x14ac:dyDescent="0.2">
      <c r="A4" s="19" t="s">
        <v>37</v>
      </c>
      <c r="B4" s="20" t="s">
        <v>42</v>
      </c>
      <c r="D4" s="19" t="s">
        <v>37</v>
      </c>
      <c r="E4" s="20" t="s">
        <v>42</v>
      </c>
    </row>
    <row r="5" spans="1:5" x14ac:dyDescent="0.2">
      <c r="A5" s="2" t="s">
        <v>49</v>
      </c>
      <c r="B5" s="3">
        <v>57000</v>
      </c>
      <c r="D5" s="2" t="s">
        <v>273</v>
      </c>
      <c r="E5" s="3">
        <v>2356.15</v>
      </c>
    </row>
    <row r="6" spans="1:5" x14ac:dyDescent="0.2">
      <c r="A6" s="2" t="s">
        <v>21</v>
      </c>
      <c r="B6" s="3">
        <v>57000</v>
      </c>
      <c r="D6" s="2" t="s">
        <v>299</v>
      </c>
      <c r="E6" s="3">
        <v>1048</v>
      </c>
    </row>
    <row r="7" spans="1:5" x14ac:dyDescent="0.2">
      <c r="D7" s="2" t="s">
        <v>49</v>
      </c>
      <c r="E7" s="3">
        <v>60049.409999999996</v>
      </c>
    </row>
    <row r="8" spans="1:5" x14ac:dyDescent="0.2">
      <c r="D8" s="2" t="s">
        <v>432</v>
      </c>
      <c r="E8" s="3">
        <v>1450</v>
      </c>
    </row>
    <row r="9" spans="1:5" x14ac:dyDescent="0.2">
      <c r="D9" s="2" t="s">
        <v>21</v>
      </c>
      <c r="E9" s="3">
        <v>64903.56</v>
      </c>
    </row>
  </sheetData>
  <mergeCells count="2">
    <mergeCell ref="A1:B1"/>
    <mergeCell ref="D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CCFE296A801F45AC1DFB1CFCB20001" ma:contentTypeVersion="10" ma:contentTypeDescription="Create a new document." ma:contentTypeScope="" ma:versionID="5516ac6731f230a3f9f705d8cc68cae7">
  <xsd:schema xmlns:xsd="http://www.w3.org/2001/XMLSchema" xmlns:xs="http://www.w3.org/2001/XMLSchema" xmlns:p="http://schemas.microsoft.com/office/2006/metadata/properties" xmlns:ns2="ebc4955a-25b2-43cf-93e0-ed70c3514c46" xmlns:ns3="2d57a049-26b7-4a30-a332-08bf898ed3ab" targetNamespace="http://schemas.microsoft.com/office/2006/metadata/properties" ma:root="true" ma:fieldsID="dd0b5a5c641419bf90874255c4919ed8" ns2:_="" ns3:_="">
    <xsd:import namespace="ebc4955a-25b2-43cf-93e0-ed70c3514c46"/>
    <xsd:import namespace="2d57a049-26b7-4a30-a332-08bf898ed3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4955a-25b2-43cf-93e0-ed70c3514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f60592c-5364-4cb7-a36c-3dacd758ab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7a049-26b7-4a30-a332-08bf898ed3a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5e5e51-92cb-4edd-8ef4-b882596b6d45}" ma:internalName="TaxCatchAll" ma:showField="CatchAllData" ma:web="2d57a049-26b7-4a30-a332-08bf898ed3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c4955a-25b2-43cf-93e0-ed70c3514c46">
      <Terms xmlns="http://schemas.microsoft.com/office/infopath/2007/PartnerControls"/>
    </lcf76f155ced4ddcb4097134ff3c332f>
    <TaxCatchAll xmlns="2d57a049-26b7-4a30-a332-08bf898ed3ab" xsi:nil="true"/>
  </documentManagement>
</p:properties>
</file>

<file path=customXml/itemProps1.xml><?xml version="1.0" encoding="utf-8"?>
<ds:datastoreItem xmlns:ds="http://schemas.openxmlformats.org/officeDocument/2006/customXml" ds:itemID="{C8FA47C9-7F17-41F5-8CE0-A3CB4A016C1B}"/>
</file>

<file path=customXml/itemProps2.xml><?xml version="1.0" encoding="utf-8"?>
<ds:datastoreItem xmlns:ds="http://schemas.openxmlformats.org/officeDocument/2006/customXml" ds:itemID="{38ABC741-C222-4FE3-9245-A15987AFEDF1}"/>
</file>

<file path=customXml/itemProps3.xml><?xml version="1.0" encoding="utf-8"?>
<ds:datastoreItem xmlns:ds="http://schemas.openxmlformats.org/officeDocument/2006/customXml" ds:itemID="{870CDAA5-CEDB-4C20-971C-BBEA4F778D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</vt:lpstr>
      <vt:lpstr>Forecast</vt:lpstr>
      <vt:lpstr>Bookings</vt:lpstr>
      <vt:lpstr>Anthony</vt:lpstr>
      <vt:lpstr>Carina</vt:lpstr>
      <vt:lpstr>Chris</vt:lpstr>
      <vt:lpstr>Farrah</vt:lpstr>
      <vt:lpstr>Genesis</vt:lpstr>
      <vt:lpstr>Jenni</vt:lpstr>
      <vt:lpstr>Jesse</vt:lpstr>
      <vt:lpstr>Kimi</vt:lpstr>
      <vt:lpstr>Lela</vt:lpstr>
      <vt:lpstr>Lindsay</vt:lpstr>
      <vt:lpstr>Mary</vt:lpstr>
      <vt:lpstr>Nick</vt:lpstr>
      <vt:lpstr>Norma</vt:lpstr>
      <vt:lpstr>Olivia</vt:lpstr>
      <vt:lpstr>Owen</vt:lpstr>
      <vt:lpstr>Paul</vt:lpstr>
      <vt:lpstr>Rayna</vt:lpstr>
      <vt:lpstr>Shayle</vt:lpstr>
      <vt:lpstr>Simon</vt:lpstr>
      <vt:lpstr>Steph</vt:lpstr>
      <vt:lpstr>Torrey</vt:lpstr>
      <vt:lpstr>Troy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Kip Herdrick</dc:creator>
  <cp:lastModifiedBy>Kip Herdrick</cp:lastModifiedBy>
  <dcterms:created xsi:type="dcterms:W3CDTF">2024-03-28T21:37:59Z</dcterms:created>
  <dcterms:modified xsi:type="dcterms:W3CDTF">2025-09-02T13:22:03Z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0x01010018CCFE296A801F45AC1DFB1CFCB20001</vt:lpwstr>
  </property>
</Properties>
</file>